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4D1C537B-E38A-612A-F078-A93A15B4B7F4}"/>
  <workbookPr codeName="EstaPasta_de_trabalho"/>
  <mc:AlternateContent xmlns:mc="http://schemas.openxmlformats.org/markup-compatibility/2006">
    <mc:Choice Requires="x15">
      <x15ac:absPath xmlns:x15ac="http://schemas.microsoft.com/office/spreadsheetml/2010/11/ac" url="C:\Users\vinic\Downloads\"/>
    </mc:Choice>
  </mc:AlternateContent>
  <xr:revisionPtr revIDLastSave="0" documentId="13_ncr:1_{B72A1A08-0A37-4EFC-9B0B-608F0E6BA142}" xr6:coauthVersionLast="47" xr6:coauthVersionMax="47" xr10:uidLastSave="{00000000-0000-0000-0000-000000000000}"/>
  <bookViews>
    <workbookView xWindow="-25320" yWindow="360" windowWidth="25440" windowHeight="15990" tabRatio="700" activeTab="5" xr2:uid="{00000000-000D-0000-FFFF-FFFF00000000}"/>
  </bookViews>
  <sheets>
    <sheet name="🧤Goleiros" sheetId="17" r:id="rId1"/>
    <sheet name="🧱Zagueiros" sheetId="16" r:id="rId2"/>
    <sheet name="🛡️Laterais" sheetId="6" r:id="rId3"/>
    <sheet name="🛡️Volantes" sheetId="11" r:id="rId4"/>
    <sheet name="🏃‍♂️Box-To-Box" sheetId="14" r:id="rId5"/>
    <sheet name="🎯Armadores" sheetId="2" r:id="rId6"/>
    <sheet name="⚽Avançados" sheetId="10" r:id="rId7"/>
    <sheet name="📊Time Estatísticas" sheetId="18" r:id="rId8"/>
    <sheet name="🔍Overall Análise" sheetId="15" r:id="rId9"/>
  </sheets>
  <definedNames>
    <definedName name="_xlnm._FilterDatabase" localSheetId="6" hidden="1">'⚽Avançados'!$B$1:$GO$1</definedName>
    <definedName name="_xlnm._FilterDatabase" localSheetId="5" hidden="1">🎯Armadores!$B$1:$FD$1</definedName>
    <definedName name="_xlnm._FilterDatabase" localSheetId="4" hidden="1">'🏃‍♂️Box-To-Box'!$B$1:$FQ$828</definedName>
    <definedName name="_xlnm._FilterDatabase" localSheetId="7" hidden="1">'📊Time Estatísticas'!$E$1:$CV$28</definedName>
    <definedName name="_xlnm._FilterDatabase" localSheetId="8" hidden="1">'🔍Overall Análise'!$B$1:$HI$1</definedName>
    <definedName name="_xlnm._FilterDatabase" localSheetId="2" hidden="1">🛡️Laterais!$B$1:$FH$1</definedName>
    <definedName name="_xlnm._FilterDatabase" localSheetId="3" hidden="1">🛡️Volantes!$B$1:$EZ$335</definedName>
    <definedName name="_xlnm._FilterDatabase" localSheetId="0" hidden="1">🧤Goleiros!$D$1:$EF$1</definedName>
    <definedName name="_xlnm._FilterDatabase" localSheetId="1" hidden="1">🧱Zagueiros!$B$1:$GD$1</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2" i="2" l="1"/>
  <c r="B12" i="2"/>
  <c r="C12" i="2"/>
  <c r="D12" i="2"/>
  <c r="E12" i="2"/>
  <c r="F12" i="2"/>
  <c r="G12" i="2"/>
  <c r="H12" i="2"/>
  <c r="I12" i="2"/>
  <c r="J12" i="2"/>
  <c r="L12" i="2"/>
  <c r="M12" i="2"/>
  <c r="N12" i="2"/>
  <c r="O12" i="2"/>
  <c r="P12" i="2"/>
  <c r="Q12" i="2"/>
  <c r="S12" i="2"/>
  <c r="T12" i="2"/>
  <c r="V12" i="2"/>
  <c r="W12" i="2" s="1"/>
  <c r="X12" i="2"/>
  <c r="Z12" i="2"/>
  <c r="AA12" i="2"/>
  <c r="AB12" i="2"/>
  <c r="AC12" i="2"/>
  <c r="AD12" i="2"/>
  <c r="AE12" i="2"/>
  <c r="AF12" i="2"/>
  <c r="AG12" i="2"/>
  <c r="AJ12" i="2"/>
  <c r="AN12" i="2"/>
  <c r="AO12" i="2"/>
  <c r="AQ12" i="2"/>
  <c r="CT12" i="2" s="1"/>
  <c r="CU12" i="2" s="1"/>
  <c r="AS12" i="2"/>
  <c r="AT12" i="2"/>
  <c r="AU12" i="2"/>
  <c r="AV12" i="2"/>
  <c r="AW12" i="2"/>
  <c r="AX12" i="2"/>
  <c r="AY12" i="2"/>
  <c r="AZ12" i="2"/>
  <c r="BD12" i="2"/>
  <c r="BF12" i="2"/>
  <c r="BG12" i="2"/>
  <c r="BH12" i="2"/>
  <c r="BI12" i="2"/>
  <c r="BJ12" i="2"/>
  <c r="BK12" i="2"/>
  <c r="BB12" i="2" s="1"/>
  <c r="BL12" i="2"/>
  <c r="BM12" i="2"/>
  <c r="BN12" i="2"/>
  <c r="BP12" i="2"/>
  <c r="BQ12" i="2"/>
  <c r="BT12" i="2"/>
  <c r="BU12" i="2"/>
  <c r="BV12" i="2"/>
  <c r="BW12" i="2"/>
  <c r="BX12" i="2"/>
  <c r="CF12" i="2" s="1"/>
  <c r="BY12" i="2"/>
  <c r="BZ12" i="2"/>
  <c r="CA12" i="2"/>
  <c r="CB12" i="2"/>
  <c r="CC12" i="2" s="1"/>
  <c r="CE12" i="2"/>
  <c r="CG12" i="2"/>
  <c r="CI12" i="2"/>
  <c r="CJ12" i="2"/>
  <c r="CK12" i="2"/>
  <c r="CM12" i="2"/>
  <c r="CN12" i="2" s="1"/>
  <c r="CO12" i="2"/>
  <c r="CP12" i="2"/>
  <c r="CQ12" i="2"/>
  <c r="CS12" i="2" s="1"/>
  <c r="DA12" i="2"/>
  <c r="DC12" i="2"/>
  <c r="DD12" i="2" s="1"/>
  <c r="DE12" i="2"/>
  <c r="DF12" i="2"/>
  <c r="DG12" i="2"/>
  <c r="DH12" i="2"/>
  <c r="DI12" i="2"/>
  <c r="DJ12" i="2"/>
  <c r="DK12" i="2" s="1"/>
  <c r="DM12" i="2"/>
  <c r="DL12" i="2" s="1"/>
  <c r="DN12" i="2"/>
  <c r="A13" i="2"/>
  <c r="B13" i="2"/>
  <c r="C13" i="2"/>
  <c r="D13" i="2"/>
  <c r="E13" i="2"/>
  <c r="F13" i="2"/>
  <c r="G13" i="2"/>
  <c r="H13" i="2"/>
  <c r="I13" i="2"/>
  <c r="J13" i="2"/>
  <c r="L13" i="2"/>
  <c r="M13" i="2"/>
  <c r="N13" i="2"/>
  <c r="O13" i="2"/>
  <c r="P13" i="2"/>
  <c r="R13" i="2" s="1"/>
  <c r="Q13" i="2"/>
  <c r="S13" i="2"/>
  <c r="T13" i="2"/>
  <c r="U13" i="2"/>
  <c r="V13" i="2"/>
  <c r="W13" i="2"/>
  <c r="X13" i="2"/>
  <c r="Y13" i="2"/>
  <c r="Z13" i="2"/>
  <c r="AA13" i="2"/>
  <c r="AB13" i="2"/>
  <c r="AC13" i="2"/>
  <c r="AD13" i="2"/>
  <c r="AE13" i="2"/>
  <c r="AF13" i="2"/>
  <c r="AH13" i="2" s="1"/>
  <c r="AG13" i="2"/>
  <c r="AI13" i="2"/>
  <c r="AJ13" i="2"/>
  <c r="AK13" i="2"/>
  <c r="AL13" i="2"/>
  <c r="AM13" i="2"/>
  <c r="AN13" i="2"/>
  <c r="AV13" i="2" s="1"/>
  <c r="AO13" i="2"/>
  <c r="AS13" i="2" s="1"/>
  <c r="AT13" i="2" s="1"/>
  <c r="AP13" i="2"/>
  <c r="AQ13" i="2"/>
  <c r="AR13" i="2" s="1"/>
  <c r="AU13" i="2"/>
  <c r="AW13" i="2"/>
  <c r="AX13" i="2"/>
  <c r="AY13" i="2"/>
  <c r="AZ13" i="2"/>
  <c r="BA13" i="2"/>
  <c r="BB13" i="2"/>
  <c r="BD13" i="2"/>
  <c r="BE13" i="2"/>
  <c r="BF13" i="2"/>
  <c r="BI13" i="2"/>
  <c r="BJ13" i="2" s="1"/>
  <c r="BK13" i="2"/>
  <c r="BL13" i="2"/>
  <c r="BM13" i="2"/>
  <c r="BN13" i="2"/>
  <c r="BO13" i="2"/>
  <c r="BP13" i="2"/>
  <c r="BQ13" i="2"/>
  <c r="BR13" i="2"/>
  <c r="BS13" i="2"/>
  <c r="BT13" i="2"/>
  <c r="BU13" i="2"/>
  <c r="BV13" i="2"/>
  <c r="BW13" i="2" s="1"/>
  <c r="BX13" i="2"/>
  <c r="BY13" i="2" s="1"/>
  <c r="BZ13" i="2"/>
  <c r="CA13" i="2"/>
  <c r="CB13" i="2"/>
  <c r="CC13" i="2" s="1"/>
  <c r="CD13" i="2"/>
  <c r="CE13" i="2"/>
  <c r="CF13" i="2"/>
  <c r="CG13" i="2"/>
  <c r="CH13" i="2"/>
  <c r="CI13" i="2"/>
  <c r="CJ13" i="2"/>
  <c r="CK13" i="2"/>
  <c r="CL13" i="2"/>
  <c r="CM13" i="2"/>
  <c r="CN13" i="2" s="1"/>
  <c r="CO13" i="2"/>
  <c r="CP13" i="2" s="1"/>
  <c r="CQ13" i="2"/>
  <c r="CR13" i="2"/>
  <c r="CS13" i="2"/>
  <c r="CT13" i="2"/>
  <c r="CU13" i="2"/>
  <c r="CV13" i="2"/>
  <c r="CW13" i="2"/>
  <c r="CY13" i="2"/>
  <c r="CZ13" i="2"/>
  <c r="DA13" i="2"/>
  <c r="DB13" i="2"/>
  <c r="DC13" i="2"/>
  <c r="DD13" i="2" s="1"/>
  <c r="DE13" i="2"/>
  <c r="DF13" i="2" s="1"/>
  <c r="DG13" i="2"/>
  <c r="DH13" i="2"/>
  <c r="DI13" i="2"/>
  <c r="DJ13" i="2"/>
  <c r="DK13" i="2"/>
  <c r="DM13" i="2"/>
  <c r="DL13" i="2" s="1"/>
  <c r="DN13" i="2"/>
  <c r="A14" i="2"/>
  <c r="B14" i="2"/>
  <c r="C14" i="2"/>
  <c r="D14" i="2"/>
  <c r="E14" i="2"/>
  <c r="F14" i="2"/>
  <c r="G14" i="2"/>
  <c r="H14" i="2"/>
  <c r="I14" i="2"/>
  <c r="J14" i="2"/>
  <c r="L14" i="2"/>
  <c r="M14" i="2"/>
  <c r="N14" i="2" s="1"/>
  <c r="O14" i="2"/>
  <c r="P14" i="2"/>
  <c r="AK14" i="2" s="1"/>
  <c r="Q14" i="2"/>
  <c r="AL14" i="2" s="1"/>
  <c r="R14" i="2"/>
  <c r="S14" i="2"/>
  <c r="U14" i="2" s="1"/>
  <c r="T14" i="2"/>
  <c r="V14" i="2"/>
  <c r="W14" i="2" s="1"/>
  <c r="X14" i="2"/>
  <c r="Y14" i="2"/>
  <c r="Z14" i="2"/>
  <c r="AA14" i="2"/>
  <c r="AB14" i="2"/>
  <c r="AC14" i="2"/>
  <c r="AD14" i="2"/>
  <c r="AE14" i="2"/>
  <c r="AF14" i="2"/>
  <c r="AG14" i="2"/>
  <c r="AH14" i="2"/>
  <c r="AI14" i="2"/>
  <c r="CH14" i="2" s="1"/>
  <c r="AJ14" i="2"/>
  <c r="AN14" i="2"/>
  <c r="AO14" i="2"/>
  <c r="AP14" i="2"/>
  <c r="AQ14" i="2"/>
  <c r="BR14" i="2" s="1"/>
  <c r="AS14" i="2"/>
  <c r="AT14" i="2" s="1"/>
  <c r="AU14" i="2"/>
  <c r="AV14" i="2"/>
  <c r="AW14" i="2"/>
  <c r="AX14" i="2"/>
  <c r="AY14" i="2"/>
  <c r="AZ14" i="2"/>
  <c r="BA14" i="2" s="1"/>
  <c r="BD14" i="2"/>
  <c r="BE14" i="2"/>
  <c r="BF14" i="2"/>
  <c r="BH14" i="2" s="1"/>
  <c r="BG14" i="2"/>
  <c r="BI14" i="2"/>
  <c r="BJ14" i="2" s="1"/>
  <c r="BK14" i="2"/>
  <c r="BL14" i="2" s="1"/>
  <c r="BM14" i="2"/>
  <c r="BN14" i="2"/>
  <c r="BO14" i="2"/>
  <c r="BP14" i="2"/>
  <c r="BQ14" i="2"/>
  <c r="BT14" i="2"/>
  <c r="BU14" i="2"/>
  <c r="BV14" i="2"/>
  <c r="BW14" i="2"/>
  <c r="BX14" i="2"/>
  <c r="BY14" i="2"/>
  <c r="BZ14" i="2"/>
  <c r="CA14" i="2"/>
  <c r="CB14" i="2"/>
  <c r="CC14" i="2"/>
  <c r="CD14" i="2"/>
  <c r="CE14" i="2"/>
  <c r="CF14" i="2"/>
  <c r="CG14" i="2"/>
  <c r="CI14" i="2"/>
  <c r="CJ14" i="2"/>
  <c r="CK14" i="2"/>
  <c r="CL14" i="2"/>
  <c r="CM14" i="2"/>
  <c r="CN14" i="2" s="1"/>
  <c r="CO14" i="2"/>
  <c r="CP14" i="2" s="1"/>
  <c r="CQ14" i="2"/>
  <c r="CR14" i="2" s="1"/>
  <c r="CS14" i="2"/>
  <c r="CT14" i="2"/>
  <c r="CU14" i="2"/>
  <c r="CV14" i="2"/>
  <c r="CW14" i="2" s="1"/>
  <c r="DA14" i="2"/>
  <c r="DB14" i="2"/>
  <c r="DC14" i="2"/>
  <c r="DD14" i="2" s="1"/>
  <c r="DE14" i="2"/>
  <c r="DF14" i="2" s="1"/>
  <c r="DG14" i="2"/>
  <c r="DH14" i="2" s="1"/>
  <c r="DI14" i="2"/>
  <c r="DJ14" i="2"/>
  <c r="DK14" i="2"/>
  <c r="DL14" i="2"/>
  <c r="DM14" i="2"/>
  <c r="DN14" i="2"/>
  <c r="A15" i="2"/>
  <c r="B15" i="2"/>
  <c r="C15" i="2"/>
  <c r="D15" i="2"/>
  <c r="E15" i="2"/>
  <c r="F15" i="2"/>
  <c r="G15" i="2"/>
  <c r="H15" i="2"/>
  <c r="I15" i="2"/>
  <c r="J15" i="2"/>
  <c r="L15" i="2"/>
  <c r="M15" i="2"/>
  <c r="N15" i="2" s="1"/>
  <c r="O15" i="2"/>
  <c r="P15" i="2"/>
  <c r="Q15" i="2"/>
  <c r="R15" i="2"/>
  <c r="S15" i="2"/>
  <c r="T15" i="2" s="1"/>
  <c r="V15" i="2"/>
  <c r="X15" i="2"/>
  <c r="Z15" i="2"/>
  <c r="AA15" i="2"/>
  <c r="AB15" i="2"/>
  <c r="AC15" i="2"/>
  <c r="AD15" i="2"/>
  <c r="AE15" i="2"/>
  <c r="AF15" i="2"/>
  <c r="AG15" i="2"/>
  <c r="AH15" i="2"/>
  <c r="AI15" i="2"/>
  <c r="CH15" i="2" s="1"/>
  <c r="AJ15" i="2"/>
  <c r="AN15" i="2"/>
  <c r="AV15" i="2" s="1"/>
  <c r="AO15" i="2"/>
  <c r="AP15" i="2" s="1"/>
  <c r="AQ15" i="2"/>
  <c r="AU15" i="2" s="1"/>
  <c r="AR15" i="2"/>
  <c r="CX15" i="2" s="1"/>
  <c r="AS15" i="2"/>
  <c r="AT15" i="2"/>
  <c r="AW15" i="2"/>
  <c r="AX15" i="2"/>
  <c r="AY15" i="2"/>
  <c r="AZ15" i="2"/>
  <c r="BD15" i="2"/>
  <c r="BF15" i="2"/>
  <c r="BH15" i="2"/>
  <c r="BI15" i="2"/>
  <c r="BJ15" i="2"/>
  <c r="BK15" i="2"/>
  <c r="BL15" i="2" s="1"/>
  <c r="BM15" i="2"/>
  <c r="BN15" i="2"/>
  <c r="BP15" i="2"/>
  <c r="BQ15" i="2"/>
  <c r="BT15" i="2"/>
  <c r="BU15" i="2"/>
  <c r="BV15" i="2"/>
  <c r="BW15" i="2"/>
  <c r="BX15" i="2"/>
  <c r="CF15" i="2" s="1"/>
  <c r="BY15" i="2"/>
  <c r="BZ15" i="2"/>
  <c r="CA15" i="2" s="1"/>
  <c r="CB15" i="2"/>
  <c r="CE15" i="2"/>
  <c r="CG15" i="2"/>
  <c r="CI15" i="2"/>
  <c r="CJ15" i="2"/>
  <c r="CK15" i="2"/>
  <c r="CM15" i="2"/>
  <c r="CN15" i="2"/>
  <c r="CO15" i="2"/>
  <c r="CP15" i="2" s="1"/>
  <c r="CQ15" i="2"/>
  <c r="CR15" i="2" s="1"/>
  <c r="DA15" i="2"/>
  <c r="DB15" i="2" s="1"/>
  <c r="DC15" i="2"/>
  <c r="DD15" i="2"/>
  <c r="DE15" i="2"/>
  <c r="DF15" i="2" s="1"/>
  <c r="DG15" i="2"/>
  <c r="DH15" i="2" s="1"/>
  <c r="DI15" i="2"/>
  <c r="DJ15" i="2"/>
  <c r="DM15" i="2"/>
  <c r="DL15" i="2" s="1"/>
  <c r="DN15" i="2"/>
  <c r="A16" i="2"/>
  <c r="B16" i="2"/>
  <c r="C16" i="2"/>
  <c r="D16" i="2"/>
  <c r="E16" i="2"/>
  <c r="F16" i="2"/>
  <c r="G16" i="2"/>
  <c r="H16" i="2"/>
  <c r="I16" i="2"/>
  <c r="J16" i="2"/>
  <c r="L16" i="2"/>
  <c r="M16" i="2"/>
  <c r="N16" i="2" s="1"/>
  <c r="O16" i="2"/>
  <c r="P16" i="2"/>
  <c r="Q16" i="2"/>
  <c r="R16" i="2"/>
  <c r="S16" i="2"/>
  <c r="T16" i="2" s="1"/>
  <c r="U16" i="2"/>
  <c r="V16" i="2"/>
  <c r="W16" i="2"/>
  <c r="X16" i="2"/>
  <c r="AA16" i="2"/>
  <c r="AB16" i="2"/>
  <c r="AC16" i="2"/>
  <c r="AD16" i="2"/>
  <c r="AE16" i="2"/>
  <c r="AF16" i="2"/>
  <c r="AG16" i="2"/>
  <c r="AH16" i="2"/>
  <c r="AI16" i="2"/>
  <c r="AJ16" i="2"/>
  <c r="AK16" i="2"/>
  <c r="AL16" i="2"/>
  <c r="AM16" i="2"/>
  <c r="AN16" i="2"/>
  <c r="AQ16" i="2"/>
  <c r="AR16" i="2" s="1"/>
  <c r="CX16" i="2" s="1"/>
  <c r="AU16" i="2"/>
  <c r="AW16" i="2"/>
  <c r="AX16" i="2"/>
  <c r="AY16" i="2"/>
  <c r="AZ16" i="2"/>
  <c r="BA16" i="2"/>
  <c r="BB16" i="2"/>
  <c r="BD16" i="2"/>
  <c r="BF16" i="2"/>
  <c r="BG16" i="2"/>
  <c r="BI16" i="2"/>
  <c r="BJ16" i="2" s="1"/>
  <c r="BK16" i="2"/>
  <c r="BL16" i="2" s="1"/>
  <c r="BM16" i="2"/>
  <c r="BN16" i="2"/>
  <c r="BO16" i="2"/>
  <c r="BP16" i="2"/>
  <c r="BQ16" i="2"/>
  <c r="BR16" i="2"/>
  <c r="BS16" i="2"/>
  <c r="BT16" i="2"/>
  <c r="BU16" i="2"/>
  <c r="BX16" i="2"/>
  <c r="BY16" i="2"/>
  <c r="BZ16" i="2"/>
  <c r="CA16" i="2"/>
  <c r="CB16" i="2"/>
  <c r="CC16" i="2"/>
  <c r="CD16" i="2"/>
  <c r="CE16" i="2"/>
  <c r="CF16" i="2"/>
  <c r="CG16" i="2"/>
  <c r="CH16" i="2"/>
  <c r="CI16" i="2"/>
  <c r="CJ16" i="2"/>
  <c r="CK16" i="2"/>
  <c r="CL16" i="2"/>
  <c r="CM16" i="2"/>
  <c r="CN16" i="2" s="1"/>
  <c r="CO16" i="2"/>
  <c r="CP16" i="2" s="1"/>
  <c r="CQ16" i="2"/>
  <c r="CR16" i="2" s="1"/>
  <c r="CT16" i="2"/>
  <c r="CU16" i="2"/>
  <c r="CV16" i="2"/>
  <c r="CW16" i="2"/>
  <c r="CY16" i="2"/>
  <c r="CZ16" i="2"/>
  <c r="DA16" i="2"/>
  <c r="DB16" i="2" s="1"/>
  <c r="DC16" i="2"/>
  <c r="DD16" i="2" s="1"/>
  <c r="DE16" i="2"/>
  <c r="DF16" i="2" s="1"/>
  <c r="DG16" i="2"/>
  <c r="DH16" i="2" s="1"/>
  <c r="DI16" i="2"/>
  <c r="DJ16" i="2"/>
  <c r="DK16" i="2"/>
  <c r="DM16" i="2"/>
  <c r="DL16" i="2" s="1"/>
  <c r="DN16" i="2"/>
  <c r="A17" i="2"/>
  <c r="B17" i="2"/>
  <c r="C17" i="2"/>
  <c r="D17" i="2"/>
  <c r="E17" i="2"/>
  <c r="F17" i="2"/>
  <c r="G17" i="2"/>
  <c r="H17" i="2"/>
  <c r="I17" i="2"/>
  <c r="J17" i="2"/>
  <c r="L17" i="2"/>
  <c r="BA17" i="2" s="1"/>
  <c r="M17" i="2"/>
  <c r="N17" i="2" s="1"/>
  <c r="O17" i="2"/>
  <c r="P17" i="2"/>
  <c r="Q17" i="2"/>
  <c r="AL17" i="2" s="1"/>
  <c r="R17" i="2"/>
  <c r="S17" i="2"/>
  <c r="T17" i="2" s="1"/>
  <c r="V17" i="2"/>
  <c r="X17" i="2"/>
  <c r="Y17" i="2"/>
  <c r="Z17" i="2"/>
  <c r="AA17" i="2"/>
  <c r="AB17" i="2"/>
  <c r="AC17" i="2"/>
  <c r="AD17" i="2"/>
  <c r="AE17" i="2"/>
  <c r="AF17" i="2"/>
  <c r="AI17" i="2" s="1"/>
  <c r="CH17" i="2" s="1"/>
  <c r="AG17" i="2"/>
  <c r="AH17" i="2"/>
  <c r="AJ17" i="2"/>
  <c r="AN17" i="2"/>
  <c r="AO17" i="2"/>
  <c r="AP17" i="2" s="1"/>
  <c r="AQ17" i="2"/>
  <c r="CV17" i="2" s="1"/>
  <c r="CW17" i="2" s="1"/>
  <c r="AR17" i="2"/>
  <c r="CX17" i="2" s="1"/>
  <c r="AS17" i="2"/>
  <c r="AT17" i="2" s="1"/>
  <c r="AU17" i="2"/>
  <c r="AV17" i="2"/>
  <c r="AW17" i="2"/>
  <c r="AX17" i="2"/>
  <c r="AZ17" i="2"/>
  <c r="BD17" i="2"/>
  <c r="BE17" i="2"/>
  <c r="BF17" i="2"/>
  <c r="BH17" i="2"/>
  <c r="BI17" i="2"/>
  <c r="BJ17" i="2" s="1"/>
  <c r="BK17" i="2"/>
  <c r="BL17" i="2"/>
  <c r="BM17" i="2"/>
  <c r="BN17" i="2"/>
  <c r="BP17" i="2"/>
  <c r="BQ17" i="2"/>
  <c r="BT17" i="2"/>
  <c r="BU17" i="2"/>
  <c r="BV17" i="2"/>
  <c r="BW17" i="2"/>
  <c r="BX17" i="2"/>
  <c r="CF17" i="2" s="1"/>
  <c r="BY17" i="2"/>
  <c r="BZ17" i="2"/>
  <c r="CA17" i="2"/>
  <c r="CB17" i="2"/>
  <c r="CC17" i="2"/>
  <c r="CD17" i="2"/>
  <c r="CE17" i="2"/>
  <c r="CG17" i="2"/>
  <c r="CI17" i="2"/>
  <c r="CJ17" i="2"/>
  <c r="CK17" i="2"/>
  <c r="CM17" i="2"/>
  <c r="CN17" i="2"/>
  <c r="CO17" i="2"/>
  <c r="CP17" i="2" s="1"/>
  <c r="CQ17" i="2"/>
  <c r="CR17" i="2"/>
  <c r="CS17" i="2"/>
  <c r="CT17" i="2"/>
  <c r="CU17" i="2" s="1"/>
  <c r="DA17" i="2"/>
  <c r="DB17" i="2" s="1"/>
  <c r="DC17" i="2"/>
  <c r="DD17" i="2"/>
  <c r="DE17" i="2"/>
  <c r="DF17" i="2" s="1"/>
  <c r="DG17" i="2"/>
  <c r="DH17" i="2"/>
  <c r="DI17" i="2"/>
  <c r="DJ17" i="2"/>
  <c r="DK17" i="2" s="1"/>
  <c r="DM17" i="2"/>
  <c r="DL17" i="2" s="1"/>
  <c r="DN17" i="2"/>
  <c r="A18" i="2"/>
  <c r="B18" i="2"/>
  <c r="C18" i="2"/>
  <c r="D18" i="2"/>
  <c r="E18" i="2"/>
  <c r="F18" i="2"/>
  <c r="G18" i="2"/>
  <c r="H18" i="2"/>
  <c r="I18" i="2"/>
  <c r="J18" i="2"/>
  <c r="L18" i="2"/>
  <c r="M18" i="2"/>
  <c r="N18" i="2" s="1"/>
  <c r="O18" i="2"/>
  <c r="P18" i="2"/>
  <c r="R18" i="2" s="1"/>
  <c r="Q18" i="2"/>
  <c r="S18" i="2"/>
  <c r="T18" i="2" s="1"/>
  <c r="V18" i="2"/>
  <c r="X18" i="2"/>
  <c r="Z18" i="2"/>
  <c r="AA18" i="2"/>
  <c r="AB18" i="2"/>
  <c r="AC18" i="2"/>
  <c r="AD18" i="2"/>
  <c r="AE18" i="2"/>
  <c r="AF18" i="2"/>
  <c r="AH18" i="2" s="1"/>
  <c r="AG18" i="2"/>
  <c r="AI18" i="2"/>
  <c r="CH18" i="2" s="1"/>
  <c r="AJ18" i="2"/>
  <c r="AN18" i="2"/>
  <c r="AV18" i="2" s="1"/>
  <c r="AO18" i="2"/>
  <c r="AP18" i="2"/>
  <c r="AQ18" i="2"/>
  <c r="AR18" i="2"/>
  <c r="CX18" i="2" s="1"/>
  <c r="AW18" i="2"/>
  <c r="AX18" i="2"/>
  <c r="AY18" i="2"/>
  <c r="AZ18" i="2"/>
  <c r="BD18" i="2"/>
  <c r="BF18" i="2"/>
  <c r="BH18" i="2"/>
  <c r="BI18" i="2"/>
  <c r="BK18" i="2"/>
  <c r="BL18" i="2" s="1"/>
  <c r="BM18" i="2"/>
  <c r="BN18" i="2"/>
  <c r="BP18" i="2"/>
  <c r="BQ18" i="2"/>
  <c r="BT18" i="2"/>
  <c r="BU18" i="2"/>
  <c r="BV18" i="2"/>
  <c r="BW18" i="2"/>
  <c r="BX18" i="2"/>
  <c r="BZ18" i="2"/>
  <c r="CB18" i="2"/>
  <c r="CE18" i="2"/>
  <c r="CG18" i="2"/>
  <c r="CI18" i="2"/>
  <c r="CJ18" i="2"/>
  <c r="CK18" i="2"/>
  <c r="CL18" i="2"/>
  <c r="CM18" i="2"/>
  <c r="CN18" i="2" s="1"/>
  <c r="CO18" i="2"/>
  <c r="CP18" i="2" s="1"/>
  <c r="CQ18" i="2"/>
  <c r="CR18" i="2" s="1"/>
  <c r="DA18" i="2"/>
  <c r="DB18" i="2"/>
  <c r="DC18" i="2"/>
  <c r="DD18" i="2" s="1"/>
  <c r="DE18" i="2"/>
  <c r="DG18" i="2"/>
  <c r="DI18" i="2"/>
  <c r="DJ18" i="2"/>
  <c r="DM18" i="2"/>
  <c r="DL18" i="2" s="1"/>
  <c r="DN18" i="2"/>
  <c r="A19" i="2"/>
  <c r="B19" i="2"/>
  <c r="C19" i="2"/>
  <c r="D19" i="2"/>
  <c r="E19" i="2"/>
  <c r="F19" i="2"/>
  <c r="G19" i="2"/>
  <c r="H19" i="2"/>
  <c r="I19" i="2"/>
  <c r="J19" i="2"/>
  <c r="L19" i="2"/>
  <c r="M19" i="2"/>
  <c r="N19" i="2" s="1"/>
  <c r="O19" i="2"/>
  <c r="P19" i="2"/>
  <c r="R19" i="2" s="1"/>
  <c r="Q19" i="2"/>
  <c r="AM19" i="2" s="1"/>
  <c r="S19" i="2"/>
  <c r="T19" i="2"/>
  <c r="U19" i="2"/>
  <c r="V19" i="2"/>
  <c r="X19" i="2"/>
  <c r="Y19" i="2"/>
  <c r="AA19" i="2"/>
  <c r="AB19" i="2"/>
  <c r="AC19" i="2"/>
  <c r="AD19" i="2"/>
  <c r="AE19" i="2"/>
  <c r="AF19" i="2"/>
  <c r="AH19" i="2" s="1"/>
  <c r="AG19" i="2"/>
  <c r="AI19" i="2"/>
  <c r="AJ19" i="2"/>
  <c r="AK19" i="2"/>
  <c r="AL19" i="2"/>
  <c r="AN19" i="2"/>
  <c r="AO19" i="2"/>
  <c r="AP19" i="2" s="1"/>
  <c r="AQ19" i="2"/>
  <c r="AR19" i="2" s="1"/>
  <c r="AS19" i="2"/>
  <c r="AT19" i="2" s="1"/>
  <c r="AU19" i="2"/>
  <c r="AV19" i="2"/>
  <c r="AW19" i="2"/>
  <c r="AX19" i="2"/>
  <c r="AY19" i="2"/>
  <c r="AZ19" i="2"/>
  <c r="BA19" i="2"/>
  <c r="BB19" i="2"/>
  <c r="BD19" i="2"/>
  <c r="BE19" i="2"/>
  <c r="BF19" i="2"/>
  <c r="BH19" i="2" s="1"/>
  <c r="BG19" i="2"/>
  <c r="BI19" i="2"/>
  <c r="BJ19" i="2" s="1"/>
  <c r="BK19" i="2"/>
  <c r="BL19" i="2"/>
  <c r="BM19" i="2"/>
  <c r="BN19" i="2"/>
  <c r="BO19" i="2"/>
  <c r="BC19" i="2" s="1"/>
  <c r="BP19" i="2"/>
  <c r="BQ19" i="2"/>
  <c r="BR19" i="2"/>
  <c r="BS19" i="2"/>
  <c r="BT19" i="2"/>
  <c r="BU19" i="2"/>
  <c r="BV19" i="2"/>
  <c r="BW19" i="2"/>
  <c r="BX19" i="2"/>
  <c r="BY19" i="2"/>
  <c r="BZ19" i="2"/>
  <c r="CA19" i="2"/>
  <c r="CB19" i="2"/>
  <c r="CC19" i="2"/>
  <c r="CD19" i="2"/>
  <c r="CE19" i="2"/>
  <c r="CF19" i="2"/>
  <c r="CG19" i="2"/>
  <c r="CH19" i="2"/>
  <c r="CI19" i="2"/>
  <c r="CJ19" i="2"/>
  <c r="CK19" i="2"/>
  <c r="CL19" i="2"/>
  <c r="CM19" i="2"/>
  <c r="CN19" i="2" s="1"/>
  <c r="CO19" i="2"/>
  <c r="CP19" i="2" s="1"/>
  <c r="CQ19" i="2"/>
  <c r="CR19" i="2"/>
  <c r="CS19" i="2"/>
  <c r="CT19" i="2"/>
  <c r="CU19" i="2"/>
  <c r="CV19" i="2"/>
  <c r="CW19" i="2"/>
  <c r="CX19" i="2"/>
  <c r="CY19" i="2"/>
  <c r="CZ19" i="2"/>
  <c r="DA19" i="2"/>
  <c r="DB19" i="2" s="1"/>
  <c r="DC19" i="2"/>
  <c r="DD19" i="2" s="1"/>
  <c r="DE19" i="2"/>
  <c r="DF19" i="2" s="1"/>
  <c r="DG19" i="2"/>
  <c r="DH19" i="2"/>
  <c r="DI19" i="2"/>
  <c r="DJ19" i="2"/>
  <c r="DK19" i="2"/>
  <c r="DM19" i="2"/>
  <c r="DL19" i="2" s="1"/>
  <c r="DN19" i="2"/>
  <c r="A20" i="2"/>
  <c r="B20" i="2"/>
  <c r="C20" i="2"/>
  <c r="D20" i="2"/>
  <c r="E20" i="2"/>
  <c r="F20" i="2"/>
  <c r="G20" i="2"/>
  <c r="H20" i="2"/>
  <c r="I20" i="2"/>
  <c r="J20" i="2"/>
  <c r="L20" i="2"/>
  <c r="CD20" i="2" s="1"/>
  <c r="M20" i="2"/>
  <c r="N20" i="2"/>
  <c r="O20" i="2"/>
  <c r="P20" i="2"/>
  <c r="Q20" i="2"/>
  <c r="AL20" i="2" s="1"/>
  <c r="S20" i="2"/>
  <c r="T20" i="2" s="1"/>
  <c r="V20" i="2"/>
  <c r="W20" i="2"/>
  <c r="X20" i="2"/>
  <c r="Z20" i="2"/>
  <c r="AA20" i="2"/>
  <c r="AB20" i="2"/>
  <c r="AC20" i="2"/>
  <c r="AD20" i="2"/>
  <c r="AE20" i="2"/>
  <c r="AF20" i="2"/>
  <c r="AG20" i="2"/>
  <c r="AJ20" i="2"/>
  <c r="AN20" i="2"/>
  <c r="AO20" i="2"/>
  <c r="AP20" i="2"/>
  <c r="AQ20" i="2"/>
  <c r="CT20" i="2" s="1"/>
  <c r="CU20" i="2" s="1"/>
  <c r="AS20" i="2"/>
  <c r="AT20" i="2"/>
  <c r="AU20" i="2"/>
  <c r="AV20" i="2"/>
  <c r="AW20" i="2"/>
  <c r="AY20" i="2" s="1"/>
  <c r="AX20" i="2"/>
  <c r="AZ20" i="2"/>
  <c r="BD20" i="2"/>
  <c r="BE20" i="2"/>
  <c r="BF20" i="2"/>
  <c r="BH20" i="2" s="1"/>
  <c r="BG20" i="2"/>
  <c r="BI20" i="2"/>
  <c r="BJ20" i="2"/>
  <c r="BK20" i="2"/>
  <c r="BL20" i="2" s="1"/>
  <c r="BM20" i="2"/>
  <c r="BN20" i="2"/>
  <c r="BB20" i="2" s="1"/>
  <c r="BP20" i="2"/>
  <c r="BQ20" i="2"/>
  <c r="BT20" i="2"/>
  <c r="BU20" i="2"/>
  <c r="BV20" i="2"/>
  <c r="BW20" i="2"/>
  <c r="BX20" i="2"/>
  <c r="CF20" i="2" s="1"/>
  <c r="BY20" i="2"/>
  <c r="BZ20" i="2"/>
  <c r="CA20" i="2" s="1"/>
  <c r="CB20" i="2"/>
  <c r="CC20" i="2" s="1"/>
  <c r="CE20" i="2"/>
  <c r="CG20" i="2"/>
  <c r="CI20" i="2"/>
  <c r="CJ20" i="2"/>
  <c r="CK20" i="2"/>
  <c r="CL20" i="2"/>
  <c r="CM20" i="2"/>
  <c r="CN20" i="2" s="1"/>
  <c r="CO20" i="2"/>
  <c r="CP20" i="2"/>
  <c r="CQ20" i="2"/>
  <c r="CS20" i="2" s="1"/>
  <c r="CR20" i="2"/>
  <c r="CY20" i="2"/>
  <c r="DA20" i="2"/>
  <c r="DB20" i="2"/>
  <c r="DC20" i="2"/>
  <c r="DD20" i="2" s="1"/>
  <c r="DE20" i="2"/>
  <c r="DF20" i="2"/>
  <c r="DG20" i="2"/>
  <c r="DH20" i="2" s="1"/>
  <c r="DI20" i="2"/>
  <c r="DJ20" i="2"/>
  <c r="DM20" i="2"/>
  <c r="DL20" i="2" s="1"/>
  <c r="DN20" i="2"/>
  <c r="A21" i="2"/>
  <c r="B21" i="2"/>
  <c r="C21" i="2"/>
  <c r="D21" i="2"/>
  <c r="E21" i="2"/>
  <c r="F21" i="2"/>
  <c r="G21" i="2"/>
  <c r="H21" i="2"/>
  <c r="I21" i="2"/>
  <c r="J21" i="2"/>
  <c r="L21" i="2"/>
  <c r="M21" i="2"/>
  <c r="N21" i="2" s="1"/>
  <c r="O21" i="2"/>
  <c r="P21" i="2"/>
  <c r="R21" i="2" s="1"/>
  <c r="Q21" i="2"/>
  <c r="AL21" i="2" s="1"/>
  <c r="S21" i="2"/>
  <c r="T21" i="2"/>
  <c r="U21" i="2"/>
  <c r="V21" i="2"/>
  <c r="W21" i="2"/>
  <c r="X21" i="2"/>
  <c r="Y21" i="2"/>
  <c r="Z21" i="2"/>
  <c r="AA21" i="2"/>
  <c r="AB21" i="2"/>
  <c r="AC21" i="2"/>
  <c r="AD21" i="2"/>
  <c r="AE21" i="2"/>
  <c r="AF21" i="2"/>
  <c r="AH21" i="2" s="1"/>
  <c r="AG21" i="2"/>
  <c r="AI21" i="2"/>
  <c r="AJ21" i="2"/>
  <c r="AK21" i="2"/>
  <c r="AM21" i="2"/>
  <c r="AN21" i="2"/>
  <c r="AV21" i="2" s="1"/>
  <c r="AQ21" i="2"/>
  <c r="AR21" i="2" s="1"/>
  <c r="AW21" i="2"/>
  <c r="AY21" i="2" s="1"/>
  <c r="AX21" i="2"/>
  <c r="AZ21" i="2"/>
  <c r="BB21" i="2" s="1"/>
  <c r="BA21" i="2"/>
  <c r="BD21" i="2"/>
  <c r="BE21" i="2" s="1"/>
  <c r="BF21" i="2"/>
  <c r="BI21" i="2"/>
  <c r="BJ21" i="2" s="1"/>
  <c r="BK21" i="2"/>
  <c r="BL21" i="2" s="1"/>
  <c r="BC21" i="2" s="1"/>
  <c r="BM21" i="2"/>
  <c r="BN21" i="2"/>
  <c r="BO21" i="2"/>
  <c r="BP21" i="2"/>
  <c r="BQ21" i="2"/>
  <c r="BS21" i="2"/>
  <c r="BT21" i="2"/>
  <c r="BU21" i="2"/>
  <c r="BV21" i="2"/>
  <c r="BW21" i="2" s="1"/>
  <c r="BX21" i="2"/>
  <c r="BY21" i="2"/>
  <c r="BZ21" i="2"/>
  <c r="CA21" i="2"/>
  <c r="CB21" i="2"/>
  <c r="CC21" i="2"/>
  <c r="CD21" i="2"/>
  <c r="CE21" i="2"/>
  <c r="CF21" i="2"/>
  <c r="CG21" i="2"/>
  <c r="CH21" i="2"/>
  <c r="CI21" i="2"/>
  <c r="CJ21" i="2"/>
  <c r="CK21" i="2"/>
  <c r="CL21" i="2"/>
  <c r="CM21" i="2"/>
  <c r="CN21" i="2" s="1"/>
  <c r="CO21" i="2"/>
  <c r="CP21" i="2" s="1"/>
  <c r="CQ21" i="2"/>
  <c r="CR21" i="2" s="1"/>
  <c r="CS21" i="2"/>
  <c r="CY21" i="2"/>
  <c r="CZ21" i="2"/>
  <c r="DA21" i="2"/>
  <c r="DB21" i="2"/>
  <c r="DC21" i="2"/>
  <c r="DD21" i="2" s="1"/>
  <c r="DE21" i="2"/>
  <c r="DF21" i="2" s="1"/>
  <c r="DG21" i="2"/>
  <c r="DH21" i="2" s="1"/>
  <c r="DI21" i="2"/>
  <c r="DJ21" i="2"/>
  <c r="DK21" i="2"/>
  <c r="DM21" i="2"/>
  <c r="DL21" i="2" s="1"/>
  <c r="DN21" i="2"/>
  <c r="A22" i="2"/>
  <c r="B22" i="2"/>
  <c r="C22" i="2"/>
  <c r="D22" i="2"/>
  <c r="E22" i="2"/>
  <c r="F22" i="2"/>
  <c r="G22" i="2"/>
  <c r="H22" i="2"/>
  <c r="I22" i="2"/>
  <c r="J22" i="2"/>
  <c r="L22" i="2"/>
  <c r="M22" i="2"/>
  <c r="N22" i="2"/>
  <c r="O22" i="2"/>
  <c r="P22" i="2"/>
  <c r="AM22" i="2" s="1"/>
  <c r="Q22" i="2"/>
  <c r="AL22" i="2" s="1"/>
  <c r="R22" i="2"/>
  <c r="S22" i="2"/>
  <c r="U22" i="2" s="1"/>
  <c r="T22" i="2"/>
  <c r="V22" i="2"/>
  <c r="Z22" i="2" s="1"/>
  <c r="W22" i="2"/>
  <c r="X22" i="2"/>
  <c r="Y22" i="2"/>
  <c r="AA22" i="2"/>
  <c r="AB22" i="2"/>
  <c r="AC22" i="2"/>
  <c r="AD22" i="2"/>
  <c r="AE22" i="2"/>
  <c r="AF22" i="2"/>
  <c r="AG22" i="2"/>
  <c r="AH22" i="2"/>
  <c r="AI22" i="2"/>
  <c r="CH22" i="2" s="1"/>
  <c r="AJ22" i="2"/>
  <c r="AK22" i="2"/>
  <c r="AN22" i="2"/>
  <c r="AO22" i="2"/>
  <c r="AP22" i="2" s="1"/>
  <c r="AQ22" i="2"/>
  <c r="BR22" i="2" s="1"/>
  <c r="AU22" i="2"/>
  <c r="AV22" i="2"/>
  <c r="AW22" i="2"/>
  <c r="AX22" i="2"/>
  <c r="AY22" i="2"/>
  <c r="AZ22" i="2"/>
  <c r="BA22" i="2" s="1"/>
  <c r="BD22" i="2"/>
  <c r="BE22" i="2"/>
  <c r="BF22" i="2"/>
  <c r="BH22" i="2" s="1"/>
  <c r="BG22" i="2"/>
  <c r="BI22" i="2"/>
  <c r="BJ22" i="2"/>
  <c r="BK22" i="2"/>
  <c r="BL22" i="2" s="1"/>
  <c r="BM22" i="2"/>
  <c r="BN22" i="2"/>
  <c r="BB22" i="2" s="1"/>
  <c r="BP22" i="2"/>
  <c r="BQ22" i="2"/>
  <c r="BT22" i="2"/>
  <c r="BU22" i="2"/>
  <c r="BV22" i="2"/>
  <c r="BW22" i="2"/>
  <c r="BX22" i="2"/>
  <c r="BY22" i="2"/>
  <c r="BZ22" i="2"/>
  <c r="CA22" i="2"/>
  <c r="CB22" i="2"/>
  <c r="CC22" i="2"/>
  <c r="CD22" i="2"/>
  <c r="CE22" i="2"/>
  <c r="CF22" i="2"/>
  <c r="CG22" i="2"/>
  <c r="CI22" i="2"/>
  <c r="CJ22" i="2"/>
  <c r="CK22" i="2"/>
  <c r="CL22" i="2"/>
  <c r="CM22" i="2"/>
  <c r="CN22" i="2" s="1"/>
  <c r="CO22" i="2"/>
  <c r="CP22" i="2" s="1"/>
  <c r="CQ22" i="2"/>
  <c r="CR22" i="2" s="1"/>
  <c r="CS22" i="2"/>
  <c r="CT22" i="2"/>
  <c r="CU22" i="2"/>
  <c r="CV22" i="2"/>
  <c r="CW22" i="2" s="1"/>
  <c r="CY22" i="2"/>
  <c r="CZ22" i="2"/>
  <c r="DA22" i="2"/>
  <c r="DB22" i="2" s="1"/>
  <c r="DC22" i="2"/>
  <c r="DD22" i="2" s="1"/>
  <c r="DE22" i="2"/>
  <c r="DF22" i="2" s="1"/>
  <c r="DG22" i="2"/>
  <c r="DH22" i="2" s="1"/>
  <c r="DI22" i="2"/>
  <c r="DJ22" i="2"/>
  <c r="DK22" i="2" s="1"/>
  <c r="DL22" i="2"/>
  <c r="DM22" i="2"/>
  <c r="DN22" i="2"/>
  <c r="A23" i="2"/>
  <c r="B23" i="2"/>
  <c r="C23" i="2"/>
  <c r="D23" i="2"/>
  <c r="E23" i="2"/>
  <c r="F23" i="2"/>
  <c r="G23" i="2"/>
  <c r="H23" i="2"/>
  <c r="I23" i="2"/>
  <c r="J23" i="2"/>
  <c r="L23" i="2"/>
  <c r="M23" i="2"/>
  <c r="N23" i="2" s="1"/>
  <c r="O23" i="2"/>
  <c r="P23" i="2"/>
  <c r="Q23" i="2"/>
  <c r="R23" i="2" s="1"/>
  <c r="S23" i="2"/>
  <c r="T23" i="2" s="1"/>
  <c r="V23" i="2"/>
  <c r="X23" i="2"/>
  <c r="Z23" i="2" s="1"/>
  <c r="AA23" i="2"/>
  <c r="AB23" i="2"/>
  <c r="AC23" i="2"/>
  <c r="AD23" i="2"/>
  <c r="AE23" i="2"/>
  <c r="AF23" i="2"/>
  <c r="AG23" i="2"/>
  <c r="AH23" i="2" s="1"/>
  <c r="AI23" i="2"/>
  <c r="CH23" i="2" s="1"/>
  <c r="AJ23" i="2"/>
  <c r="AN23" i="2"/>
  <c r="AV23" i="2" s="1"/>
  <c r="AO23" i="2"/>
  <c r="AP23" i="2" s="1"/>
  <c r="AQ23" i="2"/>
  <c r="AU23" i="2" s="1"/>
  <c r="AS23" i="2"/>
  <c r="AT23" i="2" s="1"/>
  <c r="AW23" i="2"/>
  <c r="AX23" i="2"/>
  <c r="AY23" i="2"/>
  <c r="AZ23" i="2"/>
  <c r="BD23" i="2"/>
  <c r="BF23" i="2"/>
  <c r="BH23" i="2"/>
  <c r="BI23" i="2"/>
  <c r="BJ23" i="2"/>
  <c r="BK23" i="2"/>
  <c r="BL23" i="2" s="1"/>
  <c r="BM23" i="2"/>
  <c r="BN23" i="2"/>
  <c r="BB23" i="2" s="1"/>
  <c r="BP23" i="2"/>
  <c r="BQ23" i="2"/>
  <c r="BT23" i="2"/>
  <c r="BU23" i="2"/>
  <c r="BX23" i="2"/>
  <c r="CF23" i="2" s="1"/>
  <c r="BZ23" i="2"/>
  <c r="CB23" i="2"/>
  <c r="CE23" i="2"/>
  <c r="CG23" i="2"/>
  <c r="CI23" i="2"/>
  <c r="CJ23" i="2"/>
  <c r="CK23" i="2"/>
  <c r="CM23" i="2"/>
  <c r="CN23" i="2"/>
  <c r="CO23" i="2"/>
  <c r="CP23" i="2" s="1"/>
  <c r="CQ23" i="2"/>
  <c r="DA23" i="2"/>
  <c r="DC23" i="2"/>
  <c r="DE23" i="2"/>
  <c r="DF23" i="2" s="1"/>
  <c r="DG23" i="2"/>
  <c r="DI23" i="2"/>
  <c r="DJ23" i="2"/>
  <c r="DM23" i="2"/>
  <c r="DN23" i="2"/>
  <c r="A24" i="2"/>
  <c r="B24" i="2"/>
  <c r="C24" i="2"/>
  <c r="D24" i="2"/>
  <c r="E24" i="2"/>
  <c r="F24" i="2"/>
  <c r="G24" i="2"/>
  <c r="H24" i="2"/>
  <c r="I24" i="2"/>
  <c r="J24" i="2"/>
  <c r="L24" i="2"/>
  <c r="M24" i="2"/>
  <c r="N24" i="2" s="1"/>
  <c r="O24" i="2"/>
  <c r="P24" i="2"/>
  <c r="Q24" i="2"/>
  <c r="R24" i="2" s="1"/>
  <c r="S24" i="2"/>
  <c r="T24" i="2" s="1"/>
  <c r="U24" i="2"/>
  <c r="V24" i="2"/>
  <c r="W24" i="2" s="1"/>
  <c r="X24" i="2"/>
  <c r="AA24" i="2"/>
  <c r="AB24" i="2"/>
  <c r="AC24" i="2"/>
  <c r="AD24" i="2"/>
  <c r="AE24" i="2"/>
  <c r="AF24" i="2"/>
  <c r="AG24" i="2"/>
  <c r="AH24" i="2" s="1"/>
  <c r="AI24" i="2"/>
  <c r="AJ24" i="2"/>
  <c r="AK24" i="2"/>
  <c r="AL24" i="2"/>
  <c r="AM24" i="2"/>
  <c r="AN24" i="2"/>
  <c r="AQ24" i="2"/>
  <c r="AR24" i="2" s="1"/>
  <c r="CX24" i="2" s="1"/>
  <c r="AU24" i="2"/>
  <c r="AW24" i="2"/>
  <c r="AX24" i="2"/>
  <c r="AY24" i="2"/>
  <c r="AZ24" i="2"/>
  <c r="BA24" i="2"/>
  <c r="BB24" i="2"/>
  <c r="BD24" i="2"/>
  <c r="BF24" i="2"/>
  <c r="BG24" i="2"/>
  <c r="BI24" i="2"/>
  <c r="BJ24" i="2" s="1"/>
  <c r="BK24" i="2"/>
  <c r="BL24" i="2" s="1"/>
  <c r="BC24" i="2" s="1"/>
  <c r="BM24" i="2"/>
  <c r="BN24" i="2"/>
  <c r="BO24" i="2"/>
  <c r="BP24" i="2"/>
  <c r="BQ24" i="2"/>
  <c r="BR24" i="2"/>
  <c r="BS24" i="2"/>
  <c r="BT24" i="2"/>
  <c r="BU24" i="2"/>
  <c r="BX24" i="2"/>
  <c r="BY24" i="2"/>
  <c r="BZ24" i="2"/>
  <c r="CA24" i="2"/>
  <c r="CB24" i="2"/>
  <c r="CC24" i="2"/>
  <c r="CD24" i="2"/>
  <c r="CE24" i="2"/>
  <c r="CF24" i="2"/>
  <c r="CG24" i="2"/>
  <c r="CH24" i="2"/>
  <c r="CI24" i="2"/>
  <c r="CJ24" i="2"/>
  <c r="CK24" i="2"/>
  <c r="CL24" i="2"/>
  <c r="CM24" i="2"/>
  <c r="CN24" i="2" s="1"/>
  <c r="CO24" i="2"/>
  <c r="CP24" i="2" s="1"/>
  <c r="CQ24" i="2"/>
  <c r="CR24" i="2" s="1"/>
  <c r="CT24" i="2"/>
  <c r="CU24" i="2"/>
  <c r="CV24" i="2"/>
  <c r="CW24" i="2"/>
  <c r="CY24" i="2"/>
  <c r="CZ24" i="2"/>
  <c r="DA24" i="2"/>
  <c r="DB24" i="2" s="1"/>
  <c r="DC24" i="2"/>
  <c r="DD24" i="2" s="1"/>
  <c r="DE24" i="2"/>
  <c r="DF24" i="2" s="1"/>
  <c r="DG24" i="2"/>
  <c r="DH24" i="2" s="1"/>
  <c r="DI24" i="2"/>
  <c r="DJ24" i="2"/>
  <c r="DK24" i="2"/>
  <c r="DM24" i="2"/>
  <c r="DL24" i="2" s="1"/>
  <c r="DN24" i="2"/>
  <c r="A25" i="2"/>
  <c r="B25" i="2"/>
  <c r="C25" i="2"/>
  <c r="D25" i="2"/>
  <c r="E25" i="2"/>
  <c r="F25" i="2"/>
  <c r="G25" i="2"/>
  <c r="H25" i="2"/>
  <c r="I25" i="2"/>
  <c r="J25" i="2"/>
  <c r="L25" i="2"/>
  <c r="BA25" i="2" s="1"/>
  <c r="M25" i="2"/>
  <c r="N25" i="2" s="1"/>
  <c r="O25" i="2"/>
  <c r="P25" i="2"/>
  <c r="Q25" i="2"/>
  <c r="AL25" i="2" s="1"/>
  <c r="R25" i="2"/>
  <c r="S25" i="2"/>
  <c r="T25" i="2" s="1"/>
  <c r="V25" i="2"/>
  <c r="Z25" i="2" s="1"/>
  <c r="X25" i="2"/>
  <c r="Y25" i="2"/>
  <c r="AA25" i="2"/>
  <c r="AB25" i="2"/>
  <c r="AC25" i="2"/>
  <c r="AD25" i="2"/>
  <c r="AE25" i="2"/>
  <c r="AF25" i="2"/>
  <c r="AG25" i="2"/>
  <c r="AJ25" i="2"/>
  <c r="AN25" i="2"/>
  <c r="BV25" i="2" s="1"/>
  <c r="BW25" i="2" s="1"/>
  <c r="AO25" i="2"/>
  <c r="AQ25" i="2"/>
  <c r="CV25" i="2" s="1"/>
  <c r="CW25" i="2" s="1"/>
  <c r="AU25" i="2"/>
  <c r="AV25" i="2"/>
  <c r="AW25" i="2"/>
  <c r="AX25" i="2"/>
  <c r="AZ25" i="2"/>
  <c r="BD25" i="2"/>
  <c r="BE25" i="2"/>
  <c r="BF25" i="2"/>
  <c r="BG25" i="2"/>
  <c r="BH25" i="2"/>
  <c r="BI25" i="2"/>
  <c r="BJ25" i="2" s="1"/>
  <c r="BK25" i="2"/>
  <c r="BL25" i="2"/>
  <c r="BM25" i="2"/>
  <c r="BN25" i="2"/>
  <c r="BP25" i="2"/>
  <c r="BQ25" i="2"/>
  <c r="BT25" i="2"/>
  <c r="BU25" i="2"/>
  <c r="BX25" i="2"/>
  <c r="CF25" i="2" s="1"/>
  <c r="BY25" i="2"/>
  <c r="BZ25" i="2"/>
  <c r="CA25" i="2"/>
  <c r="CB25" i="2"/>
  <c r="CC25" i="2" s="1"/>
  <c r="CD25" i="2"/>
  <c r="CE25" i="2"/>
  <c r="CG25" i="2"/>
  <c r="CI25" i="2"/>
  <c r="CJ25" i="2"/>
  <c r="CK25" i="2"/>
  <c r="CM25" i="2"/>
  <c r="CN25" i="2" s="1"/>
  <c r="CO25" i="2"/>
  <c r="CP25" i="2" s="1"/>
  <c r="CQ25" i="2"/>
  <c r="CR25" i="2"/>
  <c r="CS25" i="2"/>
  <c r="CT25" i="2"/>
  <c r="CU25" i="2" s="1"/>
  <c r="CY25" i="2"/>
  <c r="DA25" i="2"/>
  <c r="DB25" i="2" s="1"/>
  <c r="DC25" i="2"/>
  <c r="DD25" i="2" s="1"/>
  <c r="DE25" i="2"/>
  <c r="DF25" i="2" s="1"/>
  <c r="DG25" i="2"/>
  <c r="DH25" i="2"/>
  <c r="DI25" i="2"/>
  <c r="DJ25" i="2"/>
  <c r="DK25" i="2" s="1"/>
  <c r="DM25" i="2"/>
  <c r="DL25" i="2" s="1"/>
  <c r="DN25" i="2"/>
  <c r="A26" i="2"/>
  <c r="B26" i="2"/>
  <c r="C26" i="2"/>
  <c r="D26" i="2"/>
  <c r="E26" i="2"/>
  <c r="F26" i="2"/>
  <c r="G26" i="2"/>
  <c r="H26" i="2"/>
  <c r="I26" i="2"/>
  <c r="J26" i="2"/>
  <c r="L26" i="2"/>
  <c r="M26" i="2"/>
  <c r="N26" i="2" s="1"/>
  <c r="O26" i="2"/>
  <c r="P26" i="2"/>
  <c r="R26" i="2" s="1"/>
  <c r="Q26" i="2"/>
  <c r="S26" i="2"/>
  <c r="V26" i="2"/>
  <c r="X26" i="2"/>
  <c r="Z26" i="2"/>
  <c r="AA26" i="2"/>
  <c r="AB26" i="2"/>
  <c r="AC26" i="2"/>
  <c r="AD26" i="2"/>
  <c r="AE26" i="2"/>
  <c r="AF26" i="2"/>
  <c r="AH26" i="2" s="1"/>
  <c r="AG26" i="2"/>
  <c r="AI26" i="2"/>
  <c r="AJ26" i="2"/>
  <c r="AN26" i="2"/>
  <c r="AV26" i="2" s="1"/>
  <c r="AO26" i="2"/>
  <c r="AP26" i="2"/>
  <c r="AQ26" i="2"/>
  <c r="AR26" i="2" s="1"/>
  <c r="CX26" i="2" s="1"/>
  <c r="AW26" i="2"/>
  <c r="AX26" i="2"/>
  <c r="AY26" i="2"/>
  <c r="AZ26" i="2"/>
  <c r="BD26" i="2"/>
  <c r="BE26" i="2"/>
  <c r="BF26" i="2"/>
  <c r="BG26" i="2" s="1"/>
  <c r="BH26" i="2"/>
  <c r="BI26" i="2"/>
  <c r="BJ26" i="2" s="1"/>
  <c r="BK26" i="2"/>
  <c r="BL26" i="2" s="1"/>
  <c r="BM26" i="2"/>
  <c r="BN26" i="2"/>
  <c r="BO26" i="2"/>
  <c r="BP26" i="2"/>
  <c r="BQ26" i="2"/>
  <c r="BT26" i="2"/>
  <c r="BU26" i="2"/>
  <c r="BV26" i="2"/>
  <c r="BW26" i="2" s="1"/>
  <c r="BX26" i="2"/>
  <c r="CF26" i="2" s="1"/>
  <c r="BY26" i="2"/>
  <c r="BZ26" i="2"/>
  <c r="CB26" i="2"/>
  <c r="CE26" i="2"/>
  <c r="CG26" i="2"/>
  <c r="CI26" i="2"/>
  <c r="CJ26" i="2"/>
  <c r="CK26" i="2"/>
  <c r="CL26" i="2"/>
  <c r="CM26" i="2"/>
  <c r="CN26" i="2" s="1"/>
  <c r="CO26" i="2"/>
  <c r="CP26" i="2" s="1"/>
  <c r="CQ26" i="2"/>
  <c r="CR26" i="2" s="1"/>
  <c r="DA26" i="2"/>
  <c r="DB26" i="2" s="1"/>
  <c r="DC26" i="2"/>
  <c r="DD26" i="2"/>
  <c r="DE26" i="2"/>
  <c r="DF26" i="2" s="1"/>
  <c r="DG26" i="2"/>
  <c r="DH26" i="2" s="1"/>
  <c r="DI26" i="2"/>
  <c r="DJ26" i="2"/>
  <c r="DK26" i="2"/>
  <c r="DM26" i="2"/>
  <c r="DL26" i="2" s="1"/>
  <c r="DN26" i="2"/>
  <c r="A27" i="2"/>
  <c r="B27" i="2"/>
  <c r="C27" i="2"/>
  <c r="D27" i="2"/>
  <c r="E27" i="2"/>
  <c r="F27" i="2"/>
  <c r="G27" i="2"/>
  <c r="H27" i="2"/>
  <c r="I27" i="2"/>
  <c r="J27" i="2"/>
  <c r="L27" i="2"/>
  <c r="M27" i="2"/>
  <c r="N27" i="2" s="1"/>
  <c r="O27" i="2"/>
  <c r="P27" i="2"/>
  <c r="R27" i="2" s="1"/>
  <c r="Q27" i="2"/>
  <c r="S27" i="2"/>
  <c r="T27" i="2"/>
  <c r="U27" i="2"/>
  <c r="V27" i="2"/>
  <c r="Z27" i="2" s="1"/>
  <c r="W27" i="2"/>
  <c r="X27" i="2"/>
  <c r="Y27" i="2"/>
  <c r="AA27" i="2"/>
  <c r="AB27" i="2"/>
  <c r="AC27" i="2"/>
  <c r="AD27" i="2"/>
  <c r="AE27" i="2"/>
  <c r="AF27" i="2"/>
  <c r="AH27" i="2" s="1"/>
  <c r="AG27" i="2"/>
  <c r="AI27" i="2"/>
  <c r="AJ27" i="2"/>
  <c r="AK27" i="2"/>
  <c r="AL27" i="2"/>
  <c r="AM27" i="2"/>
  <c r="AN27" i="2"/>
  <c r="AO27" i="2"/>
  <c r="AP27" i="2" s="1"/>
  <c r="AQ27" i="2"/>
  <c r="AR27" i="2" s="1"/>
  <c r="CX27" i="2" s="1"/>
  <c r="AS27" i="2"/>
  <c r="AT27" i="2" s="1"/>
  <c r="AU27" i="2"/>
  <c r="AV27" i="2"/>
  <c r="AW27" i="2"/>
  <c r="AX27" i="2"/>
  <c r="AY27" i="2"/>
  <c r="AZ27" i="2"/>
  <c r="BA27" i="2"/>
  <c r="BB27" i="2"/>
  <c r="BD27" i="2"/>
  <c r="BE27" i="2"/>
  <c r="BF27" i="2"/>
  <c r="BH27" i="2" s="1"/>
  <c r="BG27" i="2"/>
  <c r="BI27" i="2"/>
  <c r="BJ27" i="2" s="1"/>
  <c r="BK27" i="2"/>
  <c r="BL27" i="2" s="1"/>
  <c r="BM27" i="2"/>
  <c r="BN27" i="2"/>
  <c r="BO27" i="2"/>
  <c r="BC27" i="2" s="1"/>
  <c r="BP27" i="2"/>
  <c r="BQ27" i="2"/>
  <c r="BR27" i="2"/>
  <c r="BS27" i="2"/>
  <c r="BT27" i="2"/>
  <c r="BU27" i="2"/>
  <c r="BV27" i="2"/>
  <c r="BW27" i="2"/>
  <c r="BX27" i="2"/>
  <c r="BY27" i="2"/>
  <c r="BZ27" i="2"/>
  <c r="CA27" i="2"/>
  <c r="CB27" i="2"/>
  <c r="CC27" i="2"/>
  <c r="CD27" i="2"/>
  <c r="CE27" i="2"/>
  <c r="CF27" i="2"/>
  <c r="CG27" i="2"/>
  <c r="CH27" i="2"/>
  <c r="CI27" i="2"/>
  <c r="CJ27" i="2"/>
  <c r="CK27" i="2"/>
  <c r="CL27" i="2"/>
  <c r="CM27" i="2"/>
  <c r="CN27" i="2" s="1"/>
  <c r="CO27" i="2"/>
  <c r="CQ27" i="2"/>
  <c r="CR27" i="2" s="1"/>
  <c r="CV27" i="2"/>
  <c r="CW27" i="2" s="1"/>
  <c r="CY27" i="2"/>
  <c r="CZ27" i="2"/>
  <c r="DA27" i="2"/>
  <c r="DB27" i="2" s="1"/>
  <c r="DC27" i="2"/>
  <c r="DD27" i="2" s="1"/>
  <c r="DE27" i="2"/>
  <c r="DF27" i="2" s="1"/>
  <c r="DG27" i="2"/>
  <c r="DH27" i="2" s="1"/>
  <c r="DI27" i="2"/>
  <c r="DJ27" i="2"/>
  <c r="DK27" i="2"/>
  <c r="DM27" i="2"/>
  <c r="DL27" i="2" s="1"/>
  <c r="DN27" i="2"/>
  <c r="A28" i="2"/>
  <c r="B28" i="2"/>
  <c r="C28" i="2"/>
  <c r="D28" i="2"/>
  <c r="E28" i="2"/>
  <c r="F28" i="2"/>
  <c r="G28" i="2"/>
  <c r="H28" i="2"/>
  <c r="I28" i="2"/>
  <c r="J28" i="2"/>
  <c r="L28" i="2"/>
  <c r="CD28" i="2" s="1"/>
  <c r="M28" i="2"/>
  <c r="N28" i="2"/>
  <c r="O28" i="2"/>
  <c r="P28" i="2"/>
  <c r="Q28" i="2"/>
  <c r="AL28" i="2" s="1"/>
  <c r="S28" i="2"/>
  <c r="T28" i="2" s="1"/>
  <c r="V28" i="2"/>
  <c r="W28" i="2"/>
  <c r="X28" i="2"/>
  <c r="Y28" i="2"/>
  <c r="Z28" i="2"/>
  <c r="AA28" i="2"/>
  <c r="AB28" i="2"/>
  <c r="AC28" i="2"/>
  <c r="AD28" i="2"/>
  <c r="AE28" i="2"/>
  <c r="AF28" i="2"/>
  <c r="AG28" i="2"/>
  <c r="AJ28" i="2"/>
  <c r="AN28" i="2"/>
  <c r="AO28" i="2"/>
  <c r="AP28" i="2" s="1"/>
  <c r="AQ28" i="2"/>
  <c r="AS28" i="2" s="1"/>
  <c r="AT28" i="2" s="1"/>
  <c r="AV28" i="2"/>
  <c r="AW28" i="2"/>
  <c r="AY28" i="2" s="1"/>
  <c r="AX28" i="2"/>
  <c r="AZ28" i="2"/>
  <c r="BA28" i="2"/>
  <c r="BD28" i="2"/>
  <c r="BE28" i="2"/>
  <c r="BF28" i="2"/>
  <c r="BH28" i="2" s="1"/>
  <c r="BG28" i="2"/>
  <c r="BI28" i="2"/>
  <c r="BJ28" i="2"/>
  <c r="BK28" i="2"/>
  <c r="BL28" i="2" s="1"/>
  <c r="BM28" i="2"/>
  <c r="BN28" i="2"/>
  <c r="BO28" i="2"/>
  <c r="BP28" i="2"/>
  <c r="BQ28" i="2"/>
  <c r="BT28" i="2"/>
  <c r="BU28" i="2"/>
  <c r="BV28" i="2"/>
  <c r="BW28" i="2"/>
  <c r="BX28" i="2"/>
  <c r="CF28" i="2" s="1"/>
  <c r="BY28" i="2"/>
  <c r="BZ28" i="2"/>
  <c r="CA28" i="2"/>
  <c r="CB28" i="2"/>
  <c r="CC28" i="2" s="1"/>
  <c r="CE28" i="2"/>
  <c r="CG28" i="2"/>
  <c r="CI28" i="2"/>
  <c r="CJ28" i="2"/>
  <c r="CK28" i="2"/>
  <c r="CL28" i="2"/>
  <c r="CM28" i="2"/>
  <c r="CN28" i="2" s="1"/>
  <c r="CO28" i="2"/>
  <c r="CP28" i="2" s="1"/>
  <c r="CQ28" i="2"/>
  <c r="CR28" i="2"/>
  <c r="CS28" i="2"/>
  <c r="CY28" i="2"/>
  <c r="DA28" i="2"/>
  <c r="DB28" i="2" s="1"/>
  <c r="DC28" i="2"/>
  <c r="DD28" i="2" s="1"/>
  <c r="DE28" i="2"/>
  <c r="DF28" i="2" s="1"/>
  <c r="DG28" i="2"/>
  <c r="DH28" i="2"/>
  <c r="DI28" i="2"/>
  <c r="DJ28" i="2"/>
  <c r="DK28" i="2"/>
  <c r="DM28" i="2"/>
  <c r="DL28" i="2" s="1"/>
  <c r="DN28" i="2"/>
  <c r="A29" i="2"/>
  <c r="B29" i="2"/>
  <c r="C29" i="2"/>
  <c r="D29" i="2"/>
  <c r="E29" i="2"/>
  <c r="F29" i="2"/>
  <c r="G29" i="2"/>
  <c r="H29" i="2"/>
  <c r="I29" i="2"/>
  <c r="J29" i="2"/>
  <c r="L29" i="2"/>
  <c r="M29" i="2"/>
  <c r="N29" i="2" s="1"/>
  <c r="O29" i="2"/>
  <c r="P29" i="2"/>
  <c r="R29" i="2" s="1"/>
  <c r="Q29" i="2"/>
  <c r="AL29" i="2" s="1"/>
  <c r="S29" i="2"/>
  <c r="T29" i="2" s="1"/>
  <c r="U29" i="2"/>
  <c r="V29" i="2"/>
  <c r="W29" i="2"/>
  <c r="X29" i="2"/>
  <c r="Y29" i="2"/>
  <c r="Z29" i="2"/>
  <c r="AA29" i="2"/>
  <c r="AB29" i="2"/>
  <c r="AC29" i="2"/>
  <c r="AD29" i="2"/>
  <c r="AE29" i="2"/>
  <c r="AF29" i="2"/>
  <c r="AH29" i="2" s="1"/>
  <c r="AG29" i="2"/>
  <c r="AI29" i="2"/>
  <c r="CH29" i="2" s="1"/>
  <c r="AJ29" i="2"/>
  <c r="AK29" i="2"/>
  <c r="AN29" i="2"/>
  <c r="AV29" i="2" s="1"/>
  <c r="AQ29" i="2"/>
  <c r="BS29" i="2" s="1"/>
  <c r="AW29" i="2"/>
  <c r="AY29" i="2" s="1"/>
  <c r="AX29" i="2"/>
  <c r="AZ29" i="2"/>
  <c r="BA29" i="2"/>
  <c r="BD29" i="2"/>
  <c r="BE29" i="2"/>
  <c r="BF29" i="2"/>
  <c r="BG29" i="2"/>
  <c r="BI29" i="2"/>
  <c r="BJ29" i="2" s="1"/>
  <c r="BK29" i="2"/>
  <c r="BL29" i="2" s="1"/>
  <c r="BM29" i="2"/>
  <c r="BN29" i="2"/>
  <c r="BO29" i="2"/>
  <c r="BP29" i="2"/>
  <c r="BQ29" i="2"/>
  <c r="BT29" i="2"/>
  <c r="BU29" i="2"/>
  <c r="BX29" i="2"/>
  <c r="BY29" i="2"/>
  <c r="BZ29" i="2"/>
  <c r="CA29" i="2"/>
  <c r="CB29" i="2"/>
  <c r="CC29" i="2"/>
  <c r="CD29" i="2"/>
  <c r="CE29" i="2"/>
  <c r="CF29" i="2"/>
  <c r="CG29" i="2"/>
  <c r="CI29" i="2"/>
  <c r="CJ29" i="2"/>
  <c r="CK29" i="2"/>
  <c r="CL29" i="2"/>
  <c r="CM29" i="2"/>
  <c r="CN29" i="2" s="1"/>
  <c r="CO29" i="2"/>
  <c r="CP29" i="2" s="1"/>
  <c r="CQ29" i="2"/>
  <c r="CR29" i="2" s="1"/>
  <c r="CS29" i="2"/>
  <c r="CY29" i="2"/>
  <c r="CZ29" i="2"/>
  <c r="DA29" i="2"/>
  <c r="DB29" i="2"/>
  <c r="DC29" i="2"/>
  <c r="DD29" i="2" s="1"/>
  <c r="DE29" i="2"/>
  <c r="DF29" i="2" s="1"/>
  <c r="DG29" i="2"/>
  <c r="DH29" i="2" s="1"/>
  <c r="DI29" i="2"/>
  <c r="DJ29" i="2"/>
  <c r="DK29" i="2"/>
  <c r="DM29" i="2"/>
  <c r="DL29" i="2" s="1"/>
  <c r="DN29" i="2"/>
  <c r="A30" i="2"/>
  <c r="B30" i="2"/>
  <c r="C30" i="2"/>
  <c r="D30" i="2"/>
  <c r="E30" i="2"/>
  <c r="F30" i="2"/>
  <c r="G30" i="2"/>
  <c r="H30" i="2"/>
  <c r="I30" i="2"/>
  <c r="J30" i="2"/>
  <c r="L30" i="2"/>
  <c r="M30" i="2"/>
  <c r="N30" i="2" s="1"/>
  <c r="O30" i="2"/>
  <c r="P30" i="2"/>
  <c r="Q30" i="2"/>
  <c r="AL30" i="2" s="1"/>
  <c r="R30" i="2"/>
  <c r="S30" i="2"/>
  <c r="U30" i="2" s="1"/>
  <c r="T30" i="2"/>
  <c r="V30" i="2"/>
  <c r="Z30" i="2" s="1"/>
  <c r="W30" i="2"/>
  <c r="X30" i="2"/>
  <c r="Y30" i="2"/>
  <c r="AA30" i="2"/>
  <c r="AB30" i="2"/>
  <c r="AC30" i="2"/>
  <c r="AD30" i="2"/>
  <c r="AE30" i="2"/>
  <c r="AF30" i="2"/>
  <c r="AG30" i="2"/>
  <c r="AH30" i="2"/>
  <c r="AI30" i="2"/>
  <c r="CH30" i="2" s="1"/>
  <c r="AJ30" i="2"/>
  <c r="AK30" i="2"/>
  <c r="AN30" i="2"/>
  <c r="BV30" i="2" s="1"/>
  <c r="AO30" i="2"/>
  <c r="AP30" i="2" s="1"/>
  <c r="AQ30" i="2"/>
  <c r="AS30" i="2"/>
  <c r="AT30" i="2" s="1"/>
  <c r="AU30" i="2"/>
  <c r="AV30" i="2"/>
  <c r="AW30" i="2"/>
  <c r="AX30" i="2"/>
  <c r="AY30" i="2" s="1"/>
  <c r="AZ30" i="2"/>
  <c r="BA30" i="2" s="1"/>
  <c r="BD30" i="2"/>
  <c r="BE30" i="2"/>
  <c r="BF30" i="2"/>
  <c r="BG30" i="2"/>
  <c r="BH30" i="2"/>
  <c r="BI30" i="2"/>
  <c r="BJ30" i="2" s="1"/>
  <c r="BK30" i="2"/>
  <c r="BL30" i="2" s="1"/>
  <c r="BM30" i="2"/>
  <c r="BN30" i="2"/>
  <c r="BO30" i="2" s="1"/>
  <c r="BP30" i="2"/>
  <c r="BQ30" i="2"/>
  <c r="BS30" i="2"/>
  <c r="BT30" i="2"/>
  <c r="BU30" i="2"/>
  <c r="BW30" i="2"/>
  <c r="BX30" i="2"/>
  <c r="BY30" i="2"/>
  <c r="BZ30" i="2"/>
  <c r="CA30" i="2"/>
  <c r="CB30" i="2"/>
  <c r="CC30" i="2"/>
  <c r="CD30" i="2"/>
  <c r="CE30" i="2"/>
  <c r="CF30" i="2"/>
  <c r="CG30" i="2"/>
  <c r="CI30" i="2"/>
  <c r="CJ30" i="2"/>
  <c r="CK30" i="2"/>
  <c r="CL30" i="2"/>
  <c r="CM30" i="2"/>
  <c r="CN30" i="2" s="1"/>
  <c r="CO30" i="2"/>
  <c r="CP30" i="2" s="1"/>
  <c r="CQ30" i="2"/>
  <c r="CR30" i="2" s="1"/>
  <c r="CT30" i="2"/>
  <c r="CU30" i="2" s="1"/>
  <c r="CV30" i="2"/>
  <c r="CW30" i="2" s="1"/>
  <c r="CY30" i="2"/>
  <c r="CZ30" i="2"/>
  <c r="DA30" i="2"/>
  <c r="DB30" i="2" s="1"/>
  <c r="DC30" i="2"/>
  <c r="DD30" i="2" s="1"/>
  <c r="DE30" i="2"/>
  <c r="DF30" i="2" s="1"/>
  <c r="DG30" i="2"/>
  <c r="DH30" i="2" s="1"/>
  <c r="DI30" i="2"/>
  <c r="DJ30" i="2"/>
  <c r="DK30" i="2" s="1"/>
  <c r="DM30" i="2"/>
  <c r="DL30" i="2" s="1"/>
  <c r="DN30" i="2"/>
  <c r="A31" i="2"/>
  <c r="B31" i="2"/>
  <c r="C31" i="2"/>
  <c r="D31" i="2"/>
  <c r="E31" i="2"/>
  <c r="F31" i="2"/>
  <c r="G31" i="2"/>
  <c r="H31" i="2"/>
  <c r="I31" i="2"/>
  <c r="J31" i="2"/>
  <c r="L31" i="2"/>
  <c r="BA31" i="2" s="1"/>
  <c r="M31" i="2"/>
  <c r="N31" i="2"/>
  <c r="O31" i="2"/>
  <c r="P31" i="2"/>
  <c r="Q31" i="2"/>
  <c r="S31" i="2"/>
  <c r="T31" i="2" s="1"/>
  <c r="V31" i="2"/>
  <c r="X31" i="2"/>
  <c r="Z31" i="2" s="1"/>
  <c r="AA31" i="2"/>
  <c r="AB31" i="2"/>
  <c r="AC31" i="2"/>
  <c r="AD31" i="2"/>
  <c r="AE31" i="2"/>
  <c r="AF31" i="2"/>
  <c r="AG31" i="2"/>
  <c r="AI31" i="2"/>
  <c r="AJ31" i="2"/>
  <c r="AK31" i="2"/>
  <c r="AN31" i="2"/>
  <c r="AO31" i="2" s="1"/>
  <c r="AQ31" i="2"/>
  <c r="AR31" i="2" s="1"/>
  <c r="CX31" i="2" s="1"/>
  <c r="AU31" i="2"/>
  <c r="AW31" i="2"/>
  <c r="AY31" i="2" s="1"/>
  <c r="AX31" i="2"/>
  <c r="AZ31" i="2"/>
  <c r="BD31" i="2"/>
  <c r="BH31" i="2" s="1"/>
  <c r="BE31" i="2"/>
  <c r="BF31" i="2"/>
  <c r="BI31" i="2"/>
  <c r="BJ31" i="2" s="1"/>
  <c r="BK31" i="2"/>
  <c r="BM31" i="2"/>
  <c r="BN31" i="2"/>
  <c r="BO31" i="2"/>
  <c r="BP31" i="2"/>
  <c r="BQ31" i="2"/>
  <c r="BS31" i="2"/>
  <c r="BT31" i="2"/>
  <c r="BU31" i="2"/>
  <c r="BX31" i="2"/>
  <c r="BZ31" i="2"/>
  <c r="CA31" i="2" s="1"/>
  <c r="CB31" i="2"/>
  <c r="CE31" i="2"/>
  <c r="CG31" i="2"/>
  <c r="CI31" i="2"/>
  <c r="CJ31" i="2"/>
  <c r="CK31" i="2"/>
  <c r="CM31" i="2"/>
  <c r="CN31" i="2" s="1"/>
  <c r="CO31" i="2"/>
  <c r="CP31" i="2"/>
  <c r="CQ31" i="2"/>
  <c r="CS31" i="2"/>
  <c r="DA31" i="2"/>
  <c r="DC31" i="2"/>
  <c r="DD31" i="2" s="1"/>
  <c r="DE31" i="2"/>
  <c r="DF31" i="2"/>
  <c r="DG31" i="2"/>
  <c r="DH31" i="2" s="1"/>
  <c r="DI31" i="2"/>
  <c r="DJ31" i="2"/>
  <c r="DM31" i="2"/>
  <c r="DL31" i="2" s="1"/>
  <c r="DN31" i="2"/>
  <c r="A32" i="2"/>
  <c r="B32" i="2"/>
  <c r="C32" i="2"/>
  <c r="D32" i="2"/>
  <c r="E32" i="2"/>
  <c r="F32" i="2"/>
  <c r="G32" i="2"/>
  <c r="H32" i="2"/>
  <c r="I32" i="2"/>
  <c r="J32" i="2"/>
  <c r="L32" i="2"/>
  <c r="M32" i="2"/>
  <c r="N32" i="2" s="1"/>
  <c r="O32" i="2"/>
  <c r="P32" i="2"/>
  <c r="Q32" i="2"/>
  <c r="AL32" i="2" s="1"/>
  <c r="R32" i="2"/>
  <c r="S32" i="2"/>
  <c r="T32" i="2" s="1"/>
  <c r="U32" i="2"/>
  <c r="V32" i="2"/>
  <c r="W32" i="2" s="1"/>
  <c r="X32" i="2"/>
  <c r="Z32" i="2" s="1"/>
  <c r="Y32" i="2"/>
  <c r="AA32" i="2"/>
  <c r="AB32" i="2"/>
  <c r="AC32" i="2"/>
  <c r="AD32" i="2"/>
  <c r="AE32" i="2"/>
  <c r="AF32" i="2"/>
  <c r="AG32" i="2"/>
  <c r="AH32" i="2"/>
  <c r="AI32" i="2"/>
  <c r="AJ32" i="2"/>
  <c r="AK32" i="2"/>
  <c r="AN32" i="2"/>
  <c r="AO32" i="2"/>
  <c r="AP32" i="2" s="1"/>
  <c r="AQ32" i="2"/>
  <c r="AR32" i="2" s="1"/>
  <c r="CX32" i="2" s="1"/>
  <c r="AW32" i="2"/>
  <c r="AY32" i="2" s="1"/>
  <c r="AX32" i="2"/>
  <c r="AZ32" i="2"/>
  <c r="BA32" i="2"/>
  <c r="BB32" i="2"/>
  <c r="BD32" i="2"/>
  <c r="BE32" i="2" s="1"/>
  <c r="BF32" i="2"/>
  <c r="BG32" i="2"/>
  <c r="BI32" i="2"/>
  <c r="BJ32" i="2" s="1"/>
  <c r="BK32" i="2"/>
  <c r="BL32" i="2" s="1"/>
  <c r="BM32" i="2"/>
  <c r="BN32" i="2"/>
  <c r="BO32" i="2"/>
  <c r="BP32" i="2"/>
  <c r="BQ32" i="2"/>
  <c r="BR32" i="2"/>
  <c r="BT32" i="2"/>
  <c r="BU32" i="2"/>
  <c r="BX32" i="2"/>
  <c r="BY32" i="2"/>
  <c r="BZ32" i="2"/>
  <c r="CA32" i="2"/>
  <c r="CB32" i="2"/>
  <c r="CC32" i="2"/>
  <c r="CD32" i="2"/>
  <c r="CE32" i="2"/>
  <c r="CF32" i="2"/>
  <c r="CG32" i="2"/>
  <c r="CH32" i="2"/>
  <c r="CI32" i="2"/>
  <c r="CJ32" i="2"/>
  <c r="CK32" i="2"/>
  <c r="CL32" i="2"/>
  <c r="CM32" i="2"/>
  <c r="CN32" i="2" s="1"/>
  <c r="CO32" i="2"/>
  <c r="CQ32" i="2"/>
  <c r="CR32" i="2" s="1"/>
  <c r="CY32" i="2"/>
  <c r="CZ32" i="2"/>
  <c r="DA32" i="2"/>
  <c r="DB32" i="2" s="1"/>
  <c r="DC32" i="2"/>
  <c r="DD32" i="2" s="1"/>
  <c r="DE32" i="2"/>
  <c r="DF32" i="2" s="1"/>
  <c r="DG32" i="2"/>
  <c r="DH32" i="2" s="1"/>
  <c r="DI32" i="2"/>
  <c r="DJ32" i="2"/>
  <c r="DK32" i="2"/>
  <c r="DM32" i="2"/>
  <c r="DL32" i="2" s="1"/>
  <c r="DN32" i="2"/>
  <c r="A33" i="2"/>
  <c r="B33" i="2"/>
  <c r="C33" i="2"/>
  <c r="D33" i="2"/>
  <c r="E33" i="2"/>
  <c r="F33" i="2"/>
  <c r="G33" i="2"/>
  <c r="H33" i="2"/>
  <c r="I33" i="2"/>
  <c r="J33" i="2"/>
  <c r="L33" i="2"/>
  <c r="M33" i="2"/>
  <c r="N33" i="2" s="1"/>
  <c r="O33" i="2"/>
  <c r="P33" i="2"/>
  <c r="Q33" i="2"/>
  <c r="R33" i="2"/>
  <c r="S33" i="2"/>
  <c r="T33" i="2" s="1"/>
  <c r="V33" i="2"/>
  <c r="X33" i="2"/>
  <c r="Z33" i="2" s="1"/>
  <c r="Y33" i="2"/>
  <c r="AA33" i="2"/>
  <c r="AB33" i="2"/>
  <c r="AC33" i="2"/>
  <c r="AD33" i="2"/>
  <c r="AE33" i="2"/>
  <c r="AF33" i="2"/>
  <c r="AG33" i="2"/>
  <c r="AH33" i="2" s="1"/>
  <c r="AI33" i="2"/>
  <c r="AJ33" i="2"/>
  <c r="AK33" i="2"/>
  <c r="AN33" i="2"/>
  <c r="AO33" i="2"/>
  <c r="AP33" i="2" s="1"/>
  <c r="AQ33" i="2"/>
  <c r="AR33" i="2" s="1"/>
  <c r="CX33" i="2" s="1"/>
  <c r="AU33" i="2"/>
  <c r="AV33" i="2"/>
  <c r="AW33" i="2"/>
  <c r="AY33" i="2" s="1"/>
  <c r="AX33" i="2"/>
  <c r="AZ33" i="2"/>
  <c r="BD33" i="2"/>
  <c r="BF33" i="2"/>
  <c r="BG33" i="2"/>
  <c r="BH33" i="2"/>
  <c r="BI33" i="2"/>
  <c r="BJ33" i="2" s="1"/>
  <c r="BK33" i="2"/>
  <c r="BL33" i="2"/>
  <c r="BM33" i="2"/>
  <c r="BN33" i="2"/>
  <c r="BP33" i="2"/>
  <c r="BQ33" i="2"/>
  <c r="BT33" i="2"/>
  <c r="BU33" i="2"/>
  <c r="BV33" i="2"/>
  <c r="BW33" i="2"/>
  <c r="BX33" i="2"/>
  <c r="CF33" i="2" s="1"/>
  <c r="BY33" i="2"/>
  <c r="BZ33" i="2"/>
  <c r="CA33" i="2" s="1"/>
  <c r="CB33" i="2"/>
  <c r="CC33" i="2"/>
  <c r="CD33" i="2"/>
  <c r="CE33" i="2"/>
  <c r="CG33" i="2"/>
  <c r="CI33" i="2"/>
  <c r="CJ33" i="2"/>
  <c r="CK33" i="2"/>
  <c r="CM33" i="2"/>
  <c r="CN33" i="2"/>
  <c r="CO33" i="2"/>
  <c r="CQ33" i="2"/>
  <c r="CR33" i="2" s="1"/>
  <c r="CY33" i="2"/>
  <c r="DA33" i="2"/>
  <c r="DB33" i="2" s="1"/>
  <c r="DC33" i="2"/>
  <c r="DE33" i="2"/>
  <c r="DF33" i="2" s="1"/>
  <c r="DG33" i="2"/>
  <c r="DH33" i="2"/>
  <c r="DI33" i="2"/>
  <c r="DJ33" i="2"/>
  <c r="DK33" i="2"/>
  <c r="DM33" i="2"/>
  <c r="DL33" i="2" s="1"/>
  <c r="DN33" i="2"/>
  <c r="A34" i="2"/>
  <c r="B34" i="2"/>
  <c r="C34" i="2"/>
  <c r="D34" i="2"/>
  <c r="E34" i="2"/>
  <c r="F34" i="2"/>
  <c r="G34" i="2"/>
  <c r="H34" i="2"/>
  <c r="I34" i="2"/>
  <c r="J34" i="2"/>
  <c r="L34" i="2"/>
  <c r="BY34" i="2" s="1"/>
  <c r="M34" i="2"/>
  <c r="N34" i="2"/>
  <c r="O34" i="2"/>
  <c r="P34" i="2"/>
  <c r="R34" i="2" s="1"/>
  <c r="Q34" i="2"/>
  <c r="S34" i="2"/>
  <c r="T34" i="2" s="1"/>
  <c r="U34" i="2"/>
  <c r="V34" i="2"/>
  <c r="Z34" i="2" s="1"/>
  <c r="W34" i="2"/>
  <c r="X34" i="2"/>
  <c r="Y34" i="2"/>
  <c r="AA34" i="2"/>
  <c r="AB34" i="2"/>
  <c r="AC34" i="2"/>
  <c r="AD34" i="2"/>
  <c r="AE34" i="2"/>
  <c r="AF34" i="2"/>
  <c r="AI34" i="2" s="1"/>
  <c r="CH34" i="2" s="1"/>
  <c r="AG34" i="2"/>
  <c r="AJ34" i="2"/>
  <c r="AL34" i="2"/>
  <c r="AM34" i="2"/>
  <c r="AN34" i="2"/>
  <c r="AQ34" i="2"/>
  <c r="AR34" i="2" s="1"/>
  <c r="CX34" i="2" s="1"/>
  <c r="AU34" i="2"/>
  <c r="AW34" i="2"/>
  <c r="AY34" i="2" s="1"/>
  <c r="AX34" i="2"/>
  <c r="AZ34" i="2"/>
  <c r="BA34" i="2"/>
  <c r="BB34" i="2"/>
  <c r="BD34" i="2"/>
  <c r="BE34" i="2" s="1"/>
  <c r="BF34" i="2"/>
  <c r="BG34" i="2" s="1"/>
  <c r="BI34" i="2"/>
  <c r="BJ34" i="2"/>
  <c r="BK34" i="2"/>
  <c r="BL34" i="2"/>
  <c r="BM34" i="2"/>
  <c r="BN34" i="2"/>
  <c r="BO34" i="2" s="1"/>
  <c r="BP34" i="2"/>
  <c r="BQ34" i="2"/>
  <c r="BR34" i="2"/>
  <c r="BS34" i="2"/>
  <c r="BT34" i="2"/>
  <c r="BU34" i="2"/>
  <c r="BX34" i="2"/>
  <c r="BZ34" i="2"/>
  <c r="CA34" i="2" s="1"/>
  <c r="CB34" i="2"/>
  <c r="CC34" i="2"/>
  <c r="CD34" i="2"/>
  <c r="CE34" i="2"/>
  <c r="CF34" i="2"/>
  <c r="CG34" i="2"/>
  <c r="CI34" i="2"/>
  <c r="CJ34" i="2"/>
  <c r="CK34" i="2"/>
  <c r="CL34" i="2"/>
  <c r="CM34" i="2"/>
  <c r="CN34" i="2" s="1"/>
  <c r="CO34" i="2"/>
  <c r="CP34" i="2"/>
  <c r="CQ34" i="2"/>
  <c r="CR34" i="2"/>
  <c r="CS34" i="2"/>
  <c r="CT34" i="2"/>
  <c r="CU34" i="2" s="1"/>
  <c r="CV34" i="2"/>
  <c r="CW34" i="2"/>
  <c r="CY34" i="2"/>
  <c r="CZ34" i="2"/>
  <c r="DA34" i="2"/>
  <c r="DB34" i="2"/>
  <c r="DC34" i="2"/>
  <c r="DD34" i="2" s="1"/>
  <c r="DE34" i="2"/>
  <c r="DF34" i="2"/>
  <c r="DG34" i="2"/>
  <c r="DH34" i="2"/>
  <c r="DI34" i="2"/>
  <c r="DJ34" i="2"/>
  <c r="DK34" i="2" s="1"/>
  <c r="DM34" i="2"/>
  <c r="DL34" i="2" s="1"/>
  <c r="DN34" i="2"/>
  <c r="A35" i="2"/>
  <c r="B35" i="2"/>
  <c r="C35" i="2"/>
  <c r="D35" i="2"/>
  <c r="E35" i="2"/>
  <c r="F35" i="2"/>
  <c r="G35" i="2"/>
  <c r="H35" i="2"/>
  <c r="I35" i="2"/>
  <c r="J35" i="2"/>
  <c r="L35" i="2"/>
  <c r="DL35" i="2" s="1"/>
  <c r="M35" i="2"/>
  <c r="N35" i="2" s="1"/>
  <c r="O35" i="2"/>
  <c r="P35" i="2"/>
  <c r="AK35" i="2" s="1"/>
  <c r="Q35" i="2"/>
  <c r="AL35" i="2" s="1"/>
  <c r="R35" i="2"/>
  <c r="S35" i="2"/>
  <c r="T35" i="2"/>
  <c r="V35" i="2"/>
  <c r="X35" i="2"/>
  <c r="Y35" i="2" s="1"/>
  <c r="AA35" i="2"/>
  <c r="AB35" i="2"/>
  <c r="AC35" i="2"/>
  <c r="AD35" i="2"/>
  <c r="AE35" i="2"/>
  <c r="AF35" i="2"/>
  <c r="AI35" i="2" s="1"/>
  <c r="CH35" i="2" s="1"/>
  <c r="AG35" i="2"/>
  <c r="AH35" i="2"/>
  <c r="AJ35" i="2"/>
  <c r="AN35" i="2"/>
  <c r="AO35" i="2" s="1"/>
  <c r="AQ35" i="2"/>
  <c r="CV35" i="2" s="1"/>
  <c r="CW35" i="2" s="1"/>
  <c r="AR35" i="2"/>
  <c r="CX35" i="2" s="1"/>
  <c r="AV35" i="2"/>
  <c r="AW35" i="2"/>
  <c r="AX35" i="2"/>
  <c r="AY35" i="2" s="1"/>
  <c r="AZ35" i="2"/>
  <c r="BA35" i="2" s="1"/>
  <c r="BD35" i="2"/>
  <c r="BE35" i="2" s="1"/>
  <c r="BF35" i="2"/>
  <c r="BH35" i="2"/>
  <c r="BI35" i="2"/>
  <c r="BJ35" i="2" s="1"/>
  <c r="BK35" i="2"/>
  <c r="BL35" i="2"/>
  <c r="BM35" i="2"/>
  <c r="BN35" i="2"/>
  <c r="BP35" i="2"/>
  <c r="BQ35" i="2"/>
  <c r="BT35" i="2"/>
  <c r="BU35" i="2"/>
  <c r="BX35" i="2"/>
  <c r="CF35" i="2" s="1"/>
  <c r="BZ35" i="2"/>
  <c r="CB35" i="2"/>
  <c r="CC35" i="2" s="1"/>
  <c r="CD35" i="2"/>
  <c r="CE35" i="2"/>
  <c r="CG35" i="2"/>
  <c r="CI35" i="2"/>
  <c r="CJ35" i="2"/>
  <c r="CK35" i="2"/>
  <c r="CM35" i="2"/>
  <c r="CN35" i="2"/>
  <c r="CO35" i="2"/>
  <c r="CP35" i="2" s="1"/>
  <c r="CQ35" i="2"/>
  <c r="CR35" i="2"/>
  <c r="CT35" i="2"/>
  <c r="CU35" i="2" s="1"/>
  <c r="DA35" i="2"/>
  <c r="DC35" i="2"/>
  <c r="DD35" i="2"/>
  <c r="DE35" i="2"/>
  <c r="DF35" i="2" s="1"/>
  <c r="DG35" i="2"/>
  <c r="DH35" i="2"/>
  <c r="DI35" i="2"/>
  <c r="DJ35" i="2"/>
  <c r="DK35" i="2" s="1"/>
  <c r="DM35" i="2"/>
  <c r="DN35" i="2"/>
  <c r="A36" i="2"/>
  <c r="B36" i="2"/>
  <c r="C36" i="2"/>
  <c r="D36" i="2"/>
  <c r="E36" i="2"/>
  <c r="F36" i="2"/>
  <c r="G36" i="2"/>
  <c r="H36" i="2"/>
  <c r="I36" i="2"/>
  <c r="J36" i="2"/>
  <c r="L36" i="2"/>
  <c r="M36" i="2"/>
  <c r="N36" i="2"/>
  <c r="O36" i="2"/>
  <c r="P36" i="2"/>
  <c r="Q36" i="2"/>
  <c r="R36" i="2"/>
  <c r="S36" i="2"/>
  <c r="T36" i="2"/>
  <c r="V36" i="2"/>
  <c r="X36" i="2"/>
  <c r="Z36" i="2"/>
  <c r="AA36" i="2"/>
  <c r="AB36" i="2"/>
  <c r="AC36" i="2"/>
  <c r="AD36" i="2"/>
  <c r="AE36" i="2"/>
  <c r="AF36" i="2"/>
  <c r="AG36" i="2"/>
  <c r="AH36" i="2"/>
  <c r="AI36" i="2"/>
  <c r="AJ36" i="2"/>
  <c r="AN36" i="2"/>
  <c r="AV36" i="2" s="1"/>
  <c r="AO36" i="2"/>
  <c r="AS36" i="2" s="1"/>
  <c r="AT36" i="2" s="1"/>
  <c r="AQ36" i="2"/>
  <c r="AU36" i="2" s="1"/>
  <c r="AW36" i="2"/>
  <c r="AX36" i="2"/>
  <c r="AY36" i="2" s="1"/>
  <c r="AZ36" i="2"/>
  <c r="BB36" i="2"/>
  <c r="BD36" i="2"/>
  <c r="BF36" i="2"/>
  <c r="BG36" i="2" s="1"/>
  <c r="BH36" i="2"/>
  <c r="BI36" i="2"/>
  <c r="BK36" i="2"/>
  <c r="BL36" i="2" s="1"/>
  <c r="BM36" i="2"/>
  <c r="BN36" i="2"/>
  <c r="BO36" i="2" s="1"/>
  <c r="BP36" i="2"/>
  <c r="BQ36" i="2"/>
  <c r="BR36" i="2"/>
  <c r="BT36" i="2"/>
  <c r="BU36" i="2"/>
  <c r="BV36" i="2"/>
  <c r="BW36" i="2" s="1"/>
  <c r="BX36" i="2"/>
  <c r="BZ36" i="2"/>
  <c r="CB36" i="2"/>
  <c r="CE36" i="2"/>
  <c r="CG36" i="2"/>
  <c r="CI36" i="2"/>
  <c r="CJ36" i="2"/>
  <c r="CK36" i="2"/>
  <c r="CM36" i="2"/>
  <c r="CN36" i="2"/>
  <c r="CO36" i="2"/>
  <c r="CQ36" i="2"/>
  <c r="CR36" i="2" s="1"/>
  <c r="CT36" i="2"/>
  <c r="CU36" i="2" s="1"/>
  <c r="DA36" i="2"/>
  <c r="DC36" i="2"/>
  <c r="DE36" i="2"/>
  <c r="DG36" i="2"/>
  <c r="DI36" i="2"/>
  <c r="DJ36" i="2"/>
  <c r="DK36" i="2" s="1"/>
  <c r="DM36" i="2"/>
  <c r="DL36" i="2" s="1"/>
  <c r="DN36" i="2"/>
  <c r="A37" i="2"/>
  <c r="B37" i="2"/>
  <c r="C37" i="2"/>
  <c r="D37" i="2"/>
  <c r="E37" i="2"/>
  <c r="F37" i="2"/>
  <c r="G37" i="2"/>
  <c r="H37" i="2"/>
  <c r="I37" i="2"/>
  <c r="J37" i="2"/>
  <c r="L37" i="2"/>
  <c r="M37" i="2"/>
  <c r="N37" i="2"/>
  <c r="O37" i="2"/>
  <c r="P37" i="2"/>
  <c r="AM37" i="2" s="1"/>
  <c r="Q37" i="2"/>
  <c r="S37" i="2"/>
  <c r="T37" i="2"/>
  <c r="V37" i="2"/>
  <c r="W37" i="2" s="1"/>
  <c r="X37" i="2"/>
  <c r="Z37" i="2" s="1"/>
  <c r="AA37" i="2"/>
  <c r="AB37" i="2"/>
  <c r="AC37" i="2"/>
  <c r="AD37" i="2"/>
  <c r="AE37" i="2"/>
  <c r="AF37" i="2"/>
  <c r="AH37" i="2" s="1"/>
  <c r="AG37" i="2"/>
  <c r="AJ37" i="2"/>
  <c r="AL37" i="2"/>
  <c r="AN37" i="2"/>
  <c r="BV37" i="2" s="1"/>
  <c r="BW37" i="2" s="1"/>
  <c r="AO37" i="2"/>
  <c r="AP37" i="2" s="1"/>
  <c r="AQ37" i="2"/>
  <c r="BS37" i="2" s="1"/>
  <c r="AR37" i="2"/>
  <c r="AU37" i="2"/>
  <c r="AV37" i="2"/>
  <c r="AW37" i="2"/>
  <c r="AY37" i="2" s="1"/>
  <c r="AX37" i="2"/>
  <c r="AZ37" i="2"/>
  <c r="BA37" i="2" s="1"/>
  <c r="BB37" i="2"/>
  <c r="BD37" i="2"/>
  <c r="BF37" i="2"/>
  <c r="BH37" i="2"/>
  <c r="BI37" i="2"/>
  <c r="BK37" i="2"/>
  <c r="BL37" i="2"/>
  <c r="BM37" i="2"/>
  <c r="BN37" i="2"/>
  <c r="BP37" i="2"/>
  <c r="BQ37" i="2"/>
  <c r="BR37" i="2"/>
  <c r="BT37" i="2"/>
  <c r="BU37" i="2"/>
  <c r="BX37" i="2"/>
  <c r="BY37" i="2" s="1"/>
  <c r="BZ37" i="2"/>
  <c r="CA37" i="2"/>
  <c r="CB37" i="2"/>
  <c r="CC37" i="2" s="1"/>
  <c r="CE37" i="2"/>
  <c r="CF37" i="2"/>
  <c r="CG37" i="2"/>
  <c r="CI37" i="2"/>
  <c r="CJ37" i="2"/>
  <c r="CK37" i="2"/>
  <c r="CM37" i="2"/>
  <c r="CN37" i="2"/>
  <c r="CO37" i="2"/>
  <c r="CQ37" i="2"/>
  <c r="CS37" i="2" s="1"/>
  <c r="CR37" i="2"/>
  <c r="CT37" i="2"/>
  <c r="CV37" i="2"/>
  <c r="CW37" i="2" s="1"/>
  <c r="CX37" i="2"/>
  <c r="DA37" i="2"/>
  <c r="DB37" i="2" s="1"/>
  <c r="DC37" i="2"/>
  <c r="DD37" i="2"/>
  <c r="DE37" i="2"/>
  <c r="DG37" i="2"/>
  <c r="DH37" i="2"/>
  <c r="DI37" i="2"/>
  <c r="DJ37" i="2"/>
  <c r="DL37" i="2"/>
  <c r="DM37" i="2"/>
  <c r="DN37" i="2"/>
  <c r="A38" i="2"/>
  <c r="B38" i="2"/>
  <c r="C38" i="2"/>
  <c r="D38" i="2"/>
  <c r="E38" i="2"/>
  <c r="F38" i="2"/>
  <c r="G38" i="2"/>
  <c r="H38" i="2"/>
  <c r="I38" i="2"/>
  <c r="J38" i="2"/>
  <c r="L38" i="2"/>
  <c r="CD38" i="2" s="1"/>
  <c r="M38" i="2"/>
  <c r="N38" i="2"/>
  <c r="O38" i="2"/>
  <c r="P38" i="2"/>
  <c r="Q38" i="2"/>
  <c r="S38" i="2"/>
  <c r="T38" i="2" s="1"/>
  <c r="V38" i="2"/>
  <c r="W38" i="2" s="1"/>
  <c r="X38" i="2"/>
  <c r="Y38" i="2"/>
  <c r="Z38" i="2"/>
  <c r="AA38" i="2"/>
  <c r="AB38" i="2"/>
  <c r="AC38" i="2"/>
  <c r="AD38" i="2"/>
  <c r="AE38" i="2"/>
  <c r="AF38" i="2"/>
  <c r="AG38" i="2"/>
  <c r="AJ38" i="2"/>
  <c r="AL38" i="2"/>
  <c r="AN38" i="2"/>
  <c r="AO38" i="2"/>
  <c r="AS38" i="2" s="1"/>
  <c r="AP38" i="2"/>
  <c r="AQ38" i="2"/>
  <c r="CT38" i="2" s="1"/>
  <c r="CU38" i="2" s="1"/>
  <c r="AT38" i="2"/>
  <c r="AU38" i="2"/>
  <c r="AV38" i="2"/>
  <c r="AW38" i="2"/>
  <c r="AX38" i="2"/>
  <c r="AY38" i="2"/>
  <c r="AZ38" i="2"/>
  <c r="BD38" i="2"/>
  <c r="BE38" i="2"/>
  <c r="BF38" i="2"/>
  <c r="BG38" i="2" s="1"/>
  <c r="BI38" i="2"/>
  <c r="BJ38" i="2"/>
  <c r="BK38" i="2"/>
  <c r="BB38" i="2" s="1"/>
  <c r="BL38" i="2"/>
  <c r="BM38" i="2"/>
  <c r="BN38" i="2"/>
  <c r="BP38" i="2"/>
  <c r="BQ38" i="2"/>
  <c r="BR38" i="2"/>
  <c r="BT38" i="2"/>
  <c r="BU38" i="2"/>
  <c r="BV38" i="2"/>
  <c r="BW38" i="2" s="1"/>
  <c r="BX38" i="2"/>
  <c r="CF38" i="2" s="1"/>
  <c r="BY38" i="2"/>
  <c r="BZ38" i="2"/>
  <c r="CA38" i="2" s="1"/>
  <c r="CB38" i="2"/>
  <c r="CC38" i="2" s="1"/>
  <c r="CE38" i="2"/>
  <c r="CG38" i="2"/>
  <c r="CI38" i="2"/>
  <c r="CJ38" i="2"/>
  <c r="CK38" i="2"/>
  <c r="CL38" i="2"/>
  <c r="CM38" i="2"/>
  <c r="CN38" i="2" s="1"/>
  <c r="CO38" i="2"/>
  <c r="CP38" i="2"/>
  <c r="CQ38" i="2"/>
  <c r="CS38" i="2" s="1"/>
  <c r="CR38" i="2"/>
  <c r="CZ38" i="2"/>
  <c r="DA38" i="2"/>
  <c r="DB38" i="2"/>
  <c r="DC38" i="2"/>
  <c r="DD38" i="2" s="1"/>
  <c r="DE38" i="2"/>
  <c r="DF38" i="2"/>
  <c r="DG38" i="2"/>
  <c r="DH38" i="2"/>
  <c r="DI38" i="2"/>
  <c r="DJ38" i="2"/>
  <c r="DM38" i="2"/>
  <c r="DL38" i="2" s="1"/>
  <c r="DN38" i="2"/>
  <c r="A39" i="2"/>
  <c r="B39" i="2"/>
  <c r="C39" i="2"/>
  <c r="D39" i="2"/>
  <c r="E39" i="2"/>
  <c r="F39" i="2"/>
  <c r="G39" i="2"/>
  <c r="H39" i="2"/>
  <c r="I39" i="2"/>
  <c r="J39" i="2"/>
  <c r="L39" i="2"/>
  <c r="M39" i="2"/>
  <c r="N39" i="2" s="1"/>
  <c r="O39" i="2"/>
  <c r="P39" i="2"/>
  <c r="R39" i="2" s="1"/>
  <c r="Q39" i="2"/>
  <c r="S39" i="2"/>
  <c r="U39" i="2" s="1"/>
  <c r="T39" i="2"/>
  <c r="V39" i="2"/>
  <c r="W39" i="2"/>
  <c r="X39" i="2"/>
  <c r="Y39" i="2" s="1"/>
  <c r="Z39" i="2"/>
  <c r="AA39" i="2"/>
  <c r="AB39" i="2"/>
  <c r="AC39" i="2"/>
  <c r="AD39" i="2"/>
  <c r="AE39" i="2"/>
  <c r="AF39" i="2"/>
  <c r="AH39" i="2" s="1"/>
  <c r="AG39" i="2"/>
  <c r="AI39" i="2"/>
  <c r="CH39" i="2" s="1"/>
  <c r="AJ39" i="2"/>
  <c r="AL39" i="2"/>
  <c r="AN39" i="2"/>
  <c r="AQ39" i="2"/>
  <c r="AR39" i="2"/>
  <c r="AU39" i="2"/>
  <c r="AW39" i="2"/>
  <c r="AX39" i="2"/>
  <c r="AY39" i="2"/>
  <c r="AZ39" i="2"/>
  <c r="BA39" i="2" s="1"/>
  <c r="BD39" i="2"/>
  <c r="BE39" i="2" s="1"/>
  <c r="BF39" i="2"/>
  <c r="BI39" i="2"/>
  <c r="BJ39" i="2" s="1"/>
  <c r="BK39" i="2"/>
  <c r="BL39" i="2"/>
  <c r="BM39" i="2"/>
  <c r="BN39" i="2"/>
  <c r="BO39" i="2"/>
  <c r="BC39" i="2" s="1"/>
  <c r="BP39" i="2"/>
  <c r="BQ39" i="2"/>
  <c r="BR39" i="2"/>
  <c r="BS39" i="2"/>
  <c r="BT39" i="2"/>
  <c r="BU39" i="2"/>
  <c r="BX39" i="2"/>
  <c r="BY39" i="2"/>
  <c r="BZ39" i="2"/>
  <c r="CA39" i="2"/>
  <c r="CB39" i="2"/>
  <c r="CC39" i="2" s="1"/>
  <c r="CD39" i="2"/>
  <c r="CE39" i="2"/>
  <c r="CF39" i="2"/>
  <c r="CG39" i="2"/>
  <c r="CI39" i="2"/>
  <c r="CJ39" i="2"/>
  <c r="CK39" i="2"/>
  <c r="CL39" i="2"/>
  <c r="CM39" i="2"/>
  <c r="CN39" i="2"/>
  <c r="CO39" i="2"/>
  <c r="CP39" i="2" s="1"/>
  <c r="CQ39" i="2"/>
  <c r="CS39" i="2" s="1"/>
  <c r="CR39" i="2"/>
  <c r="CT39" i="2"/>
  <c r="CU39" i="2"/>
  <c r="CV39" i="2"/>
  <c r="CW39" i="2" s="1"/>
  <c r="CY39" i="2"/>
  <c r="CZ39" i="2"/>
  <c r="DA39" i="2"/>
  <c r="DB39" i="2"/>
  <c r="DC39" i="2"/>
  <c r="DD39" i="2"/>
  <c r="DE39" i="2"/>
  <c r="DF39" i="2" s="1"/>
  <c r="DG39" i="2"/>
  <c r="DH39" i="2"/>
  <c r="DI39" i="2"/>
  <c r="DJ39" i="2"/>
  <c r="DK39" i="2"/>
  <c r="DL39" i="2"/>
  <c r="DM39" i="2"/>
  <c r="DN39" i="2"/>
  <c r="A40" i="2"/>
  <c r="B40" i="2"/>
  <c r="C40" i="2"/>
  <c r="D40" i="2"/>
  <c r="E40" i="2"/>
  <c r="F40" i="2"/>
  <c r="G40" i="2"/>
  <c r="H40" i="2"/>
  <c r="I40" i="2"/>
  <c r="J40" i="2"/>
  <c r="L40" i="2"/>
  <c r="W40" i="2" s="1"/>
  <c r="M40" i="2"/>
  <c r="N40" i="2"/>
  <c r="O40" i="2"/>
  <c r="P40" i="2"/>
  <c r="AK40" i="2" s="1"/>
  <c r="Q40" i="2"/>
  <c r="AL40" i="2" s="1"/>
  <c r="R40" i="2"/>
  <c r="S40" i="2"/>
  <c r="U40" i="2" s="1"/>
  <c r="T40" i="2"/>
  <c r="V40" i="2"/>
  <c r="X40" i="2"/>
  <c r="Z40" i="2"/>
  <c r="AA40" i="2"/>
  <c r="AB40" i="2"/>
  <c r="AC40" i="2"/>
  <c r="AD40" i="2"/>
  <c r="AE40" i="2"/>
  <c r="AF40" i="2"/>
  <c r="AG40" i="2"/>
  <c r="AH40" i="2"/>
  <c r="AI40" i="2"/>
  <c r="CH40" i="2" s="1"/>
  <c r="AJ40" i="2"/>
  <c r="AN40" i="2"/>
  <c r="AO40" i="2"/>
  <c r="AP40" i="2"/>
  <c r="AQ40" i="2"/>
  <c r="AR40" i="2"/>
  <c r="CX40" i="2" s="1"/>
  <c r="AS40" i="2"/>
  <c r="AT40" i="2"/>
  <c r="AU40" i="2"/>
  <c r="AV40" i="2"/>
  <c r="AW40" i="2"/>
  <c r="AX40" i="2"/>
  <c r="AY40" i="2" s="1"/>
  <c r="AZ40" i="2"/>
  <c r="BA40" i="2" s="1"/>
  <c r="BD40" i="2"/>
  <c r="BF40" i="2"/>
  <c r="BG40" i="2" s="1"/>
  <c r="BI40" i="2"/>
  <c r="BJ40" i="2"/>
  <c r="BK40" i="2"/>
  <c r="BL40" i="2" s="1"/>
  <c r="BM40" i="2"/>
  <c r="BN40" i="2"/>
  <c r="BP40" i="2"/>
  <c r="BQ40" i="2"/>
  <c r="BR40" i="2"/>
  <c r="BS40" i="2"/>
  <c r="BT40" i="2"/>
  <c r="BU40" i="2"/>
  <c r="BV40" i="2"/>
  <c r="BW40" i="2" s="1"/>
  <c r="BX40" i="2"/>
  <c r="BY40" i="2"/>
  <c r="BZ40" i="2"/>
  <c r="CA40" i="2" s="1"/>
  <c r="CB40" i="2"/>
  <c r="CC40" i="2"/>
  <c r="CD40" i="2"/>
  <c r="CE40" i="2"/>
  <c r="CF40" i="2"/>
  <c r="CG40" i="2"/>
  <c r="CI40" i="2"/>
  <c r="CJ40" i="2"/>
  <c r="CK40" i="2"/>
  <c r="CL40" i="2"/>
  <c r="CM40" i="2"/>
  <c r="CN40" i="2"/>
  <c r="CO40" i="2"/>
  <c r="CP40" i="2"/>
  <c r="CQ40" i="2"/>
  <c r="CR40" i="2" s="1"/>
  <c r="CT40" i="2"/>
  <c r="CU40" i="2" s="1"/>
  <c r="CV40" i="2"/>
  <c r="CW40" i="2" s="1"/>
  <c r="DA40" i="2"/>
  <c r="DB40" i="2"/>
  <c r="DC40" i="2"/>
  <c r="DD40" i="2"/>
  <c r="DE40" i="2"/>
  <c r="DF40" i="2"/>
  <c r="DG40" i="2"/>
  <c r="DH40" i="2" s="1"/>
  <c r="DI40" i="2"/>
  <c r="DJ40" i="2"/>
  <c r="DK40" i="2" s="1"/>
  <c r="DL40" i="2"/>
  <c r="DM40" i="2"/>
  <c r="DN40" i="2"/>
  <c r="A41" i="2"/>
  <c r="B41" i="2"/>
  <c r="C41" i="2"/>
  <c r="D41" i="2"/>
  <c r="E41" i="2"/>
  <c r="F41" i="2"/>
  <c r="G41" i="2"/>
  <c r="H41" i="2"/>
  <c r="I41" i="2"/>
  <c r="J41" i="2"/>
  <c r="L41" i="2"/>
  <c r="M41" i="2"/>
  <c r="N41" i="2"/>
  <c r="O41" i="2"/>
  <c r="P41" i="2"/>
  <c r="R41" i="2" s="1"/>
  <c r="Q41" i="2"/>
  <c r="S41" i="2"/>
  <c r="T41" i="2"/>
  <c r="V41" i="2"/>
  <c r="X41" i="2"/>
  <c r="AA41" i="2"/>
  <c r="AB41" i="2"/>
  <c r="AC41" i="2"/>
  <c r="AD41" i="2"/>
  <c r="AE41" i="2"/>
  <c r="AF41" i="2"/>
  <c r="AH41" i="2" s="1"/>
  <c r="AG41" i="2"/>
  <c r="AJ41" i="2"/>
  <c r="AN41" i="2"/>
  <c r="AV41" i="2" s="1"/>
  <c r="AQ41" i="2"/>
  <c r="AU41" i="2" s="1"/>
  <c r="AW41" i="2"/>
  <c r="AY41" i="2" s="1"/>
  <c r="AX41" i="2"/>
  <c r="AZ41" i="2"/>
  <c r="BD41" i="2"/>
  <c r="BF41" i="2"/>
  <c r="BH41" i="2"/>
  <c r="BI41" i="2"/>
  <c r="BK41" i="2"/>
  <c r="BM41" i="2"/>
  <c r="BN41" i="2"/>
  <c r="BP41" i="2"/>
  <c r="BQ41" i="2"/>
  <c r="BS41" i="2"/>
  <c r="BT41" i="2"/>
  <c r="BU41" i="2"/>
  <c r="BX41" i="2"/>
  <c r="BZ41" i="2"/>
  <c r="CB41" i="2"/>
  <c r="CE41" i="2"/>
  <c r="CG41" i="2"/>
  <c r="CI41" i="2"/>
  <c r="CJ41" i="2"/>
  <c r="CK41" i="2"/>
  <c r="CM41" i="2"/>
  <c r="CO41" i="2"/>
  <c r="CS41" i="2" s="1"/>
  <c r="CP41" i="2"/>
  <c r="CQ41" i="2"/>
  <c r="CV41" i="2"/>
  <c r="DA41" i="2"/>
  <c r="DC41" i="2"/>
  <c r="DE41" i="2"/>
  <c r="DG41" i="2"/>
  <c r="DI41" i="2"/>
  <c r="DJ41" i="2"/>
  <c r="DM41" i="2"/>
  <c r="DN41" i="2"/>
  <c r="A42" i="2"/>
  <c r="B42" i="2"/>
  <c r="C42" i="2"/>
  <c r="D42" i="2"/>
  <c r="E42" i="2"/>
  <c r="F42" i="2"/>
  <c r="G42" i="2"/>
  <c r="H42" i="2"/>
  <c r="I42" i="2"/>
  <c r="J42" i="2"/>
  <c r="L42" i="2"/>
  <c r="M42" i="2"/>
  <c r="N42" i="2"/>
  <c r="O42" i="2"/>
  <c r="P42" i="2"/>
  <c r="Q42" i="2"/>
  <c r="R42" i="2"/>
  <c r="S42" i="2"/>
  <c r="T42" i="2" s="1"/>
  <c r="V42" i="2"/>
  <c r="W42" i="2" s="1"/>
  <c r="X42" i="2"/>
  <c r="AA42" i="2"/>
  <c r="AB42" i="2"/>
  <c r="AC42" i="2"/>
  <c r="AD42" i="2"/>
  <c r="AE42" i="2"/>
  <c r="AF42" i="2"/>
  <c r="AG42" i="2"/>
  <c r="AH42" i="2"/>
  <c r="AI42" i="2"/>
  <c r="AJ42" i="2"/>
  <c r="AK42" i="2"/>
  <c r="AL42" i="2"/>
  <c r="AM42" i="2"/>
  <c r="AN42" i="2"/>
  <c r="AQ42" i="2"/>
  <c r="AR42" i="2" s="1"/>
  <c r="CX42" i="2" s="1"/>
  <c r="AU42" i="2"/>
  <c r="AW42" i="2"/>
  <c r="AX42" i="2"/>
  <c r="AY42" i="2" s="1"/>
  <c r="AZ42" i="2"/>
  <c r="BA42" i="2"/>
  <c r="BD42" i="2"/>
  <c r="BE42" i="2" s="1"/>
  <c r="BF42" i="2"/>
  <c r="BH42" i="2" s="1"/>
  <c r="BG42" i="2"/>
  <c r="BI42" i="2"/>
  <c r="BJ42" i="2"/>
  <c r="BK42" i="2"/>
  <c r="BL42" i="2"/>
  <c r="BM42" i="2"/>
  <c r="BN42" i="2"/>
  <c r="BO42" i="2" s="1"/>
  <c r="BP42" i="2"/>
  <c r="BQ42" i="2"/>
  <c r="BR42" i="2"/>
  <c r="BS42" i="2"/>
  <c r="BT42" i="2"/>
  <c r="BU42" i="2"/>
  <c r="BX42" i="2"/>
  <c r="BY42" i="2"/>
  <c r="BZ42" i="2"/>
  <c r="CA42" i="2" s="1"/>
  <c r="CB42" i="2"/>
  <c r="CC42" i="2"/>
  <c r="CD42" i="2"/>
  <c r="CE42" i="2"/>
  <c r="CF42" i="2"/>
  <c r="CG42" i="2"/>
  <c r="CH42" i="2"/>
  <c r="CI42" i="2"/>
  <c r="CJ42" i="2"/>
  <c r="CK42" i="2"/>
  <c r="CL42" i="2"/>
  <c r="CM42" i="2"/>
  <c r="CN42" i="2" s="1"/>
  <c r="CO42" i="2"/>
  <c r="CP42" i="2"/>
  <c r="CQ42" i="2"/>
  <c r="CR42" i="2"/>
  <c r="CS42" i="2"/>
  <c r="CT42" i="2"/>
  <c r="CU42" i="2" s="1"/>
  <c r="CV42" i="2"/>
  <c r="CW42" i="2"/>
  <c r="CY42" i="2"/>
  <c r="CZ42" i="2"/>
  <c r="DA42" i="2"/>
  <c r="DB42" i="2"/>
  <c r="DC42" i="2"/>
  <c r="DD42" i="2" s="1"/>
  <c r="DE42" i="2"/>
  <c r="DF42" i="2"/>
  <c r="DG42" i="2"/>
  <c r="DH42" i="2"/>
  <c r="DI42" i="2"/>
  <c r="DJ42" i="2"/>
  <c r="DK42" i="2" s="1"/>
  <c r="DM42" i="2"/>
  <c r="DL42" i="2" s="1"/>
  <c r="DN42" i="2"/>
  <c r="A43" i="2"/>
  <c r="B43" i="2"/>
  <c r="C43" i="2"/>
  <c r="D43" i="2"/>
  <c r="E43" i="2"/>
  <c r="F43" i="2"/>
  <c r="G43" i="2"/>
  <c r="H43" i="2"/>
  <c r="I43" i="2"/>
  <c r="J43" i="2"/>
  <c r="L43" i="2"/>
  <c r="M43" i="2"/>
  <c r="N43" i="2" s="1"/>
  <c r="O43" i="2"/>
  <c r="P43" i="2"/>
  <c r="R43" i="2" s="1"/>
  <c r="Q43" i="2"/>
  <c r="AL43" i="2" s="1"/>
  <c r="S43" i="2"/>
  <c r="T43" i="2"/>
  <c r="V43" i="2"/>
  <c r="X43" i="2"/>
  <c r="Y43" i="2" s="1"/>
  <c r="AA43" i="2"/>
  <c r="AB43" i="2"/>
  <c r="AC43" i="2"/>
  <c r="AD43" i="2"/>
  <c r="AE43" i="2"/>
  <c r="AF43" i="2"/>
  <c r="AI43" i="2" s="1"/>
  <c r="AG43" i="2"/>
  <c r="AJ43" i="2"/>
  <c r="AN43" i="2"/>
  <c r="AO43" i="2" s="1"/>
  <c r="AQ43" i="2"/>
  <c r="AR43" i="2" s="1"/>
  <c r="CX43" i="2" s="1"/>
  <c r="AV43" i="2"/>
  <c r="AW43" i="2"/>
  <c r="AX43" i="2"/>
  <c r="AZ43" i="2"/>
  <c r="BD43" i="2"/>
  <c r="BE43" i="2" s="1"/>
  <c r="BF43" i="2"/>
  <c r="BG43" i="2"/>
  <c r="BI43" i="2"/>
  <c r="BK43" i="2"/>
  <c r="BL43" i="2"/>
  <c r="BM43" i="2"/>
  <c r="BN43" i="2"/>
  <c r="BP43" i="2"/>
  <c r="BQ43" i="2"/>
  <c r="BT43" i="2"/>
  <c r="BU43" i="2"/>
  <c r="BX43" i="2"/>
  <c r="BZ43" i="2"/>
  <c r="CB43" i="2"/>
  <c r="CC43" i="2"/>
  <c r="CD43" i="2"/>
  <c r="CE43" i="2"/>
  <c r="CG43" i="2"/>
  <c r="CI43" i="2"/>
  <c r="CJ43" i="2"/>
  <c r="CK43" i="2"/>
  <c r="CM43" i="2"/>
  <c r="CN43" i="2" s="1"/>
  <c r="CO43" i="2"/>
  <c r="CP43" i="2" s="1"/>
  <c r="CQ43" i="2"/>
  <c r="CR43" i="2"/>
  <c r="CS43" i="2"/>
  <c r="CZ43" i="2"/>
  <c r="DA43" i="2"/>
  <c r="DB43" i="2" s="1"/>
  <c r="DC43" i="2"/>
  <c r="DD43" i="2"/>
  <c r="DE43" i="2"/>
  <c r="DF43" i="2" s="1"/>
  <c r="DG43" i="2"/>
  <c r="DH43" i="2"/>
  <c r="DI43" i="2"/>
  <c r="DJ43" i="2"/>
  <c r="DK43" i="2" s="1"/>
  <c r="DM43" i="2"/>
  <c r="DL43" i="2" s="1"/>
  <c r="DN43" i="2"/>
  <c r="A44" i="2"/>
  <c r="B44" i="2"/>
  <c r="C44" i="2"/>
  <c r="D44" i="2"/>
  <c r="E44" i="2"/>
  <c r="F44" i="2"/>
  <c r="G44" i="2"/>
  <c r="H44" i="2"/>
  <c r="I44" i="2"/>
  <c r="J44" i="2"/>
  <c r="L44" i="2"/>
  <c r="M44" i="2"/>
  <c r="N44" i="2" s="1"/>
  <c r="O44" i="2"/>
  <c r="P44" i="2"/>
  <c r="Q44" i="2"/>
  <c r="R44" i="2"/>
  <c r="S44" i="2"/>
  <c r="T44" i="2"/>
  <c r="U44" i="2"/>
  <c r="V44" i="2"/>
  <c r="W44" i="2"/>
  <c r="X44" i="2"/>
  <c r="Z44" i="2"/>
  <c r="AA44" i="2"/>
  <c r="AB44" i="2"/>
  <c r="AC44" i="2"/>
  <c r="AD44" i="2"/>
  <c r="AE44" i="2"/>
  <c r="AF44" i="2"/>
  <c r="AG44" i="2"/>
  <c r="AH44" i="2"/>
  <c r="AI44" i="2"/>
  <c r="AJ44" i="2"/>
  <c r="AK44" i="2"/>
  <c r="AL44" i="2"/>
  <c r="AM44" i="2"/>
  <c r="AN44" i="2"/>
  <c r="AV44" i="2" s="1"/>
  <c r="AO44" i="2"/>
  <c r="AP44" i="2"/>
  <c r="AQ44" i="2"/>
  <c r="AW44" i="2"/>
  <c r="AX44" i="2"/>
  <c r="AY44" i="2" s="1"/>
  <c r="AZ44" i="2"/>
  <c r="BA44" i="2"/>
  <c r="BD44" i="2"/>
  <c r="BF44" i="2"/>
  <c r="BG44" i="2"/>
  <c r="BH44" i="2"/>
  <c r="BI44" i="2"/>
  <c r="BJ44" i="2" s="1"/>
  <c r="BK44" i="2"/>
  <c r="BL44" i="2" s="1"/>
  <c r="BM44" i="2"/>
  <c r="BN44" i="2"/>
  <c r="BP44" i="2"/>
  <c r="BQ44" i="2"/>
  <c r="BT44" i="2"/>
  <c r="BU44" i="2"/>
  <c r="BV44" i="2"/>
  <c r="BW44" i="2" s="1"/>
  <c r="BX44" i="2"/>
  <c r="BZ44" i="2"/>
  <c r="CB44" i="2"/>
  <c r="CD44" i="2"/>
  <c r="CE44" i="2"/>
  <c r="CG44" i="2"/>
  <c r="CH44" i="2"/>
  <c r="CI44" i="2"/>
  <c r="CJ44" i="2"/>
  <c r="CK44" i="2"/>
  <c r="CM44" i="2"/>
  <c r="CN44" i="2" s="1"/>
  <c r="CO44" i="2"/>
  <c r="CP44" i="2" s="1"/>
  <c r="CQ44" i="2"/>
  <c r="CR44" i="2" s="1"/>
  <c r="CY44" i="2"/>
  <c r="DA44" i="2"/>
  <c r="DB44" i="2"/>
  <c r="DC44" i="2"/>
  <c r="DD44" i="2"/>
  <c r="DE44" i="2"/>
  <c r="DF44" i="2" s="1"/>
  <c r="DG44" i="2"/>
  <c r="DH44" i="2" s="1"/>
  <c r="DI44" i="2"/>
  <c r="DJ44" i="2"/>
  <c r="DM44" i="2"/>
  <c r="DL44" i="2" s="1"/>
  <c r="DN44" i="2"/>
  <c r="A45" i="2"/>
  <c r="B45" i="2"/>
  <c r="C45" i="2"/>
  <c r="D45" i="2"/>
  <c r="E45" i="2"/>
  <c r="F45" i="2"/>
  <c r="G45" i="2"/>
  <c r="H45" i="2"/>
  <c r="I45" i="2"/>
  <c r="J45" i="2"/>
  <c r="L45" i="2"/>
  <c r="M45" i="2"/>
  <c r="N45" i="2" s="1"/>
  <c r="O45" i="2"/>
  <c r="P45" i="2"/>
  <c r="Q45" i="2"/>
  <c r="S45" i="2"/>
  <c r="T45" i="2"/>
  <c r="V45" i="2"/>
  <c r="X45" i="2"/>
  <c r="AA45" i="2"/>
  <c r="AB45" i="2"/>
  <c r="AC45" i="2"/>
  <c r="AD45" i="2"/>
  <c r="AE45" i="2"/>
  <c r="AF45" i="2"/>
  <c r="AG45" i="2"/>
  <c r="AJ45" i="2"/>
  <c r="AN45" i="2"/>
  <c r="AO45" i="2"/>
  <c r="AQ45" i="2"/>
  <c r="BS45" i="2" s="1"/>
  <c r="AU45" i="2"/>
  <c r="AV45" i="2"/>
  <c r="AW45" i="2"/>
  <c r="AY45" i="2" s="1"/>
  <c r="AX45" i="2"/>
  <c r="AZ45" i="2"/>
  <c r="BB45" i="2"/>
  <c r="BD45" i="2"/>
  <c r="BF45" i="2"/>
  <c r="BH45" i="2"/>
  <c r="BI45" i="2"/>
  <c r="BK45" i="2"/>
  <c r="BM45" i="2"/>
  <c r="BN45" i="2"/>
  <c r="BP45" i="2"/>
  <c r="BQ45" i="2"/>
  <c r="BR45" i="2"/>
  <c r="BT45" i="2"/>
  <c r="BU45" i="2"/>
  <c r="BV45" i="2"/>
  <c r="BW45" i="2"/>
  <c r="BX45" i="2"/>
  <c r="BZ45" i="2"/>
  <c r="CB45" i="2"/>
  <c r="CE45" i="2"/>
  <c r="CG45" i="2"/>
  <c r="CI45" i="2"/>
  <c r="CJ45" i="2"/>
  <c r="CK45" i="2"/>
  <c r="CM45" i="2"/>
  <c r="CO45" i="2"/>
  <c r="CQ45" i="2"/>
  <c r="CS45" i="2"/>
  <c r="CT45" i="2"/>
  <c r="CV45" i="2"/>
  <c r="DA45" i="2"/>
  <c r="DC45" i="2"/>
  <c r="DE45" i="2"/>
  <c r="DG45" i="2"/>
  <c r="DI45" i="2"/>
  <c r="DJ45" i="2"/>
  <c r="DM45" i="2"/>
  <c r="DN45" i="2"/>
  <c r="A46" i="2"/>
  <c r="B46" i="2"/>
  <c r="C46" i="2"/>
  <c r="D46" i="2"/>
  <c r="E46" i="2"/>
  <c r="F46" i="2"/>
  <c r="G46" i="2"/>
  <c r="H46" i="2"/>
  <c r="I46" i="2"/>
  <c r="J46" i="2"/>
  <c r="L46" i="2"/>
  <c r="CD46" i="2" s="1"/>
  <c r="M46" i="2"/>
  <c r="N46" i="2"/>
  <c r="O46" i="2"/>
  <c r="P46" i="2"/>
  <c r="Q46" i="2"/>
  <c r="S46" i="2"/>
  <c r="T46" i="2" s="1"/>
  <c r="V46" i="2"/>
  <c r="W46" i="2" s="1"/>
  <c r="X46" i="2"/>
  <c r="Y46" i="2"/>
  <c r="Z46" i="2"/>
  <c r="AA46" i="2"/>
  <c r="AB46" i="2"/>
  <c r="AC46" i="2"/>
  <c r="AD46" i="2"/>
  <c r="AE46" i="2"/>
  <c r="AF46" i="2"/>
  <c r="AG46" i="2"/>
  <c r="AJ46" i="2"/>
  <c r="AL46" i="2"/>
  <c r="AN46" i="2"/>
  <c r="AO46" i="2"/>
  <c r="AQ46" i="2"/>
  <c r="AU46" i="2"/>
  <c r="AV46" i="2"/>
  <c r="AW46" i="2"/>
  <c r="AX46" i="2"/>
  <c r="AY46" i="2"/>
  <c r="AZ46" i="2"/>
  <c r="BD46" i="2"/>
  <c r="BE46" i="2"/>
  <c r="BF46" i="2"/>
  <c r="BH46" i="2" s="1"/>
  <c r="BG46" i="2"/>
  <c r="BI46" i="2"/>
  <c r="BJ46" i="2" s="1"/>
  <c r="BK46" i="2"/>
  <c r="BL46" i="2"/>
  <c r="BM46" i="2"/>
  <c r="BN46" i="2"/>
  <c r="BO46" i="2"/>
  <c r="BP46" i="2"/>
  <c r="BQ46" i="2"/>
  <c r="BR46" i="2"/>
  <c r="BT46" i="2"/>
  <c r="BU46" i="2"/>
  <c r="BV46" i="2"/>
  <c r="BW46" i="2"/>
  <c r="BX46" i="2"/>
  <c r="CF46" i="2" s="1"/>
  <c r="BY46" i="2"/>
  <c r="BZ46" i="2"/>
  <c r="CA46" i="2" s="1"/>
  <c r="CB46" i="2"/>
  <c r="CC46" i="2" s="1"/>
  <c r="CE46" i="2"/>
  <c r="CG46" i="2"/>
  <c r="CI46" i="2"/>
  <c r="CJ46" i="2"/>
  <c r="CK46" i="2"/>
  <c r="CL46" i="2"/>
  <c r="CM46" i="2"/>
  <c r="CN46" i="2" s="1"/>
  <c r="CO46" i="2"/>
  <c r="CP46" i="2" s="1"/>
  <c r="CQ46" i="2"/>
  <c r="CS46" i="2" s="1"/>
  <c r="CR46" i="2"/>
  <c r="CY46" i="2"/>
  <c r="DA46" i="2"/>
  <c r="DB46" i="2" s="1"/>
  <c r="DC46" i="2"/>
  <c r="DD46" i="2" s="1"/>
  <c r="DE46" i="2"/>
  <c r="DF46" i="2"/>
  <c r="DG46" i="2"/>
  <c r="DH46" i="2" s="1"/>
  <c r="DI46" i="2"/>
  <c r="DJ46" i="2"/>
  <c r="DK46" i="2"/>
  <c r="DM46" i="2"/>
  <c r="DL46" i="2" s="1"/>
  <c r="DN46" i="2"/>
  <c r="A47" i="2"/>
  <c r="B47" i="2"/>
  <c r="C47" i="2"/>
  <c r="D47" i="2"/>
  <c r="E47" i="2"/>
  <c r="F47" i="2"/>
  <c r="G47" i="2"/>
  <c r="H47" i="2"/>
  <c r="I47" i="2"/>
  <c r="J47" i="2"/>
  <c r="L47" i="2"/>
  <c r="M47" i="2"/>
  <c r="N47" i="2" s="1"/>
  <c r="O47" i="2"/>
  <c r="P47" i="2"/>
  <c r="R47" i="2" s="1"/>
  <c r="Q47" i="2"/>
  <c r="S47" i="2"/>
  <c r="T47" i="2"/>
  <c r="U47" i="2"/>
  <c r="V47" i="2"/>
  <c r="W47" i="2"/>
  <c r="X47" i="2"/>
  <c r="Y47" i="2" s="1"/>
  <c r="AA47" i="2"/>
  <c r="AB47" i="2"/>
  <c r="AC47" i="2"/>
  <c r="AD47" i="2"/>
  <c r="AE47" i="2"/>
  <c r="AF47" i="2"/>
  <c r="AH47" i="2" s="1"/>
  <c r="AG47" i="2"/>
  <c r="AI47" i="2"/>
  <c r="CH47" i="2" s="1"/>
  <c r="AJ47" i="2"/>
  <c r="AK47" i="2"/>
  <c r="AL47" i="2"/>
  <c r="AM47" i="2"/>
  <c r="AN47" i="2"/>
  <c r="AQ47" i="2"/>
  <c r="AR47" i="2" s="1"/>
  <c r="AU47" i="2"/>
  <c r="AW47" i="2"/>
  <c r="AX47" i="2"/>
  <c r="AY47" i="2"/>
  <c r="AZ47" i="2"/>
  <c r="BA47" i="2" s="1"/>
  <c r="BC47" i="2" s="1"/>
  <c r="BD47" i="2"/>
  <c r="BE47" i="2"/>
  <c r="BF47" i="2"/>
  <c r="BI47" i="2"/>
  <c r="BJ47" i="2" s="1"/>
  <c r="BK47" i="2"/>
  <c r="BB47" i="2" s="1"/>
  <c r="BL47" i="2"/>
  <c r="BM47" i="2"/>
  <c r="BN47" i="2"/>
  <c r="BO47" i="2"/>
  <c r="BP47" i="2"/>
  <c r="BQ47" i="2"/>
  <c r="BR47" i="2"/>
  <c r="BS47" i="2"/>
  <c r="BT47" i="2"/>
  <c r="BU47" i="2"/>
  <c r="BX47" i="2"/>
  <c r="BY47" i="2"/>
  <c r="BZ47" i="2"/>
  <c r="CA47" i="2"/>
  <c r="CB47" i="2"/>
  <c r="CC47" i="2" s="1"/>
  <c r="CD47" i="2"/>
  <c r="CE47" i="2"/>
  <c r="CF47" i="2"/>
  <c r="CG47" i="2"/>
  <c r="CI47" i="2"/>
  <c r="CJ47" i="2"/>
  <c r="CK47" i="2"/>
  <c r="CL47" i="2"/>
  <c r="CM47" i="2"/>
  <c r="CN47" i="2" s="1"/>
  <c r="CO47" i="2"/>
  <c r="CP47" i="2" s="1"/>
  <c r="CQ47" i="2"/>
  <c r="CR47" i="2"/>
  <c r="CT47" i="2"/>
  <c r="CU47" i="2"/>
  <c r="CV47" i="2"/>
  <c r="CW47" i="2" s="1"/>
  <c r="CY47" i="2"/>
  <c r="CZ47" i="2"/>
  <c r="DA47" i="2"/>
  <c r="DB47" i="2"/>
  <c r="DC47" i="2"/>
  <c r="DD47" i="2" s="1"/>
  <c r="DE47" i="2"/>
  <c r="DF47" i="2" s="1"/>
  <c r="DG47" i="2"/>
  <c r="DH47" i="2"/>
  <c r="DI47" i="2"/>
  <c r="DJ47" i="2"/>
  <c r="DK47" i="2"/>
  <c r="DM47" i="2"/>
  <c r="DL47" i="2" s="1"/>
  <c r="DN47" i="2"/>
  <c r="A48" i="2"/>
  <c r="B48" i="2"/>
  <c r="C48" i="2"/>
  <c r="D48" i="2"/>
  <c r="E48" i="2"/>
  <c r="F48" i="2"/>
  <c r="G48" i="2"/>
  <c r="H48" i="2"/>
  <c r="I48" i="2"/>
  <c r="J48" i="2"/>
  <c r="L48" i="2"/>
  <c r="CZ48" i="2" s="1"/>
  <c r="M48" i="2"/>
  <c r="N48" i="2" s="1"/>
  <c r="O48" i="2"/>
  <c r="P48" i="2"/>
  <c r="AK48" i="2" s="1"/>
  <c r="Q48" i="2"/>
  <c r="R48" i="2"/>
  <c r="S48" i="2"/>
  <c r="U48" i="2" s="1"/>
  <c r="V48" i="2"/>
  <c r="W48" i="2"/>
  <c r="X48" i="2"/>
  <c r="Y48" i="2"/>
  <c r="Z48" i="2"/>
  <c r="AA48" i="2"/>
  <c r="AB48" i="2"/>
  <c r="AC48" i="2"/>
  <c r="AD48" i="2"/>
  <c r="AE48" i="2"/>
  <c r="AF48" i="2"/>
  <c r="AG48" i="2"/>
  <c r="AH48" i="2"/>
  <c r="AI48" i="2"/>
  <c r="CH48" i="2" s="1"/>
  <c r="AJ48" i="2"/>
  <c r="AN48" i="2"/>
  <c r="AO48" i="2"/>
  <c r="AP48" i="2"/>
  <c r="AQ48" i="2"/>
  <c r="BR48" i="2" s="1"/>
  <c r="AS48" i="2"/>
  <c r="AT48" i="2"/>
  <c r="AU48" i="2"/>
  <c r="AV48" i="2"/>
  <c r="AW48" i="2"/>
  <c r="AX48" i="2"/>
  <c r="AY48" i="2"/>
  <c r="AZ48" i="2"/>
  <c r="BA48" i="2" s="1"/>
  <c r="BD48" i="2"/>
  <c r="BE48" i="2"/>
  <c r="BF48" i="2"/>
  <c r="BI48" i="2"/>
  <c r="BJ48" i="2" s="1"/>
  <c r="BK48" i="2"/>
  <c r="BL48" i="2" s="1"/>
  <c r="BM48" i="2"/>
  <c r="BN48" i="2"/>
  <c r="BO48" i="2"/>
  <c r="BP48" i="2"/>
  <c r="BQ48" i="2"/>
  <c r="BS48" i="2"/>
  <c r="BT48" i="2"/>
  <c r="BU48" i="2"/>
  <c r="BV48" i="2"/>
  <c r="BW48" i="2" s="1"/>
  <c r="BX48" i="2"/>
  <c r="BY48" i="2"/>
  <c r="BZ48" i="2"/>
  <c r="CA48" i="2" s="1"/>
  <c r="CB48" i="2"/>
  <c r="CC48" i="2"/>
  <c r="CD48" i="2"/>
  <c r="CE48" i="2"/>
  <c r="CF48" i="2"/>
  <c r="CG48" i="2"/>
  <c r="CI48" i="2"/>
  <c r="CJ48" i="2"/>
  <c r="CK48" i="2"/>
  <c r="CL48" i="2"/>
  <c r="CM48" i="2"/>
  <c r="CN48" i="2" s="1"/>
  <c r="CO48" i="2"/>
  <c r="CP48" i="2"/>
  <c r="CQ48" i="2"/>
  <c r="CT48" i="2"/>
  <c r="CU48" i="2"/>
  <c r="CV48" i="2"/>
  <c r="CW48" i="2" s="1"/>
  <c r="CY48" i="2"/>
  <c r="DA48" i="2"/>
  <c r="DB48" i="2" s="1"/>
  <c r="DC48" i="2"/>
  <c r="DD48" i="2" s="1"/>
  <c r="DE48" i="2"/>
  <c r="DF48" i="2"/>
  <c r="DG48" i="2"/>
  <c r="DH48" i="2" s="1"/>
  <c r="DI48" i="2"/>
  <c r="DJ48" i="2"/>
  <c r="DK48" i="2" s="1"/>
  <c r="DL48" i="2"/>
  <c r="DM48" i="2"/>
  <c r="DN48" i="2"/>
  <c r="A49" i="2"/>
  <c r="B49" i="2"/>
  <c r="C49" i="2"/>
  <c r="D49" i="2"/>
  <c r="E49" i="2"/>
  <c r="F49" i="2"/>
  <c r="G49" i="2"/>
  <c r="H49" i="2"/>
  <c r="I49" i="2"/>
  <c r="J49" i="2"/>
  <c r="L49" i="2"/>
  <c r="M49" i="2"/>
  <c r="N49" i="2"/>
  <c r="O49" i="2"/>
  <c r="P49" i="2"/>
  <c r="R49" i="2" s="1"/>
  <c r="Q49" i="2"/>
  <c r="S49" i="2"/>
  <c r="T49" i="2" s="1"/>
  <c r="V49" i="2"/>
  <c r="X49" i="2"/>
  <c r="Z49" i="2" s="1"/>
  <c r="AA49" i="2"/>
  <c r="AB49" i="2"/>
  <c r="AC49" i="2"/>
  <c r="AD49" i="2"/>
  <c r="AE49" i="2"/>
  <c r="AF49" i="2"/>
  <c r="AH49" i="2" s="1"/>
  <c r="AG49" i="2"/>
  <c r="AI49" i="2"/>
  <c r="CH49" i="2" s="1"/>
  <c r="AJ49" i="2"/>
  <c r="AN49" i="2"/>
  <c r="AV49" i="2" s="1"/>
  <c r="AO49" i="2"/>
  <c r="AP49" i="2" s="1"/>
  <c r="AQ49" i="2"/>
  <c r="AR49" i="2" s="1"/>
  <c r="CX49" i="2" s="1"/>
  <c r="AW49" i="2"/>
  <c r="AX49" i="2"/>
  <c r="AY49" i="2"/>
  <c r="AZ49" i="2"/>
  <c r="BD49" i="2"/>
  <c r="BF49" i="2"/>
  <c r="BH49" i="2"/>
  <c r="BI49" i="2"/>
  <c r="BK49" i="2"/>
  <c r="BM49" i="2"/>
  <c r="BN49" i="2"/>
  <c r="BP49" i="2"/>
  <c r="BQ49" i="2"/>
  <c r="BS49" i="2"/>
  <c r="BT49" i="2"/>
  <c r="BU49" i="2"/>
  <c r="BX49" i="2"/>
  <c r="BZ49" i="2"/>
  <c r="CB49" i="2"/>
  <c r="CE49" i="2"/>
  <c r="CF49" i="2"/>
  <c r="CG49" i="2"/>
  <c r="CI49" i="2"/>
  <c r="CJ49" i="2"/>
  <c r="CK49" i="2"/>
  <c r="CL49" i="2"/>
  <c r="CM49" i="2"/>
  <c r="CN49" i="2" s="1"/>
  <c r="CO49" i="2"/>
  <c r="CQ49" i="2"/>
  <c r="CS49" i="2"/>
  <c r="DA49" i="2"/>
  <c r="DB49" i="2" s="1"/>
  <c r="DC49" i="2"/>
  <c r="DD49" i="2" s="1"/>
  <c r="DE49" i="2"/>
  <c r="DG49" i="2"/>
  <c r="DI49" i="2"/>
  <c r="DJ49" i="2"/>
  <c r="DM49" i="2"/>
  <c r="DN49" i="2"/>
  <c r="A50" i="2"/>
  <c r="B50" i="2"/>
  <c r="C50" i="2"/>
  <c r="D50" i="2"/>
  <c r="E50" i="2"/>
  <c r="F50" i="2"/>
  <c r="G50" i="2"/>
  <c r="H50" i="2"/>
  <c r="I50" i="2"/>
  <c r="J50" i="2"/>
  <c r="L50" i="2"/>
  <c r="M50" i="2"/>
  <c r="N50" i="2"/>
  <c r="O50" i="2"/>
  <c r="P50" i="2"/>
  <c r="R50" i="2" s="1"/>
  <c r="Q50" i="2"/>
  <c r="S50" i="2"/>
  <c r="U50" i="2" s="1"/>
  <c r="T50" i="2"/>
  <c r="V50" i="2"/>
  <c r="W50" i="2" s="1"/>
  <c r="X50" i="2"/>
  <c r="Y50" i="2"/>
  <c r="AA50" i="2"/>
  <c r="AB50" i="2"/>
  <c r="AC50" i="2"/>
  <c r="AD50" i="2"/>
  <c r="AE50" i="2"/>
  <c r="AF50" i="2"/>
  <c r="AH50" i="2" s="1"/>
  <c r="AG50" i="2"/>
  <c r="AJ50" i="2"/>
  <c r="AK50" i="2"/>
  <c r="AL50" i="2"/>
  <c r="AM50" i="2"/>
  <c r="AN50" i="2"/>
  <c r="BV50" i="2" s="1"/>
  <c r="AO50" i="2"/>
  <c r="AQ50" i="2"/>
  <c r="AW50" i="2"/>
  <c r="AX50" i="2"/>
  <c r="AY50" i="2" s="1"/>
  <c r="AZ50" i="2"/>
  <c r="BA50" i="2" s="1"/>
  <c r="BD50" i="2"/>
  <c r="BE50" i="2"/>
  <c r="BF50" i="2"/>
  <c r="BH50" i="2" s="1"/>
  <c r="BG50" i="2"/>
  <c r="BI50" i="2"/>
  <c r="BJ50" i="2" s="1"/>
  <c r="BK50" i="2"/>
  <c r="BL50" i="2"/>
  <c r="BM50" i="2"/>
  <c r="BN50" i="2"/>
  <c r="BO50" i="2"/>
  <c r="BP50" i="2"/>
  <c r="BQ50" i="2"/>
  <c r="BT50" i="2"/>
  <c r="BU50" i="2"/>
  <c r="BW50" i="2"/>
  <c r="BX50" i="2"/>
  <c r="BY50" i="2"/>
  <c r="BZ50" i="2"/>
  <c r="CA50" i="2" s="1"/>
  <c r="CB50" i="2"/>
  <c r="CC50" i="2"/>
  <c r="CD50" i="2"/>
  <c r="CE50" i="2"/>
  <c r="CF50" i="2"/>
  <c r="CG50" i="2"/>
  <c r="CI50" i="2"/>
  <c r="CJ50" i="2"/>
  <c r="CK50" i="2"/>
  <c r="CL50" i="2"/>
  <c r="CM50" i="2"/>
  <c r="CN50" i="2" s="1"/>
  <c r="CO50" i="2"/>
  <c r="CP50" i="2"/>
  <c r="CQ50" i="2"/>
  <c r="CY50" i="2"/>
  <c r="CZ50" i="2"/>
  <c r="DA50" i="2"/>
  <c r="DB50" i="2" s="1"/>
  <c r="DC50" i="2"/>
  <c r="DD50" i="2" s="1"/>
  <c r="DE50" i="2"/>
  <c r="DF50" i="2"/>
  <c r="DG50" i="2"/>
  <c r="DH50" i="2"/>
  <c r="DI50" i="2"/>
  <c r="DJ50" i="2"/>
  <c r="DK50" i="2" s="1"/>
  <c r="DM50" i="2"/>
  <c r="DL50" i="2" s="1"/>
  <c r="DN50" i="2"/>
  <c r="A51" i="2"/>
  <c r="B51" i="2"/>
  <c r="C51" i="2"/>
  <c r="D51" i="2"/>
  <c r="E51" i="2"/>
  <c r="F51" i="2"/>
  <c r="G51" i="2"/>
  <c r="H51" i="2"/>
  <c r="I51" i="2"/>
  <c r="J51" i="2"/>
  <c r="L51" i="2"/>
  <c r="CC51" i="2" s="1"/>
  <c r="M51" i="2"/>
  <c r="N51" i="2"/>
  <c r="O51" i="2"/>
  <c r="P51" i="2"/>
  <c r="R51" i="2" s="1"/>
  <c r="Q51" i="2"/>
  <c r="AL51" i="2" s="1"/>
  <c r="S51" i="2"/>
  <c r="T51" i="2" s="1"/>
  <c r="V51" i="2"/>
  <c r="X51" i="2"/>
  <c r="Y51" i="2"/>
  <c r="Z51" i="2"/>
  <c r="AA51" i="2"/>
  <c r="AB51" i="2"/>
  <c r="AC51" i="2"/>
  <c r="AD51" i="2"/>
  <c r="AE51" i="2"/>
  <c r="AF51" i="2"/>
  <c r="AI51" i="2" s="1"/>
  <c r="CH51" i="2" s="1"/>
  <c r="AG51" i="2"/>
  <c r="AH51" i="2"/>
  <c r="AJ51" i="2"/>
  <c r="AN51" i="2"/>
  <c r="AV51" i="2" s="1"/>
  <c r="AQ51" i="2"/>
  <c r="AU51" i="2" s="1"/>
  <c r="AR51" i="2"/>
  <c r="CX51" i="2" s="1"/>
  <c r="AW51" i="2"/>
  <c r="AX51" i="2"/>
  <c r="AY51" i="2"/>
  <c r="AZ51" i="2"/>
  <c r="BD51" i="2"/>
  <c r="BF51" i="2"/>
  <c r="BG51" i="2"/>
  <c r="BH51" i="2"/>
  <c r="BI51" i="2"/>
  <c r="BJ51" i="2"/>
  <c r="BK51" i="2"/>
  <c r="BL51" i="2" s="1"/>
  <c r="BM51" i="2"/>
  <c r="BN51" i="2"/>
  <c r="BO51" i="2" s="1"/>
  <c r="BP51" i="2"/>
  <c r="BQ51" i="2"/>
  <c r="BT51" i="2"/>
  <c r="BU51" i="2"/>
  <c r="BX51" i="2"/>
  <c r="CF51" i="2" s="1"/>
  <c r="BY51" i="2"/>
  <c r="BZ51" i="2"/>
  <c r="CA51" i="2" s="1"/>
  <c r="CB51" i="2"/>
  <c r="CE51" i="2"/>
  <c r="CG51" i="2"/>
  <c r="CI51" i="2"/>
  <c r="CJ51" i="2"/>
  <c r="CK51" i="2"/>
  <c r="CM51" i="2"/>
  <c r="CN51" i="2" s="1"/>
  <c r="CO51" i="2"/>
  <c r="CP51" i="2" s="1"/>
  <c r="CQ51" i="2"/>
  <c r="CR51" i="2" s="1"/>
  <c r="DA51" i="2"/>
  <c r="DB51" i="2" s="1"/>
  <c r="DC51" i="2"/>
  <c r="DD51" i="2" s="1"/>
  <c r="DE51" i="2"/>
  <c r="DF51" i="2" s="1"/>
  <c r="DG51" i="2"/>
  <c r="DH51" i="2" s="1"/>
  <c r="DI51" i="2"/>
  <c r="DJ51" i="2"/>
  <c r="DK51" i="2" s="1"/>
  <c r="DL51" i="2"/>
  <c r="DM51" i="2"/>
  <c r="DN51" i="2"/>
  <c r="A52" i="2"/>
  <c r="B52" i="2"/>
  <c r="C52" i="2"/>
  <c r="D52" i="2"/>
  <c r="E52" i="2"/>
  <c r="F52" i="2"/>
  <c r="G52" i="2"/>
  <c r="H52" i="2"/>
  <c r="I52" i="2"/>
  <c r="J52" i="2"/>
  <c r="L52" i="2"/>
  <c r="CL52" i="2" s="1"/>
  <c r="M52" i="2"/>
  <c r="N52" i="2"/>
  <c r="O52" i="2"/>
  <c r="P52" i="2"/>
  <c r="Q52" i="2"/>
  <c r="R52" i="2"/>
  <c r="S52" i="2"/>
  <c r="T52" i="2" s="1"/>
  <c r="U52" i="2"/>
  <c r="V52" i="2"/>
  <c r="W52" i="2"/>
  <c r="X52" i="2"/>
  <c r="AA52" i="2"/>
  <c r="AB52" i="2"/>
  <c r="AC52" i="2"/>
  <c r="AD52" i="2"/>
  <c r="AE52" i="2"/>
  <c r="AF52" i="2"/>
  <c r="AG52" i="2"/>
  <c r="AH52" i="2"/>
  <c r="AI52" i="2"/>
  <c r="AJ52" i="2"/>
  <c r="AK52" i="2"/>
  <c r="AL52" i="2"/>
  <c r="AM52" i="2"/>
  <c r="AN52" i="2"/>
  <c r="AQ52" i="2"/>
  <c r="AR52" i="2"/>
  <c r="AU52" i="2"/>
  <c r="AW52" i="2"/>
  <c r="AX52" i="2"/>
  <c r="AY52" i="2"/>
  <c r="AZ52" i="2"/>
  <c r="BA52" i="2"/>
  <c r="BB52" i="2"/>
  <c r="BD52" i="2"/>
  <c r="BF52" i="2"/>
  <c r="BI52" i="2"/>
  <c r="BJ52" i="2"/>
  <c r="BK52" i="2"/>
  <c r="BL52" i="2" s="1"/>
  <c r="BC52" i="2" s="1"/>
  <c r="BM52" i="2"/>
  <c r="BN52" i="2"/>
  <c r="BO52" i="2"/>
  <c r="BP52" i="2"/>
  <c r="BQ52" i="2"/>
  <c r="BR52" i="2"/>
  <c r="BS52" i="2"/>
  <c r="BT52" i="2"/>
  <c r="BU52" i="2"/>
  <c r="BX52" i="2"/>
  <c r="BY52" i="2" s="1"/>
  <c r="BZ52" i="2"/>
  <c r="CA52" i="2" s="1"/>
  <c r="CB52" i="2"/>
  <c r="CC52" i="2" s="1"/>
  <c r="CD52" i="2"/>
  <c r="CE52" i="2"/>
  <c r="CG52" i="2"/>
  <c r="CH52" i="2"/>
  <c r="CI52" i="2"/>
  <c r="CJ52" i="2"/>
  <c r="CK52" i="2"/>
  <c r="CM52" i="2"/>
  <c r="CN52" i="2"/>
  <c r="CO52" i="2"/>
  <c r="CP52" i="2"/>
  <c r="CQ52" i="2"/>
  <c r="CR52" i="2" s="1"/>
  <c r="CT52" i="2"/>
  <c r="CU52" i="2"/>
  <c r="CV52" i="2"/>
  <c r="CW52" i="2"/>
  <c r="CY52" i="2"/>
  <c r="CZ52" i="2"/>
  <c r="DA52" i="2"/>
  <c r="DB52" i="2" s="1"/>
  <c r="DC52" i="2"/>
  <c r="DD52" i="2"/>
  <c r="DE52" i="2"/>
  <c r="DF52" i="2"/>
  <c r="DG52" i="2"/>
  <c r="DH52" i="2" s="1"/>
  <c r="DI52" i="2"/>
  <c r="DJ52" i="2"/>
  <c r="DK52" i="2"/>
  <c r="DM52" i="2"/>
  <c r="DL52" i="2" s="1"/>
  <c r="DN52" i="2"/>
  <c r="A53" i="2"/>
  <c r="B53" i="2"/>
  <c r="C53" i="2"/>
  <c r="D53" i="2"/>
  <c r="E53" i="2"/>
  <c r="F53" i="2"/>
  <c r="G53" i="2"/>
  <c r="H53" i="2"/>
  <c r="I53" i="2"/>
  <c r="J53" i="2"/>
  <c r="L53" i="2"/>
  <c r="BA53" i="2" s="1"/>
  <c r="M53" i="2"/>
  <c r="N53" i="2" s="1"/>
  <c r="O53" i="2"/>
  <c r="P53" i="2"/>
  <c r="AK53" i="2" s="1"/>
  <c r="Q53" i="2"/>
  <c r="AL53" i="2" s="1"/>
  <c r="R53" i="2"/>
  <c r="S53" i="2"/>
  <c r="T53" i="2" s="1"/>
  <c r="V53" i="2"/>
  <c r="W53" i="2" s="1"/>
  <c r="X53" i="2"/>
  <c r="Y53" i="2" s="1"/>
  <c r="AA53" i="2"/>
  <c r="AB53" i="2"/>
  <c r="AC53" i="2"/>
  <c r="AD53" i="2"/>
  <c r="AE53" i="2"/>
  <c r="AF53" i="2"/>
  <c r="AI53" i="2" s="1"/>
  <c r="CH53" i="2" s="1"/>
  <c r="AG53" i="2"/>
  <c r="AH53" i="2"/>
  <c r="AJ53" i="2"/>
  <c r="AN53" i="2"/>
  <c r="AO53" i="2" s="1"/>
  <c r="AQ53" i="2"/>
  <c r="AR53" i="2"/>
  <c r="CX53" i="2" s="1"/>
  <c r="AU53" i="2"/>
  <c r="AV53" i="2"/>
  <c r="AW53" i="2"/>
  <c r="AX53" i="2"/>
  <c r="AZ53" i="2"/>
  <c r="BD53" i="2"/>
  <c r="BE53" i="2" s="1"/>
  <c r="BF53" i="2"/>
  <c r="BG53" i="2" s="1"/>
  <c r="BI53" i="2"/>
  <c r="BJ53" i="2" s="1"/>
  <c r="BK53" i="2"/>
  <c r="BL53" i="2" s="1"/>
  <c r="BM53" i="2"/>
  <c r="BN53" i="2"/>
  <c r="BP53" i="2"/>
  <c r="BQ53" i="2"/>
  <c r="BR53" i="2"/>
  <c r="BS53" i="2"/>
  <c r="BT53" i="2"/>
  <c r="BU53" i="2"/>
  <c r="BX53" i="2"/>
  <c r="CF53" i="2" s="1"/>
  <c r="BY53" i="2"/>
  <c r="BZ53" i="2"/>
  <c r="CA53" i="2"/>
  <c r="CB53" i="2"/>
  <c r="CC53" i="2" s="1"/>
  <c r="CD53" i="2"/>
  <c r="CE53" i="2"/>
  <c r="CG53" i="2"/>
  <c r="CI53" i="2"/>
  <c r="CJ53" i="2"/>
  <c r="CK53" i="2"/>
  <c r="CM53" i="2"/>
  <c r="CN53" i="2"/>
  <c r="CO53" i="2"/>
  <c r="CP53" i="2" s="1"/>
  <c r="CQ53" i="2"/>
  <c r="CR53" i="2" s="1"/>
  <c r="CS53" i="2"/>
  <c r="CT53" i="2"/>
  <c r="CU53" i="2" s="1"/>
  <c r="CV53" i="2"/>
  <c r="CZ53" i="2"/>
  <c r="DA53" i="2"/>
  <c r="DB53" i="2" s="1"/>
  <c r="DC53" i="2"/>
  <c r="DD53" i="2"/>
  <c r="DE53" i="2"/>
  <c r="DF53" i="2" s="1"/>
  <c r="DG53" i="2"/>
  <c r="DH53" i="2"/>
  <c r="DI53" i="2"/>
  <c r="DJ53" i="2"/>
  <c r="DK53" i="2" s="1"/>
  <c r="DM53" i="2"/>
  <c r="DL53" i="2" s="1"/>
  <c r="DN53" i="2"/>
  <c r="A54" i="2"/>
  <c r="B54" i="2"/>
  <c r="C54" i="2"/>
  <c r="D54" i="2"/>
  <c r="E54" i="2"/>
  <c r="F54" i="2"/>
  <c r="G54" i="2"/>
  <c r="H54" i="2"/>
  <c r="I54" i="2"/>
  <c r="J54" i="2"/>
  <c r="L54" i="2"/>
  <c r="M54" i="2"/>
  <c r="N54" i="2" s="1"/>
  <c r="O54" i="2"/>
  <c r="P54" i="2"/>
  <c r="Q54" i="2"/>
  <c r="R54" i="2"/>
  <c r="S54" i="2"/>
  <c r="T54" i="2" s="1"/>
  <c r="V54" i="2"/>
  <c r="X54" i="2"/>
  <c r="Z54" i="2"/>
  <c r="AA54" i="2"/>
  <c r="AB54" i="2"/>
  <c r="AC54" i="2"/>
  <c r="AD54" i="2"/>
  <c r="AE54" i="2"/>
  <c r="AF54" i="2"/>
  <c r="AG54" i="2"/>
  <c r="AH54" i="2"/>
  <c r="AI54" i="2"/>
  <c r="AJ54" i="2"/>
  <c r="AN54" i="2"/>
  <c r="AO54" i="2"/>
  <c r="AQ54" i="2"/>
  <c r="AV54" i="2"/>
  <c r="AW54" i="2"/>
  <c r="AX54" i="2"/>
  <c r="AY54" i="2" s="1"/>
  <c r="AZ54" i="2"/>
  <c r="BD54" i="2"/>
  <c r="BF54" i="2"/>
  <c r="BG54" i="2"/>
  <c r="BH54" i="2"/>
  <c r="BI54" i="2"/>
  <c r="BK54" i="2"/>
  <c r="BM54" i="2"/>
  <c r="BN54" i="2"/>
  <c r="BP54" i="2"/>
  <c r="BQ54" i="2"/>
  <c r="BT54" i="2"/>
  <c r="BU54" i="2"/>
  <c r="BV54" i="2"/>
  <c r="BW54" i="2"/>
  <c r="BX54" i="2"/>
  <c r="BZ54" i="2"/>
  <c r="CB54" i="2"/>
  <c r="CE54" i="2"/>
  <c r="CG54" i="2"/>
  <c r="CI54" i="2"/>
  <c r="CJ54" i="2"/>
  <c r="CK54" i="2"/>
  <c r="CM54" i="2"/>
  <c r="CO54" i="2"/>
  <c r="CQ54" i="2"/>
  <c r="CS54" i="2" s="1"/>
  <c r="DA54" i="2"/>
  <c r="DB54" i="2" s="1"/>
  <c r="DC54" i="2"/>
  <c r="DD54" i="2" s="1"/>
  <c r="DE54" i="2"/>
  <c r="DG54" i="2"/>
  <c r="DI54" i="2"/>
  <c r="DJ54" i="2"/>
  <c r="DK54" i="2" s="1"/>
  <c r="DM54" i="2"/>
  <c r="DN54" i="2"/>
  <c r="A55" i="2"/>
  <c r="B55" i="2"/>
  <c r="C55" i="2"/>
  <c r="D55" i="2"/>
  <c r="E55" i="2"/>
  <c r="F55" i="2"/>
  <c r="G55" i="2"/>
  <c r="H55" i="2"/>
  <c r="I55" i="2"/>
  <c r="J55" i="2"/>
  <c r="L55" i="2"/>
  <c r="CZ55" i="2" s="1"/>
  <c r="M55" i="2"/>
  <c r="N55" i="2" s="1"/>
  <c r="O55" i="2"/>
  <c r="P55" i="2"/>
  <c r="R55" i="2" s="1"/>
  <c r="Q55" i="2"/>
  <c r="S55" i="2"/>
  <c r="T55" i="2" s="1"/>
  <c r="V55" i="2"/>
  <c r="X55" i="2"/>
  <c r="AA55" i="2"/>
  <c r="AB55" i="2"/>
  <c r="AC55" i="2"/>
  <c r="AD55" i="2"/>
  <c r="AE55" i="2"/>
  <c r="AF55" i="2"/>
  <c r="AH55" i="2" s="1"/>
  <c r="AG55" i="2"/>
  <c r="AI55" i="2"/>
  <c r="CH55" i="2" s="1"/>
  <c r="AJ55" i="2"/>
  <c r="AK55" i="2"/>
  <c r="AL55" i="2"/>
  <c r="AN55" i="2"/>
  <c r="AO55" i="2"/>
  <c r="AP55" i="2" s="1"/>
  <c r="AQ55" i="2"/>
  <c r="CT55" i="2" s="1"/>
  <c r="AR55" i="2"/>
  <c r="AS55" i="2"/>
  <c r="AT55" i="2" s="1"/>
  <c r="AU55" i="2"/>
  <c r="AV55" i="2"/>
  <c r="AW55" i="2"/>
  <c r="AX55" i="2"/>
  <c r="AY55" i="2"/>
  <c r="AZ55" i="2"/>
  <c r="BA55" i="2" s="1"/>
  <c r="BB55" i="2"/>
  <c r="BD55" i="2"/>
  <c r="BF55" i="2"/>
  <c r="BG55" i="2" s="1"/>
  <c r="BH55" i="2"/>
  <c r="BI55" i="2"/>
  <c r="BJ55" i="2" s="1"/>
  <c r="BK55" i="2"/>
  <c r="BM55" i="2"/>
  <c r="BN55" i="2"/>
  <c r="BO55" i="2"/>
  <c r="BP55" i="2"/>
  <c r="BQ55" i="2"/>
  <c r="BR55" i="2"/>
  <c r="BS55" i="2"/>
  <c r="BT55" i="2"/>
  <c r="BU55" i="2"/>
  <c r="BV55" i="2"/>
  <c r="BW55" i="2" s="1"/>
  <c r="BX55" i="2"/>
  <c r="BY55" i="2" s="1"/>
  <c r="BZ55" i="2"/>
  <c r="CB55" i="2"/>
  <c r="CE55" i="2"/>
  <c r="CF55" i="2"/>
  <c r="CG55" i="2"/>
  <c r="CI55" i="2"/>
  <c r="CJ55" i="2"/>
  <c r="CK55" i="2"/>
  <c r="CM55" i="2"/>
  <c r="CN55" i="2"/>
  <c r="CO55" i="2"/>
  <c r="CP55" i="2" s="1"/>
  <c r="CQ55" i="2"/>
  <c r="CU55" i="2"/>
  <c r="CV55" i="2"/>
  <c r="CW55" i="2"/>
  <c r="CX55" i="2"/>
  <c r="DA55" i="2"/>
  <c r="DB55" i="2" s="1"/>
  <c r="DC55" i="2"/>
  <c r="DD55" i="2"/>
  <c r="DE55" i="2"/>
  <c r="DF55" i="2" s="1"/>
  <c r="DG55" i="2"/>
  <c r="DI55" i="2"/>
  <c r="DJ55" i="2"/>
  <c r="DK55" i="2"/>
  <c r="DL55" i="2"/>
  <c r="DM55" i="2"/>
  <c r="DN55" i="2"/>
  <c r="A56" i="2"/>
  <c r="B56" i="2"/>
  <c r="C56" i="2"/>
  <c r="D56" i="2"/>
  <c r="E56" i="2"/>
  <c r="F56" i="2"/>
  <c r="G56" i="2"/>
  <c r="H56" i="2"/>
  <c r="I56" i="2"/>
  <c r="J56" i="2"/>
  <c r="L56" i="2"/>
  <c r="CD56" i="2" s="1"/>
  <c r="M56" i="2"/>
  <c r="N56" i="2" s="1"/>
  <c r="O56" i="2"/>
  <c r="P56" i="2"/>
  <c r="Q56" i="2"/>
  <c r="S56" i="2"/>
  <c r="T56" i="2" s="1"/>
  <c r="V56" i="2"/>
  <c r="X56" i="2"/>
  <c r="Y56" i="2"/>
  <c r="AA56" i="2"/>
  <c r="AB56" i="2"/>
  <c r="AC56" i="2"/>
  <c r="AD56" i="2"/>
  <c r="AE56" i="2"/>
  <c r="AF56" i="2"/>
  <c r="AG56" i="2"/>
  <c r="AJ56" i="2"/>
  <c r="AL56" i="2"/>
  <c r="AN56" i="2"/>
  <c r="AO56" i="2"/>
  <c r="AP56" i="2"/>
  <c r="AQ56" i="2"/>
  <c r="CT56" i="2" s="1"/>
  <c r="CU56" i="2" s="1"/>
  <c r="AS56" i="2"/>
  <c r="AT56" i="2" s="1"/>
  <c r="AU56" i="2"/>
  <c r="AV56" i="2"/>
  <c r="AW56" i="2"/>
  <c r="AY56" i="2" s="1"/>
  <c r="AX56" i="2"/>
  <c r="AZ56" i="2"/>
  <c r="BA56" i="2" s="1"/>
  <c r="BD56" i="2"/>
  <c r="BE56" i="2"/>
  <c r="BF56" i="2"/>
  <c r="BH56" i="2" s="1"/>
  <c r="BG56" i="2"/>
  <c r="BI56" i="2"/>
  <c r="BJ56" i="2" s="1"/>
  <c r="BK56" i="2"/>
  <c r="BB56" i="2" s="1"/>
  <c r="BL56" i="2"/>
  <c r="BM56" i="2"/>
  <c r="BN56" i="2"/>
  <c r="BO56" i="2"/>
  <c r="BP56" i="2"/>
  <c r="BQ56" i="2"/>
  <c r="BR56" i="2"/>
  <c r="BT56" i="2"/>
  <c r="BU56" i="2"/>
  <c r="BV56" i="2"/>
  <c r="BW56" i="2"/>
  <c r="BX56" i="2"/>
  <c r="BY56" i="2"/>
  <c r="BZ56" i="2"/>
  <c r="CA56" i="2" s="1"/>
  <c r="CB56" i="2"/>
  <c r="CC56" i="2" s="1"/>
  <c r="CE56" i="2"/>
  <c r="CF56" i="2"/>
  <c r="CG56" i="2"/>
  <c r="CI56" i="2"/>
  <c r="CJ56" i="2"/>
  <c r="CK56" i="2"/>
  <c r="CL56" i="2"/>
  <c r="CM56" i="2"/>
  <c r="CN56" i="2" s="1"/>
  <c r="CO56" i="2"/>
  <c r="CP56" i="2" s="1"/>
  <c r="CQ56" i="2"/>
  <c r="CS56" i="2" s="1"/>
  <c r="CY56" i="2"/>
  <c r="CZ56" i="2"/>
  <c r="DA56" i="2"/>
  <c r="DB56" i="2"/>
  <c r="DC56" i="2"/>
  <c r="DD56" i="2" s="1"/>
  <c r="DE56" i="2"/>
  <c r="DF56" i="2"/>
  <c r="DG56" i="2"/>
  <c r="DH56" i="2"/>
  <c r="DI56" i="2"/>
  <c r="DJ56" i="2"/>
  <c r="DK56" i="2"/>
  <c r="DL56" i="2"/>
  <c r="DM56" i="2"/>
  <c r="DN56" i="2"/>
  <c r="A57" i="2"/>
  <c r="B57" i="2"/>
  <c r="C57" i="2"/>
  <c r="D57" i="2"/>
  <c r="E57" i="2"/>
  <c r="F57" i="2"/>
  <c r="G57" i="2"/>
  <c r="H57" i="2"/>
  <c r="I57" i="2"/>
  <c r="J57" i="2"/>
  <c r="L57" i="2"/>
  <c r="M57" i="2"/>
  <c r="N57" i="2" s="1"/>
  <c r="O57" i="2"/>
  <c r="P57" i="2"/>
  <c r="Q57" i="2"/>
  <c r="AL57" i="2" s="1"/>
  <c r="S57" i="2"/>
  <c r="T57" i="2"/>
  <c r="U57" i="2"/>
  <c r="V57" i="2"/>
  <c r="W57" i="2"/>
  <c r="X57" i="2"/>
  <c r="Y57" i="2" s="1"/>
  <c r="Z57" i="2"/>
  <c r="AA57" i="2"/>
  <c r="AB57" i="2"/>
  <c r="AC57" i="2"/>
  <c r="AD57" i="2"/>
  <c r="AE57" i="2"/>
  <c r="AF57" i="2"/>
  <c r="AG57" i="2"/>
  <c r="AJ57" i="2"/>
  <c r="AM57" i="2"/>
  <c r="AN57" i="2"/>
  <c r="AO57" i="2" s="1"/>
  <c r="AQ57" i="2"/>
  <c r="AR57" i="2" s="1"/>
  <c r="CX57" i="2" s="1"/>
  <c r="AW57" i="2"/>
  <c r="AY57" i="2" s="1"/>
  <c r="AX57" i="2"/>
  <c r="AZ57" i="2"/>
  <c r="BA57" i="2"/>
  <c r="BC57" i="2"/>
  <c r="BD57" i="2"/>
  <c r="BE57" i="2" s="1"/>
  <c r="BF57" i="2"/>
  <c r="BI57" i="2"/>
  <c r="BJ57" i="2" s="1"/>
  <c r="BK57" i="2"/>
  <c r="BB57" i="2" s="1"/>
  <c r="BL57" i="2"/>
  <c r="BM57" i="2"/>
  <c r="BN57" i="2"/>
  <c r="BO57" i="2"/>
  <c r="BP57" i="2"/>
  <c r="BQ57" i="2"/>
  <c r="BS57" i="2"/>
  <c r="BT57" i="2"/>
  <c r="BU57" i="2"/>
  <c r="BV57" i="2"/>
  <c r="BW57" i="2" s="1"/>
  <c r="BX57" i="2"/>
  <c r="BY57" i="2"/>
  <c r="BZ57" i="2"/>
  <c r="CA57" i="2"/>
  <c r="CB57" i="2"/>
  <c r="CC57" i="2" s="1"/>
  <c r="CD57" i="2"/>
  <c r="CE57" i="2"/>
  <c r="CF57" i="2"/>
  <c r="CG57" i="2"/>
  <c r="CI57" i="2"/>
  <c r="CJ57" i="2"/>
  <c r="CK57" i="2"/>
  <c r="CL57" i="2"/>
  <c r="CM57" i="2"/>
  <c r="CN57" i="2" s="1"/>
  <c r="CO57" i="2"/>
  <c r="CP57" i="2" s="1"/>
  <c r="CQ57" i="2"/>
  <c r="CR57" i="2"/>
  <c r="CS57" i="2"/>
  <c r="CY57" i="2"/>
  <c r="CZ57" i="2"/>
  <c r="DA57" i="2"/>
  <c r="DB57" i="2"/>
  <c r="DC57" i="2"/>
  <c r="DD57" i="2" s="1"/>
  <c r="DE57" i="2"/>
  <c r="DF57" i="2" s="1"/>
  <c r="DG57" i="2"/>
  <c r="DH57" i="2"/>
  <c r="DI57" i="2"/>
  <c r="DJ57" i="2"/>
  <c r="DK57" i="2"/>
  <c r="DM57" i="2"/>
  <c r="DL57" i="2" s="1"/>
  <c r="DN57" i="2"/>
  <c r="A58" i="2"/>
  <c r="B58" i="2"/>
  <c r="C58" i="2"/>
  <c r="D58" i="2"/>
  <c r="E58" i="2"/>
  <c r="F58" i="2"/>
  <c r="G58" i="2"/>
  <c r="H58" i="2"/>
  <c r="I58" i="2"/>
  <c r="J58" i="2"/>
  <c r="L58" i="2"/>
  <c r="M58" i="2"/>
  <c r="N58" i="2"/>
  <c r="O58" i="2"/>
  <c r="P58" i="2"/>
  <c r="Q58" i="2"/>
  <c r="R58" i="2"/>
  <c r="S58" i="2"/>
  <c r="V58" i="2"/>
  <c r="W58" i="2"/>
  <c r="X58" i="2"/>
  <c r="Y58" i="2"/>
  <c r="Z58" i="2"/>
  <c r="AA58" i="2"/>
  <c r="AB58" i="2"/>
  <c r="AC58" i="2"/>
  <c r="AD58" i="2"/>
  <c r="AE58" i="2"/>
  <c r="AF58" i="2"/>
  <c r="AG58" i="2"/>
  <c r="AH58" i="2"/>
  <c r="AI58" i="2"/>
  <c r="CH58" i="2" s="1"/>
  <c r="AJ58" i="2"/>
  <c r="AK58" i="2"/>
  <c r="AN58" i="2"/>
  <c r="AV58" i="2" s="1"/>
  <c r="AO58" i="2"/>
  <c r="AS58" i="2" s="1"/>
  <c r="AT58" i="2" s="1"/>
  <c r="AP58" i="2"/>
  <c r="AQ58" i="2"/>
  <c r="BR58" i="2" s="1"/>
  <c r="AW58" i="2"/>
  <c r="AX58" i="2"/>
  <c r="AY58" i="2" s="1"/>
  <c r="AZ58" i="2"/>
  <c r="BA58" i="2" s="1"/>
  <c r="BD58" i="2"/>
  <c r="BE58" i="2"/>
  <c r="BF58" i="2"/>
  <c r="BI58" i="2"/>
  <c r="BJ58" i="2"/>
  <c r="BK58" i="2"/>
  <c r="BL58" i="2" s="1"/>
  <c r="BM58" i="2"/>
  <c r="BN58" i="2"/>
  <c r="BB58" i="2" s="1"/>
  <c r="BP58" i="2"/>
  <c r="BQ58" i="2"/>
  <c r="BT58" i="2"/>
  <c r="BU58" i="2"/>
  <c r="BV58" i="2"/>
  <c r="BW58" i="2" s="1"/>
  <c r="BX58" i="2"/>
  <c r="BY58" i="2"/>
  <c r="BZ58" i="2"/>
  <c r="CA58" i="2"/>
  <c r="CB58" i="2"/>
  <c r="CC58" i="2"/>
  <c r="CD58" i="2"/>
  <c r="CE58" i="2"/>
  <c r="CF58" i="2"/>
  <c r="CG58" i="2"/>
  <c r="CI58" i="2"/>
  <c r="CJ58" i="2"/>
  <c r="CK58" i="2"/>
  <c r="CL58" i="2"/>
  <c r="CM58" i="2"/>
  <c r="CN58" i="2" s="1"/>
  <c r="CO58" i="2"/>
  <c r="CP58" i="2"/>
  <c r="CQ58" i="2"/>
  <c r="CR58" i="2" s="1"/>
  <c r="CS58" i="2"/>
  <c r="CT58" i="2"/>
  <c r="CU58" i="2" s="1"/>
  <c r="CV58" i="2"/>
  <c r="CW58" i="2" s="1"/>
  <c r="CY58" i="2"/>
  <c r="CZ58" i="2"/>
  <c r="DA58" i="2"/>
  <c r="DB58" i="2"/>
  <c r="DC58" i="2"/>
  <c r="DD58" i="2" s="1"/>
  <c r="DE58" i="2"/>
  <c r="DF58" i="2"/>
  <c r="DG58" i="2"/>
  <c r="DH58" i="2" s="1"/>
  <c r="DI58" i="2"/>
  <c r="DJ58" i="2"/>
  <c r="DK58" i="2" s="1"/>
  <c r="DL58" i="2"/>
  <c r="DM58" i="2"/>
  <c r="DN58" i="2"/>
  <c r="A59" i="2"/>
  <c r="B59" i="2"/>
  <c r="C59" i="2"/>
  <c r="D59" i="2"/>
  <c r="E59" i="2"/>
  <c r="F59" i="2"/>
  <c r="G59" i="2"/>
  <c r="H59" i="2"/>
  <c r="I59" i="2"/>
  <c r="J59" i="2"/>
  <c r="L59" i="2"/>
  <c r="DL59" i="2" s="1"/>
  <c r="M59" i="2"/>
  <c r="N59" i="2" s="1"/>
  <c r="O59" i="2"/>
  <c r="P59" i="2"/>
  <c r="Q59" i="2"/>
  <c r="R59" i="2" s="1"/>
  <c r="S59" i="2"/>
  <c r="T59" i="2"/>
  <c r="V59" i="2"/>
  <c r="X59" i="2"/>
  <c r="Z59" i="2" s="1"/>
  <c r="AA59" i="2"/>
  <c r="AB59" i="2"/>
  <c r="AC59" i="2"/>
  <c r="AD59" i="2"/>
  <c r="AE59" i="2"/>
  <c r="AF59" i="2"/>
  <c r="AG59" i="2"/>
  <c r="AH59" i="2" s="1"/>
  <c r="AI59" i="2"/>
  <c r="CH59" i="2" s="1"/>
  <c r="AJ59" i="2"/>
  <c r="AN59" i="2"/>
  <c r="AV59" i="2" s="1"/>
  <c r="AO59" i="2"/>
  <c r="AQ59" i="2"/>
  <c r="AR59" i="2"/>
  <c r="CX59" i="2" s="1"/>
  <c r="AS59" i="2"/>
  <c r="AT59" i="2"/>
  <c r="AU59" i="2"/>
  <c r="AW59" i="2"/>
  <c r="AX59" i="2"/>
  <c r="AY59" i="2"/>
  <c r="AZ59" i="2"/>
  <c r="BD59" i="2"/>
  <c r="BF59" i="2"/>
  <c r="BG59" i="2"/>
  <c r="BH59" i="2"/>
  <c r="BI59" i="2"/>
  <c r="BJ59" i="2"/>
  <c r="BK59" i="2"/>
  <c r="BM59" i="2"/>
  <c r="BN59" i="2"/>
  <c r="BP59" i="2"/>
  <c r="BQ59" i="2"/>
  <c r="BT59" i="2"/>
  <c r="BU59" i="2"/>
  <c r="BX59" i="2"/>
  <c r="BY59" i="2" s="1"/>
  <c r="BZ59" i="2"/>
  <c r="CB59" i="2"/>
  <c r="CE59" i="2"/>
  <c r="CF59" i="2"/>
  <c r="CG59" i="2"/>
  <c r="CI59" i="2"/>
  <c r="CJ59" i="2"/>
  <c r="CK59" i="2"/>
  <c r="CM59" i="2"/>
  <c r="CN59" i="2"/>
  <c r="CO59" i="2"/>
  <c r="CP59" i="2" s="1"/>
  <c r="CQ59" i="2"/>
  <c r="DA59" i="2"/>
  <c r="DC59" i="2"/>
  <c r="DE59" i="2"/>
  <c r="DF59" i="2" s="1"/>
  <c r="DG59" i="2"/>
  <c r="DI59" i="2"/>
  <c r="DJ59" i="2"/>
  <c r="DM59" i="2"/>
  <c r="DN59" i="2"/>
  <c r="A60" i="2"/>
  <c r="B60" i="2"/>
  <c r="C60" i="2"/>
  <c r="D60" i="2"/>
  <c r="E60" i="2"/>
  <c r="F60" i="2"/>
  <c r="G60" i="2"/>
  <c r="H60" i="2"/>
  <c r="I60" i="2"/>
  <c r="J60" i="2"/>
  <c r="L60" i="2"/>
  <c r="CL60" i="2" s="1"/>
  <c r="M60" i="2"/>
  <c r="N60" i="2"/>
  <c r="O60" i="2"/>
  <c r="P60" i="2"/>
  <c r="Q60" i="2"/>
  <c r="R60" i="2"/>
  <c r="S60" i="2"/>
  <c r="T60" i="2" s="1"/>
  <c r="U60" i="2"/>
  <c r="V60" i="2"/>
  <c r="W60" i="2"/>
  <c r="X60" i="2"/>
  <c r="Z60" i="2" s="1"/>
  <c r="Y60" i="2"/>
  <c r="AA60" i="2"/>
  <c r="AB60" i="2"/>
  <c r="AC60" i="2"/>
  <c r="AD60" i="2"/>
  <c r="AE60" i="2"/>
  <c r="AF60" i="2"/>
  <c r="AG60" i="2"/>
  <c r="AH60" i="2"/>
  <c r="AI60" i="2"/>
  <c r="AJ60" i="2"/>
  <c r="AK60" i="2"/>
  <c r="AL60" i="2"/>
  <c r="AM60" i="2"/>
  <c r="AN60" i="2"/>
  <c r="AO60" i="2" s="1"/>
  <c r="AQ60" i="2"/>
  <c r="AR60" i="2" s="1"/>
  <c r="CX60" i="2" s="1"/>
  <c r="AU60" i="2"/>
  <c r="AW60" i="2"/>
  <c r="AX60" i="2"/>
  <c r="AY60" i="2"/>
  <c r="AZ60" i="2"/>
  <c r="BA60" i="2"/>
  <c r="BB60" i="2"/>
  <c r="BC60" i="2"/>
  <c r="BD60" i="2"/>
  <c r="BH60" i="2" s="1"/>
  <c r="BE60" i="2"/>
  <c r="BF60" i="2"/>
  <c r="BG60" i="2"/>
  <c r="BI60" i="2"/>
  <c r="BJ60" i="2"/>
  <c r="BK60" i="2"/>
  <c r="BL60" i="2" s="1"/>
  <c r="BM60" i="2"/>
  <c r="BN60" i="2"/>
  <c r="BO60" i="2"/>
  <c r="BP60" i="2"/>
  <c r="BQ60" i="2"/>
  <c r="BR60" i="2"/>
  <c r="BS60" i="2"/>
  <c r="BT60" i="2"/>
  <c r="BU60" i="2"/>
  <c r="BX60" i="2"/>
  <c r="CF60" i="2" s="1"/>
  <c r="BY60" i="2"/>
  <c r="BZ60" i="2"/>
  <c r="CA60" i="2" s="1"/>
  <c r="CB60" i="2"/>
  <c r="CC60" i="2"/>
  <c r="CD60" i="2"/>
  <c r="CE60" i="2"/>
  <c r="CG60" i="2"/>
  <c r="CH60" i="2"/>
  <c r="CI60" i="2"/>
  <c r="CJ60" i="2"/>
  <c r="CK60" i="2"/>
  <c r="CM60" i="2"/>
  <c r="CN60" i="2" s="1"/>
  <c r="CO60" i="2"/>
  <c r="CP60" i="2"/>
  <c r="CQ60" i="2"/>
  <c r="CT60" i="2"/>
  <c r="CU60" i="2"/>
  <c r="CY60" i="2"/>
  <c r="CZ60" i="2"/>
  <c r="DA60" i="2"/>
  <c r="DB60" i="2" s="1"/>
  <c r="DC60" i="2"/>
  <c r="DD60" i="2" s="1"/>
  <c r="DE60" i="2"/>
  <c r="DF60" i="2"/>
  <c r="DG60" i="2"/>
  <c r="DH60" i="2" s="1"/>
  <c r="DI60" i="2"/>
  <c r="DJ60" i="2"/>
  <c r="DK60" i="2"/>
  <c r="DM60" i="2"/>
  <c r="DL60" i="2" s="1"/>
  <c r="DN60" i="2"/>
  <c r="A61" i="2"/>
  <c r="B61" i="2"/>
  <c r="C61" i="2"/>
  <c r="D61" i="2"/>
  <c r="E61" i="2"/>
  <c r="F61" i="2"/>
  <c r="G61" i="2"/>
  <c r="H61" i="2"/>
  <c r="I61" i="2"/>
  <c r="J61" i="2"/>
  <c r="L61" i="2"/>
  <c r="BA61" i="2" s="1"/>
  <c r="M61" i="2"/>
  <c r="N61" i="2" s="1"/>
  <c r="O61" i="2"/>
  <c r="P61" i="2"/>
  <c r="Q61" i="2"/>
  <c r="AL61" i="2" s="1"/>
  <c r="R61" i="2"/>
  <c r="S61" i="2"/>
  <c r="V61" i="2"/>
  <c r="W61" i="2"/>
  <c r="X61" i="2"/>
  <c r="Z61" i="2" s="1"/>
  <c r="AA61" i="2"/>
  <c r="AB61" i="2"/>
  <c r="AC61" i="2"/>
  <c r="AD61" i="2"/>
  <c r="AE61" i="2"/>
  <c r="AF61" i="2"/>
  <c r="AH61" i="2" s="1"/>
  <c r="AG61" i="2"/>
  <c r="AI61" i="2"/>
  <c r="CH61" i="2" s="1"/>
  <c r="AJ61" i="2"/>
  <c r="AN61" i="2"/>
  <c r="AO61" i="2"/>
  <c r="AQ61" i="2"/>
  <c r="CV61" i="2" s="1"/>
  <c r="CW61" i="2" s="1"/>
  <c r="AR61" i="2"/>
  <c r="AU61" i="2"/>
  <c r="AW61" i="2"/>
  <c r="AX61" i="2"/>
  <c r="AY61" i="2"/>
  <c r="AZ61" i="2"/>
  <c r="BD61" i="2"/>
  <c r="BH61" i="2" s="1"/>
  <c r="BE61" i="2"/>
  <c r="BF61" i="2"/>
  <c r="BI61" i="2"/>
  <c r="BJ61" i="2" s="1"/>
  <c r="BK61" i="2"/>
  <c r="BL61" i="2"/>
  <c r="BM61" i="2"/>
  <c r="BN61" i="2"/>
  <c r="BP61" i="2"/>
  <c r="BQ61" i="2"/>
  <c r="BS61" i="2"/>
  <c r="BT61" i="2"/>
  <c r="BU61" i="2"/>
  <c r="BX61" i="2"/>
  <c r="CF61" i="2" s="1"/>
  <c r="BY61" i="2"/>
  <c r="BZ61" i="2"/>
  <c r="CA61" i="2"/>
  <c r="CB61" i="2"/>
  <c r="CC61" i="2" s="1"/>
  <c r="CD61" i="2"/>
  <c r="CE61" i="2"/>
  <c r="CG61" i="2"/>
  <c r="CI61" i="2"/>
  <c r="CJ61" i="2"/>
  <c r="CK61" i="2"/>
  <c r="CM61" i="2"/>
  <c r="CN61" i="2"/>
  <c r="CO61" i="2"/>
  <c r="CP61" i="2" s="1"/>
  <c r="CQ61" i="2"/>
  <c r="CS61" i="2" s="1"/>
  <c r="CR61" i="2"/>
  <c r="CT61" i="2"/>
  <c r="CU61" i="2"/>
  <c r="CY61" i="2"/>
  <c r="CZ61" i="2"/>
  <c r="DA61" i="2"/>
  <c r="DB61" i="2" s="1"/>
  <c r="DC61" i="2"/>
  <c r="DD61" i="2"/>
  <c r="DE61" i="2"/>
  <c r="DF61" i="2" s="1"/>
  <c r="DG61" i="2"/>
  <c r="DH61" i="2" s="1"/>
  <c r="DI61" i="2"/>
  <c r="DJ61" i="2"/>
  <c r="DK61" i="2"/>
  <c r="DM61" i="2"/>
  <c r="DL61" i="2" s="1"/>
  <c r="DN61" i="2"/>
  <c r="A62" i="2"/>
  <c r="B62" i="2"/>
  <c r="C62" i="2"/>
  <c r="D62" i="2"/>
  <c r="E62" i="2"/>
  <c r="F62" i="2"/>
  <c r="G62" i="2"/>
  <c r="H62" i="2"/>
  <c r="I62" i="2"/>
  <c r="J62" i="2"/>
  <c r="L62" i="2"/>
  <c r="M62" i="2"/>
  <c r="N62" i="2" s="1"/>
  <c r="O62" i="2"/>
  <c r="P62" i="2"/>
  <c r="Q62" i="2"/>
  <c r="AL62" i="2" s="1"/>
  <c r="R62" i="2"/>
  <c r="S62" i="2"/>
  <c r="V62" i="2"/>
  <c r="X62" i="2"/>
  <c r="Y62" i="2"/>
  <c r="Z62" i="2"/>
  <c r="AA62" i="2"/>
  <c r="AB62" i="2"/>
  <c r="AC62" i="2"/>
  <c r="AD62" i="2"/>
  <c r="AE62" i="2"/>
  <c r="AF62" i="2"/>
  <c r="AG62" i="2"/>
  <c r="AH62" i="2"/>
  <c r="AI62" i="2"/>
  <c r="CH62" i="2" s="1"/>
  <c r="AJ62" i="2"/>
  <c r="AN62" i="2"/>
  <c r="AO62" i="2"/>
  <c r="AP62" i="2"/>
  <c r="AQ62" i="2"/>
  <c r="AR62" i="2" s="1"/>
  <c r="CX62" i="2" s="1"/>
  <c r="AS62" i="2"/>
  <c r="AT62" i="2" s="1"/>
  <c r="AV62" i="2"/>
  <c r="AW62" i="2"/>
  <c r="AX62" i="2"/>
  <c r="AY62" i="2" s="1"/>
  <c r="AZ62" i="2"/>
  <c r="BD62" i="2"/>
  <c r="BE62" i="2"/>
  <c r="BF62" i="2"/>
  <c r="BG62" i="2"/>
  <c r="BH62" i="2"/>
  <c r="BI62" i="2"/>
  <c r="BJ62" i="2" s="1"/>
  <c r="BK62" i="2"/>
  <c r="BL62" i="2" s="1"/>
  <c r="BM62" i="2"/>
  <c r="BN62" i="2"/>
  <c r="BO62" i="2" s="1"/>
  <c r="BP62" i="2"/>
  <c r="BQ62" i="2"/>
  <c r="BS62" i="2"/>
  <c r="BT62" i="2"/>
  <c r="BU62" i="2"/>
  <c r="BV62" i="2"/>
  <c r="BW62" i="2"/>
  <c r="BX62" i="2"/>
  <c r="CF62" i="2" s="1"/>
  <c r="BY62" i="2"/>
  <c r="BZ62" i="2"/>
  <c r="CB62" i="2"/>
  <c r="CD62" i="2"/>
  <c r="CE62" i="2"/>
  <c r="CG62" i="2"/>
  <c r="CI62" i="2"/>
  <c r="CJ62" i="2"/>
  <c r="CK62" i="2"/>
  <c r="CL62" i="2"/>
  <c r="CM62" i="2"/>
  <c r="CN62" i="2"/>
  <c r="CO62" i="2"/>
  <c r="CP62" i="2" s="1"/>
  <c r="CQ62" i="2"/>
  <c r="CY62" i="2"/>
  <c r="DA62" i="2"/>
  <c r="DB62" i="2"/>
  <c r="DC62" i="2"/>
  <c r="DD62" i="2" s="1"/>
  <c r="DE62" i="2"/>
  <c r="DF62" i="2" s="1"/>
  <c r="DG62" i="2"/>
  <c r="DH62" i="2" s="1"/>
  <c r="DI62" i="2"/>
  <c r="DJ62" i="2"/>
  <c r="DK62" i="2"/>
  <c r="DM62" i="2"/>
  <c r="DL62" i="2" s="1"/>
  <c r="DN62" i="2"/>
  <c r="A63" i="2"/>
  <c r="B63" i="2"/>
  <c r="C63" i="2"/>
  <c r="D63" i="2"/>
  <c r="E63" i="2"/>
  <c r="F63" i="2"/>
  <c r="G63" i="2"/>
  <c r="H63" i="2"/>
  <c r="I63" i="2"/>
  <c r="J63" i="2"/>
  <c r="L63" i="2"/>
  <c r="M63" i="2"/>
  <c r="N63" i="2" s="1"/>
  <c r="O63" i="2"/>
  <c r="P63" i="2"/>
  <c r="Q63" i="2"/>
  <c r="S63" i="2"/>
  <c r="V63" i="2"/>
  <c r="Z63" i="2" s="1"/>
  <c r="X63" i="2"/>
  <c r="AA63" i="2"/>
  <c r="AB63" i="2"/>
  <c r="AC63" i="2"/>
  <c r="AD63" i="2"/>
  <c r="AE63" i="2"/>
  <c r="AF63" i="2"/>
  <c r="AG63" i="2"/>
  <c r="AI63" i="2"/>
  <c r="CH63" i="2" s="1"/>
  <c r="AJ63" i="2"/>
  <c r="AK63" i="2"/>
  <c r="AN63" i="2"/>
  <c r="AO63" i="2"/>
  <c r="AQ63" i="2"/>
  <c r="CT63" i="2" s="1"/>
  <c r="AS63" i="2"/>
  <c r="AT63" i="2" s="1"/>
  <c r="AV63" i="2"/>
  <c r="AW63" i="2"/>
  <c r="AY63" i="2" s="1"/>
  <c r="AX63" i="2"/>
  <c r="AZ63" i="2"/>
  <c r="BA63" i="2"/>
  <c r="BB63" i="2"/>
  <c r="BD63" i="2"/>
  <c r="BF63" i="2"/>
  <c r="BH63" i="2"/>
  <c r="BI63" i="2"/>
  <c r="BK63" i="2"/>
  <c r="BL63" i="2" s="1"/>
  <c r="BM63" i="2"/>
  <c r="BN63" i="2"/>
  <c r="BO63" i="2"/>
  <c r="BP63" i="2"/>
  <c r="BQ63" i="2"/>
  <c r="BR63" i="2"/>
  <c r="BS63" i="2"/>
  <c r="BT63" i="2"/>
  <c r="BU63" i="2"/>
  <c r="BV63" i="2"/>
  <c r="BW63" i="2"/>
  <c r="BX63" i="2"/>
  <c r="BZ63" i="2"/>
  <c r="CB63" i="2"/>
  <c r="CE63" i="2"/>
  <c r="CF63" i="2"/>
  <c r="CG63" i="2"/>
  <c r="CI63" i="2"/>
  <c r="CJ63" i="2"/>
  <c r="CK63" i="2"/>
  <c r="CM63" i="2"/>
  <c r="CN63" i="2" s="1"/>
  <c r="CO63" i="2"/>
  <c r="CQ63" i="2"/>
  <c r="CS63" i="2"/>
  <c r="CV63" i="2"/>
  <c r="CW63" i="2"/>
  <c r="DA63" i="2"/>
  <c r="DB63" i="2" s="1"/>
  <c r="DC63" i="2"/>
  <c r="DD63" i="2"/>
  <c r="DE63" i="2"/>
  <c r="DF63" i="2" s="1"/>
  <c r="DG63" i="2"/>
  <c r="DH63" i="2" s="1"/>
  <c r="DI63" i="2"/>
  <c r="DJ63" i="2"/>
  <c r="DK63" i="2"/>
  <c r="DM63" i="2"/>
  <c r="DL63" i="2" s="1"/>
  <c r="DN63" i="2"/>
  <c r="A64" i="2"/>
  <c r="B64" i="2"/>
  <c r="C64" i="2"/>
  <c r="D64" i="2"/>
  <c r="E64" i="2"/>
  <c r="F64" i="2"/>
  <c r="G64" i="2"/>
  <c r="H64" i="2"/>
  <c r="I64" i="2"/>
  <c r="J64" i="2"/>
  <c r="L64" i="2"/>
  <c r="M64" i="2"/>
  <c r="N64" i="2" s="1"/>
  <c r="O64" i="2"/>
  <c r="P64" i="2"/>
  <c r="AM64" i="2" s="1"/>
  <c r="Q64" i="2"/>
  <c r="S64" i="2"/>
  <c r="T64" i="2" s="1"/>
  <c r="U64" i="2"/>
  <c r="V64" i="2"/>
  <c r="W64" i="2"/>
  <c r="X64" i="2"/>
  <c r="Y64" i="2"/>
  <c r="Z64" i="2"/>
  <c r="AA64" i="2"/>
  <c r="AB64" i="2"/>
  <c r="AC64" i="2"/>
  <c r="AD64" i="2"/>
  <c r="AE64" i="2"/>
  <c r="AF64" i="2"/>
  <c r="AG64" i="2"/>
  <c r="AI64" i="2"/>
  <c r="AJ64" i="2"/>
  <c r="AK64" i="2"/>
  <c r="AL64" i="2"/>
  <c r="AN64" i="2"/>
  <c r="AO64" i="2"/>
  <c r="AP64" i="2" s="1"/>
  <c r="AQ64" i="2"/>
  <c r="AU64" i="2"/>
  <c r="AV64" i="2"/>
  <c r="AW64" i="2"/>
  <c r="AY64" i="2" s="1"/>
  <c r="AX64" i="2"/>
  <c r="AZ64" i="2"/>
  <c r="BA64" i="2"/>
  <c r="BD64" i="2"/>
  <c r="BE64" i="2"/>
  <c r="BF64" i="2"/>
  <c r="BH64" i="2" s="1"/>
  <c r="BI64" i="2"/>
  <c r="BJ64" i="2"/>
  <c r="BK64" i="2"/>
  <c r="BB64" i="2" s="1"/>
  <c r="BL64" i="2"/>
  <c r="BM64" i="2"/>
  <c r="BN64" i="2"/>
  <c r="BO64" i="2"/>
  <c r="BP64" i="2"/>
  <c r="BQ64" i="2"/>
  <c r="BT64" i="2"/>
  <c r="BU64" i="2"/>
  <c r="BV64" i="2"/>
  <c r="BW64" i="2"/>
  <c r="BX64" i="2"/>
  <c r="BY64" i="2"/>
  <c r="BZ64" i="2"/>
  <c r="CA64" i="2"/>
  <c r="CB64" i="2"/>
  <c r="CC64" i="2"/>
  <c r="CD64" i="2"/>
  <c r="CE64" i="2"/>
  <c r="CF64" i="2"/>
  <c r="CG64" i="2"/>
  <c r="CH64" i="2"/>
  <c r="CI64" i="2"/>
  <c r="CJ64" i="2"/>
  <c r="CK64" i="2"/>
  <c r="CL64" i="2"/>
  <c r="CM64" i="2"/>
  <c r="CN64" i="2" s="1"/>
  <c r="CO64" i="2"/>
  <c r="CP64" i="2"/>
  <c r="CQ64" i="2"/>
  <c r="CR64" i="2"/>
  <c r="CS64" i="2"/>
  <c r="CY64" i="2"/>
  <c r="CZ64" i="2"/>
  <c r="DA64" i="2"/>
  <c r="DB64" i="2"/>
  <c r="DC64" i="2"/>
  <c r="DD64" i="2" s="1"/>
  <c r="DE64" i="2"/>
  <c r="DF64" i="2"/>
  <c r="DG64" i="2"/>
  <c r="DH64" i="2" s="1"/>
  <c r="DI64" i="2"/>
  <c r="DJ64" i="2"/>
  <c r="DK64" i="2"/>
  <c r="DM64" i="2"/>
  <c r="DL64" i="2" s="1"/>
  <c r="DN64" i="2"/>
  <c r="A65" i="2"/>
  <c r="B65" i="2"/>
  <c r="C65" i="2"/>
  <c r="D65" i="2"/>
  <c r="E65" i="2"/>
  <c r="F65" i="2"/>
  <c r="G65" i="2"/>
  <c r="H65" i="2"/>
  <c r="I65" i="2"/>
  <c r="J65" i="2"/>
  <c r="L65" i="2"/>
  <c r="M65" i="2"/>
  <c r="N65" i="2" s="1"/>
  <c r="O65" i="2"/>
  <c r="P65" i="2"/>
  <c r="Q65" i="2"/>
  <c r="AL65" i="2" s="1"/>
  <c r="S65" i="2"/>
  <c r="T65" i="2" s="1"/>
  <c r="V65" i="2"/>
  <c r="W65" i="2"/>
  <c r="X65" i="2"/>
  <c r="Z65" i="2" s="1"/>
  <c r="Y65" i="2"/>
  <c r="AA65" i="2"/>
  <c r="AB65" i="2"/>
  <c r="AC65" i="2"/>
  <c r="AD65" i="2"/>
  <c r="AE65" i="2"/>
  <c r="AF65" i="2"/>
  <c r="AG65" i="2"/>
  <c r="AI65" i="2"/>
  <c r="CH65" i="2" s="1"/>
  <c r="AJ65" i="2"/>
  <c r="AN65" i="2"/>
  <c r="AO65" i="2"/>
  <c r="AP65" i="2" s="1"/>
  <c r="AQ65" i="2"/>
  <c r="AU65" i="2" s="1"/>
  <c r="AV65" i="2"/>
  <c r="AW65" i="2"/>
  <c r="AX65" i="2"/>
  <c r="AY65" i="2"/>
  <c r="AZ65" i="2"/>
  <c r="BA65" i="2"/>
  <c r="BD65" i="2"/>
  <c r="BE65" i="2" s="1"/>
  <c r="BF65" i="2"/>
  <c r="BG65" i="2"/>
  <c r="BI65" i="2"/>
  <c r="BJ65" i="2" s="1"/>
  <c r="BK65" i="2"/>
  <c r="BL65" i="2"/>
  <c r="BM65" i="2"/>
  <c r="BN65" i="2"/>
  <c r="BO65" i="2"/>
  <c r="BP65" i="2"/>
  <c r="BQ65" i="2"/>
  <c r="BS65" i="2"/>
  <c r="BT65" i="2"/>
  <c r="BU65" i="2"/>
  <c r="BV65" i="2"/>
  <c r="BW65" i="2" s="1"/>
  <c r="BX65" i="2"/>
  <c r="BY65" i="2"/>
  <c r="BZ65" i="2"/>
  <c r="CA65" i="2"/>
  <c r="CB65" i="2"/>
  <c r="CC65" i="2"/>
  <c r="CD65" i="2"/>
  <c r="CE65" i="2"/>
  <c r="CF65" i="2"/>
  <c r="CG65" i="2"/>
  <c r="CI65" i="2"/>
  <c r="CJ65" i="2"/>
  <c r="CK65" i="2"/>
  <c r="CL65" i="2"/>
  <c r="CM65" i="2"/>
  <c r="CN65" i="2" s="1"/>
  <c r="CO65" i="2"/>
  <c r="CP65" i="2" s="1"/>
  <c r="CQ65" i="2"/>
  <c r="CR65" i="2"/>
  <c r="CY65" i="2"/>
  <c r="CZ65" i="2"/>
  <c r="DA65" i="2"/>
  <c r="DB65" i="2" s="1"/>
  <c r="DC65" i="2"/>
  <c r="DD65" i="2" s="1"/>
  <c r="DE65" i="2"/>
  <c r="DF65" i="2" s="1"/>
  <c r="DG65" i="2"/>
  <c r="DH65" i="2"/>
  <c r="DI65" i="2"/>
  <c r="DJ65" i="2"/>
  <c r="DK65" i="2"/>
  <c r="DM65" i="2"/>
  <c r="DL65" i="2" s="1"/>
  <c r="DN65" i="2"/>
  <c r="A66" i="2"/>
  <c r="B66" i="2"/>
  <c r="C66" i="2"/>
  <c r="D66" i="2"/>
  <c r="E66" i="2"/>
  <c r="F66" i="2"/>
  <c r="G66" i="2"/>
  <c r="H66" i="2"/>
  <c r="I66" i="2"/>
  <c r="J66" i="2"/>
  <c r="L66" i="2"/>
  <c r="M66" i="2"/>
  <c r="N66" i="2"/>
  <c r="O66" i="2"/>
  <c r="P66" i="2"/>
  <c r="Q66" i="2"/>
  <c r="AL66" i="2" s="1"/>
  <c r="R66" i="2"/>
  <c r="S66" i="2"/>
  <c r="T66" i="2"/>
  <c r="U66" i="2"/>
  <c r="V66" i="2"/>
  <c r="W66" i="2"/>
  <c r="X66" i="2"/>
  <c r="Y66" i="2"/>
  <c r="Z66" i="2"/>
  <c r="AA66" i="2"/>
  <c r="AB66" i="2"/>
  <c r="AC66" i="2"/>
  <c r="AD66" i="2"/>
  <c r="AE66" i="2"/>
  <c r="AF66" i="2"/>
  <c r="AG66" i="2"/>
  <c r="AH66" i="2"/>
  <c r="AI66" i="2"/>
  <c r="AJ66" i="2"/>
  <c r="AK66" i="2"/>
  <c r="AM66" i="2"/>
  <c r="AN66" i="2"/>
  <c r="AV66" i="2" s="1"/>
  <c r="AO66" i="2"/>
  <c r="AP66" i="2"/>
  <c r="AQ66" i="2"/>
  <c r="AS66" i="2" s="1"/>
  <c r="AT66" i="2" s="1"/>
  <c r="AW66" i="2"/>
  <c r="AX66" i="2"/>
  <c r="AY66" i="2" s="1"/>
  <c r="AZ66" i="2"/>
  <c r="BA66" i="2"/>
  <c r="BD66" i="2"/>
  <c r="BE66" i="2"/>
  <c r="BF66" i="2"/>
  <c r="BH66" i="2" s="1"/>
  <c r="BG66" i="2"/>
  <c r="BI66" i="2"/>
  <c r="BJ66" i="2"/>
  <c r="BK66" i="2"/>
  <c r="BL66" i="2" s="1"/>
  <c r="BM66" i="2"/>
  <c r="BN66" i="2"/>
  <c r="BP66" i="2"/>
  <c r="BQ66" i="2"/>
  <c r="BT66" i="2"/>
  <c r="BU66" i="2"/>
  <c r="BV66" i="2"/>
  <c r="BW66" i="2"/>
  <c r="BX66" i="2"/>
  <c r="BY66" i="2"/>
  <c r="BZ66" i="2"/>
  <c r="CA66" i="2"/>
  <c r="CB66" i="2"/>
  <c r="CC66" i="2"/>
  <c r="CD66" i="2"/>
  <c r="CE66" i="2"/>
  <c r="CF66" i="2"/>
  <c r="CG66" i="2"/>
  <c r="CH66" i="2"/>
  <c r="CI66" i="2"/>
  <c r="CJ66" i="2"/>
  <c r="CK66" i="2"/>
  <c r="CL66" i="2"/>
  <c r="CM66" i="2"/>
  <c r="CN66" i="2" s="1"/>
  <c r="CO66" i="2"/>
  <c r="CP66" i="2" s="1"/>
  <c r="CQ66" i="2"/>
  <c r="CR66" i="2" s="1"/>
  <c r="CS66" i="2"/>
  <c r="CY66" i="2"/>
  <c r="CZ66" i="2"/>
  <c r="DA66" i="2"/>
  <c r="DB66" i="2"/>
  <c r="DC66" i="2"/>
  <c r="DD66" i="2" s="1"/>
  <c r="DE66" i="2"/>
  <c r="DF66" i="2"/>
  <c r="DG66" i="2"/>
  <c r="DH66" i="2" s="1"/>
  <c r="DI66" i="2"/>
  <c r="DJ66" i="2"/>
  <c r="DK66" i="2"/>
  <c r="DM66" i="2"/>
  <c r="DL66" i="2" s="1"/>
  <c r="DN66" i="2"/>
  <c r="A67" i="2"/>
  <c r="B67" i="2"/>
  <c r="C67" i="2"/>
  <c r="D67" i="2"/>
  <c r="E67" i="2"/>
  <c r="F67" i="2"/>
  <c r="G67" i="2"/>
  <c r="H67" i="2"/>
  <c r="I67" i="2"/>
  <c r="J67" i="2"/>
  <c r="L67" i="2"/>
  <c r="CD67" i="2" s="1"/>
  <c r="M67" i="2"/>
  <c r="N67" i="2"/>
  <c r="O67" i="2"/>
  <c r="P67" i="2"/>
  <c r="Q67" i="2"/>
  <c r="AL67" i="2" s="1"/>
  <c r="S67" i="2"/>
  <c r="T67" i="2"/>
  <c r="V67" i="2"/>
  <c r="W67" i="2"/>
  <c r="X67" i="2"/>
  <c r="Z67" i="2"/>
  <c r="AA67" i="2"/>
  <c r="AB67" i="2"/>
  <c r="AC67" i="2"/>
  <c r="AD67" i="2"/>
  <c r="AE67" i="2"/>
  <c r="AF67" i="2"/>
  <c r="AG67" i="2"/>
  <c r="AJ67" i="2"/>
  <c r="AN67" i="2"/>
  <c r="AO67" i="2"/>
  <c r="AP67" i="2"/>
  <c r="AQ67" i="2"/>
  <c r="CT67" i="2" s="1"/>
  <c r="CU67" i="2" s="1"/>
  <c r="AR67" i="2"/>
  <c r="CX67" i="2" s="1"/>
  <c r="AS67" i="2"/>
  <c r="AT67" i="2"/>
  <c r="AU67" i="2"/>
  <c r="AV67" i="2"/>
  <c r="AW67" i="2"/>
  <c r="AY67" i="2" s="1"/>
  <c r="AX67" i="2"/>
  <c r="AZ67" i="2"/>
  <c r="BA67" i="2" s="1"/>
  <c r="BD67" i="2"/>
  <c r="BF67" i="2"/>
  <c r="BG67" i="2" s="1"/>
  <c r="BI67" i="2"/>
  <c r="BJ67" i="2"/>
  <c r="BK67" i="2"/>
  <c r="BB67" i="2" s="1"/>
  <c r="BM67" i="2"/>
  <c r="BN67" i="2"/>
  <c r="BP67" i="2"/>
  <c r="BQ67" i="2"/>
  <c r="BS67" i="2"/>
  <c r="BT67" i="2"/>
  <c r="BU67" i="2"/>
  <c r="BV67" i="2"/>
  <c r="BW67" i="2" s="1"/>
  <c r="BX67" i="2"/>
  <c r="CF67" i="2" s="1"/>
  <c r="BY67" i="2"/>
  <c r="BZ67" i="2"/>
  <c r="CA67" i="2"/>
  <c r="CB67" i="2"/>
  <c r="CC67" i="2" s="1"/>
  <c r="CE67" i="2"/>
  <c r="CG67" i="2"/>
  <c r="CI67" i="2"/>
  <c r="CJ67" i="2"/>
  <c r="CK67" i="2"/>
  <c r="CL67" i="2"/>
  <c r="CM67" i="2"/>
  <c r="CN67" i="2"/>
  <c r="CO67" i="2"/>
  <c r="CP67" i="2"/>
  <c r="CQ67" i="2"/>
  <c r="CS67" i="2" s="1"/>
  <c r="CY67" i="2"/>
  <c r="DA67" i="2"/>
  <c r="DB67" i="2"/>
  <c r="DC67" i="2"/>
  <c r="DD67" i="2"/>
  <c r="DE67" i="2"/>
  <c r="DF67" i="2"/>
  <c r="DG67" i="2"/>
  <c r="DH67" i="2" s="1"/>
  <c r="DI67" i="2"/>
  <c r="DJ67" i="2"/>
  <c r="DM67" i="2"/>
  <c r="DN67" i="2"/>
  <c r="A68" i="2"/>
  <c r="B68" i="2"/>
  <c r="C68" i="2"/>
  <c r="D68" i="2"/>
  <c r="E68" i="2"/>
  <c r="F68" i="2"/>
  <c r="G68" i="2"/>
  <c r="H68" i="2"/>
  <c r="I68" i="2"/>
  <c r="J68" i="2"/>
  <c r="L68" i="2"/>
  <c r="M68" i="2"/>
  <c r="N68" i="2"/>
  <c r="O68" i="2"/>
  <c r="P68" i="2"/>
  <c r="R68" i="2" s="1"/>
  <c r="Q68" i="2"/>
  <c r="AL68" i="2" s="1"/>
  <c r="S68" i="2"/>
  <c r="T68" i="2"/>
  <c r="U68" i="2"/>
  <c r="V68" i="2"/>
  <c r="W68" i="2"/>
  <c r="X68" i="2"/>
  <c r="Y68" i="2"/>
  <c r="Z68" i="2"/>
  <c r="AA68" i="2"/>
  <c r="AB68" i="2"/>
  <c r="AC68" i="2"/>
  <c r="AD68" i="2"/>
  <c r="AE68" i="2"/>
  <c r="AF68" i="2"/>
  <c r="AH68" i="2" s="1"/>
  <c r="AG68" i="2"/>
  <c r="AJ68" i="2"/>
  <c r="AK68" i="2"/>
  <c r="AM68" i="2"/>
  <c r="AN68" i="2"/>
  <c r="AV68" i="2" s="1"/>
  <c r="AO68" i="2"/>
  <c r="AS68" i="2" s="1"/>
  <c r="AT68" i="2" s="1"/>
  <c r="AQ68" i="2"/>
  <c r="AR68" i="2" s="1"/>
  <c r="CX68" i="2" s="1"/>
  <c r="AW68" i="2"/>
  <c r="AY68" i="2" s="1"/>
  <c r="AX68" i="2"/>
  <c r="AZ68" i="2"/>
  <c r="BA68" i="2" s="1"/>
  <c r="BD68" i="2"/>
  <c r="BE68" i="2"/>
  <c r="BF68" i="2"/>
  <c r="BI68" i="2"/>
  <c r="BJ68" i="2"/>
  <c r="BK68" i="2"/>
  <c r="BL68" i="2" s="1"/>
  <c r="BM68" i="2"/>
  <c r="BN68" i="2"/>
  <c r="BO68" i="2"/>
  <c r="BP68" i="2"/>
  <c r="BQ68" i="2"/>
  <c r="BR68" i="2"/>
  <c r="BS68" i="2"/>
  <c r="BT68" i="2"/>
  <c r="BU68" i="2"/>
  <c r="BV68" i="2"/>
  <c r="BW68" i="2" s="1"/>
  <c r="BX68" i="2"/>
  <c r="BY68" i="2"/>
  <c r="BZ68" i="2"/>
  <c r="CA68" i="2"/>
  <c r="CB68" i="2"/>
  <c r="CC68" i="2"/>
  <c r="CD68" i="2"/>
  <c r="CE68" i="2"/>
  <c r="CF68" i="2"/>
  <c r="CG68" i="2"/>
  <c r="CI68" i="2"/>
  <c r="CJ68" i="2"/>
  <c r="CK68" i="2"/>
  <c r="CL68" i="2"/>
  <c r="CM68" i="2"/>
  <c r="CN68" i="2" s="1"/>
  <c r="CO68" i="2"/>
  <c r="CP68" i="2"/>
  <c r="CQ68" i="2"/>
  <c r="CR68" i="2" s="1"/>
  <c r="CS68" i="2"/>
  <c r="CV68" i="2"/>
  <c r="CW68" i="2" s="1"/>
  <c r="CY68" i="2"/>
  <c r="CZ68" i="2"/>
  <c r="DA68" i="2"/>
  <c r="DB68" i="2"/>
  <c r="DC68" i="2"/>
  <c r="DD68" i="2" s="1"/>
  <c r="DE68" i="2"/>
  <c r="DF68" i="2"/>
  <c r="DG68" i="2"/>
  <c r="DH68" i="2" s="1"/>
  <c r="DI68" i="2"/>
  <c r="DJ68" i="2"/>
  <c r="DK68" i="2"/>
  <c r="DL68" i="2"/>
  <c r="DM68" i="2"/>
  <c r="DN68" i="2"/>
  <c r="A69" i="2"/>
  <c r="B69" i="2"/>
  <c r="C69" i="2"/>
  <c r="D69" i="2"/>
  <c r="E69" i="2"/>
  <c r="F69" i="2"/>
  <c r="G69" i="2"/>
  <c r="H69" i="2"/>
  <c r="I69" i="2"/>
  <c r="J69" i="2"/>
  <c r="L69" i="2"/>
  <c r="M69" i="2"/>
  <c r="N69" i="2"/>
  <c r="O69" i="2"/>
  <c r="P69" i="2"/>
  <c r="AM69" i="2" s="1"/>
  <c r="Q69" i="2"/>
  <c r="AL69" i="2" s="1"/>
  <c r="R69" i="2"/>
  <c r="S69" i="2"/>
  <c r="U69" i="2" s="1"/>
  <c r="V69" i="2"/>
  <c r="W69" i="2"/>
  <c r="X69" i="2"/>
  <c r="Z69" i="2" s="1"/>
  <c r="Y69" i="2"/>
  <c r="AA69" i="2"/>
  <c r="AB69" i="2"/>
  <c r="AC69" i="2"/>
  <c r="AD69" i="2"/>
  <c r="AE69" i="2"/>
  <c r="AF69" i="2"/>
  <c r="AG69" i="2"/>
  <c r="AH69" i="2"/>
  <c r="AI69" i="2"/>
  <c r="CH69" i="2" s="1"/>
  <c r="AJ69" i="2"/>
  <c r="AN69" i="2"/>
  <c r="BV69" i="2" s="1"/>
  <c r="BW69" i="2" s="1"/>
  <c r="AO69" i="2"/>
  <c r="AP69" i="2" s="1"/>
  <c r="AQ69" i="2"/>
  <c r="BR69" i="2" s="1"/>
  <c r="AV69" i="2"/>
  <c r="AW69" i="2"/>
  <c r="AX69" i="2"/>
  <c r="AY69" i="2"/>
  <c r="AZ69" i="2"/>
  <c r="BA69" i="2" s="1"/>
  <c r="BD69" i="2"/>
  <c r="BE69" i="2"/>
  <c r="BF69" i="2"/>
  <c r="BH69" i="2" s="1"/>
  <c r="BG69" i="2"/>
  <c r="BI69" i="2"/>
  <c r="BJ69" i="2"/>
  <c r="BK69" i="2"/>
  <c r="BL69" i="2" s="1"/>
  <c r="BM69" i="2"/>
  <c r="BN69" i="2"/>
  <c r="BO69" i="2"/>
  <c r="BP69" i="2"/>
  <c r="BQ69" i="2"/>
  <c r="BT69" i="2"/>
  <c r="BU69" i="2"/>
  <c r="BX69" i="2"/>
  <c r="BY69" i="2"/>
  <c r="BZ69" i="2"/>
  <c r="CA69" i="2" s="1"/>
  <c r="CB69" i="2"/>
  <c r="CC69" i="2"/>
  <c r="CD69" i="2"/>
  <c r="CE69" i="2"/>
  <c r="CF69" i="2"/>
  <c r="CG69" i="2"/>
  <c r="CI69" i="2"/>
  <c r="CJ69" i="2"/>
  <c r="CK69" i="2"/>
  <c r="CL69" i="2"/>
  <c r="CM69" i="2"/>
  <c r="CN69" i="2" s="1"/>
  <c r="CO69" i="2"/>
  <c r="CP69" i="2"/>
  <c r="CQ69" i="2"/>
  <c r="CR69" i="2" s="1"/>
  <c r="CS69" i="2"/>
  <c r="CT69" i="2"/>
  <c r="CU69" i="2"/>
  <c r="CV69" i="2"/>
  <c r="CW69" i="2" s="1"/>
  <c r="CY69" i="2"/>
  <c r="CZ69" i="2"/>
  <c r="DA69" i="2"/>
  <c r="DB69" i="2" s="1"/>
  <c r="DC69" i="2"/>
  <c r="DD69" i="2" s="1"/>
  <c r="DE69" i="2"/>
  <c r="DF69" i="2"/>
  <c r="DG69" i="2"/>
  <c r="DH69" i="2" s="1"/>
  <c r="DI69" i="2"/>
  <c r="DJ69" i="2"/>
  <c r="DK69" i="2"/>
  <c r="DL69" i="2"/>
  <c r="DM69" i="2"/>
  <c r="DN69" i="2"/>
  <c r="A70" i="2"/>
  <c r="B70" i="2"/>
  <c r="C70" i="2"/>
  <c r="D70" i="2"/>
  <c r="E70" i="2"/>
  <c r="F70" i="2"/>
  <c r="G70" i="2"/>
  <c r="H70" i="2"/>
  <c r="I70" i="2"/>
  <c r="J70" i="2"/>
  <c r="L70" i="2"/>
  <c r="CC70" i="2" s="1"/>
  <c r="M70" i="2"/>
  <c r="N70" i="2"/>
  <c r="O70" i="2"/>
  <c r="P70" i="2"/>
  <c r="Q70" i="2"/>
  <c r="AL70" i="2" s="1"/>
  <c r="R70" i="2"/>
  <c r="S70" i="2"/>
  <c r="T70" i="2" s="1"/>
  <c r="V70" i="2"/>
  <c r="X70" i="2"/>
  <c r="Y70" i="2" s="1"/>
  <c r="AA70" i="2"/>
  <c r="AB70" i="2"/>
  <c r="AC70" i="2"/>
  <c r="AD70" i="2"/>
  <c r="AE70" i="2"/>
  <c r="AF70" i="2"/>
  <c r="AG70" i="2"/>
  <c r="AH70" i="2"/>
  <c r="AI70" i="2"/>
  <c r="CH70" i="2" s="1"/>
  <c r="AJ70" i="2"/>
  <c r="AN70" i="2"/>
  <c r="AV70" i="2" s="1"/>
  <c r="AQ70" i="2"/>
  <c r="CT70" i="2" s="1"/>
  <c r="CU70" i="2" s="1"/>
  <c r="AR70" i="2"/>
  <c r="CX70" i="2" s="1"/>
  <c r="AW70" i="2"/>
  <c r="AX70" i="2"/>
  <c r="AY70" i="2"/>
  <c r="AZ70" i="2"/>
  <c r="BD70" i="2"/>
  <c r="BE70" i="2" s="1"/>
  <c r="BF70" i="2"/>
  <c r="BH70" i="2"/>
  <c r="BI70" i="2"/>
  <c r="BJ70" i="2"/>
  <c r="BK70" i="2"/>
  <c r="BL70" i="2" s="1"/>
  <c r="BM70" i="2"/>
  <c r="BN70" i="2"/>
  <c r="BB70" i="2" s="1"/>
  <c r="BP70" i="2"/>
  <c r="BQ70" i="2"/>
  <c r="BT70" i="2"/>
  <c r="BU70" i="2"/>
  <c r="BX70" i="2"/>
  <c r="CF70" i="2" s="1"/>
  <c r="BY70" i="2"/>
  <c r="BZ70" i="2"/>
  <c r="CA70" i="2" s="1"/>
  <c r="CB70" i="2"/>
  <c r="CE70" i="2"/>
  <c r="CG70" i="2"/>
  <c r="CI70" i="2"/>
  <c r="CJ70" i="2"/>
  <c r="CK70" i="2"/>
  <c r="CM70" i="2"/>
  <c r="CN70" i="2"/>
  <c r="CO70" i="2"/>
  <c r="CP70" i="2"/>
  <c r="CQ70" i="2"/>
  <c r="CR70" i="2" s="1"/>
  <c r="DA70" i="2"/>
  <c r="DB70" i="2" s="1"/>
  <c r="DC70" i="2"/>
  <c r="DD70" i="2"/>
  <c r="DE70" i="2"/>
  <c r="DF70" i="2" s="1"/>
  <c r="DG70" i="2"/>
  <c r="DH70" i="2" s="1"/>
  <c r="DI70" i="2"/>
  <c r="DJ70" i="2"/>
  <c r="DM70" i="2"/>
  <c r="DL70" i="2" s="1"/>
  <c r="DN70" i="2"/>
  <c r="A71" i="2"/>
  <c r="B71" i="2"/>
  <c r="C71" i="2"/>
  <c r="D71" i="2"/>
  <c r="E71" i="2"/>
  <c r="F71" i="2"/>
  <c r="G71" i="2"/>
  <c r="H71" i="2"/>
  <c r="I71" i="2"/>
  <c r="J71" i="2"/>
  <c r="L71" i="2"/>
  <c r="CL71" i="2" s="1"/>
  <c r="M71" i="2"/>
  <c r="N71" i="2" s="1"/>
  <c r="O71" i="2"/>
  <c r="P71" i="2"/>
  <c r="Q71" i="2"/>
  <c r="R71" i="2"/>
  <c r="S71" i="2"/>
  <c r="T71" i="2" s="1"/>
  <c r="U71" i="2"/>
  <c r="V71" i="2"/>
  <c r="W71" i="2"/>
  <c r="X71" i="2"/>
  <c r="AA71" i="2"/>
  <c r="AB71" i="2"/>
  <c r="AC71" i="2"/>
  <c r="AD71" i="2"/>
  <c r="AE71" i="2"/>
  <c r="AF71" i="2"/>
  <c r="AG71" i="2"/>
  <c r="AH71" i="2"/>
  <c r="AI71" i="2"/>
  <c r="AJ71" i="2"/>
  <c r="AK71" i="2"/>
  <c r="AL71" i="2"/>
  <c r="AM71" i="2"/>
  <c r="AN71" i="2"/>
  <c r="AQ71" i="2"/>
  <c r="AR71" i="2"/>
  <c r="AU71" i="2"/>
  <c r="AW71" i="2"/>
  <c r="AX71" i="2"/>
  <c r="AY71" i="2" s="1"/>
  <c r="AZ71" i="2"/>
  <c r="BA71" i="2"/>
  <c r="BD71" i="2"/>
  <c r="BF71" i="2"/>
  <c r="BI71" i="2"/>
  <c r="BJ71" i="2" s="1"/>
  <c r="BK71" i="2"/>
  <c r="BL71" i="2" s="1"/>
  <c r="BM71" i="2"/>
  <c r="BN71" i="2"/>
  <c r="BO71" i="2" s="1"/>
  <c r="BC71" i="2" s="1"/>
  <c r="BP71" i="2"/>
  <c r="BQ71" i="2"/>
  <c r="BR71" i="2"/>
  <c r="BS71" i="2"/>
  <c r="BT71" i="2"/>
  <c r="BU71" i="2"/>
  <c r="BX71" i="2"/>
  <c r="BY71" i="2"/>
  <c r="BZ71" i="2"/>
  <c r="CA71" i="2"/>
  <c r="CB71" i="2"/>
  <c r="CD71" i="2"/>
  <c r="CE71" i="2"/>
  <c r="CF71" i="2"/>
  <c r="CG71" i="2"/>
  <c r="CH71" i="2"/>
  <c r="CI71" i="2"/>
  <c r="CJ71" i="2"/>
  <c r="CK71" i="2"/>
  <c r="CM71" i="2"/>
  <c r="CN71" i="2"/>
  <c r="CO71" i="2"/>
  <c r="CP71" i="2" s="1"/>
  <c r="CQ71" i="2"/>
  <c r="CR71" i="2" s="1"/>
  <c r="CT71" i="2"/>
  <c r="CU71" i="2" s="1"/>
  <c r="CV71" i="2"/>
  <c r="CW71" i="2"/>
  <c r="CY71" i="2"/>
  <c r="CZ71" i="2"/>
  <c r="DA71" i="2"/>
  <c r="DB71" i="2" s="1"/>
  <c r="DC71" i="2"/>
  <c r="DD71" i="2"/>
  <c r="DE71" i="2"/>
  <c r="DF71" i="2" s="1"/>
  <c r="DG71" i="2"/>
  <c r="DH71" i="2" s="1"/>
  <c r="DI71" i="2"/>
  <c r="DJ71" i="2"/>
  <c r="DK71" i="2" s="1"/>
  <c r="DM71" i="2"/>
  <c r="DL71" i="2" s="1"/>
  <c r="DN71" i="2"/>
  <c r="A72" i="2"/>
  <c r="B72" i="2"/>
  <c r="C72" i="2"/>
  <c r="D72" i="2"/>
  <c r="E72" i="2"/>
  <c r="F72" i="2"/>
  <c r="G72" i="2"/>
  <c r="H72" i="2"/>
  <c r="I72" i="2"/>
  <c r="J72" i="2"/>
  <c r="L72" i="2"/>
  <c r="BA72" i="2" s="1"/>
  <c r="M72" i="2"/>
  <c r="N72" i="2" s="1"/>
  <c r="O72" i="2"/>
  <c r="P72" i="2"/>
  <c r="AK72" i="2" s="1"/>
  <c r="Q72" i="2"/>
  <c r="AL72" i="2" s="1"/>
  <c r="S72" i="2"/>
  <c r="T72" i="2" s="1"/>
  <c r="V72" i="2"/>
  <c r="X72" i="2"/>
  <c r="Z72" i="2" s="1"/>
  <c r="Y72" i="2"/>
  <c r="AA72" i="2"/>
  <c r="AB72" i="2"/>
  <c r="AC72" i="2"/>
  <c r="AD72" i="2"/>
  <c r="AE72" i="2"/>
  <c r="AF72" i="2"/>
  <c r="AI72" i="2" s="1"/>
  <c r="CH72" i="2" s="1"/>
  <c r="AG72" i="2"/>
  <c r="AH72" i="2"/>
  <c r="AJ72" i="2"/>
  <c r="AN72" i="2"/>
  <c r="BV72" i="2" s="1"/>
  <c r="BW72" i="2" s="1"/>
  <c r="AO72" i="2"/>
  <c r="AP72" i="2" s="1"/>
  <c r="AQ72" i="2"/>
  <c r="CV72" i="2" s="1"/>
  <c r="CW72" i="2" s="1"/>
  <c r="AR72" i="2"/>
  <c r="CX72" i="2" s="1"/>
  <c r="AU72" i="2"/>
  <c r="AV72" i="2"/>
  <c r="AW72" i="2"/>
  <c r="AX72" i="2"/>
  <c r="AZ72" i="2"/>
  <c r="BD72" i="2"/>
  <c r="BE72" i="2"/>
  <c r="BF72" i="2"/>
  <c r="BH72" i="2"/>
  <c r="BI72" i="2"/>
  <c r="BJ72" i="2" s="1"/>
  <c r="BK72" i="2"/>
  <c r="BL72" i="2"/>
  <c r="BM72" i="2"/>
  <c r="BN72" i="2"/>
  <c r="BP72" i="2"/>
  <c r="BQ72" i="2"/>
  <c r="BR72" i="2"/>
  <c r="BS72" i="2"/>
  <c r="BT72" i="2"/>
  <c r="BU72" i="2"/>
  <c r="BX72" i="2"/>
  <c r="CF72" i="2" s="1"/>
  <c r="BZ72" i="2"/>
  <c r="CA72" i="2"/>
  <c r="CB72" i="2"/>
  <c r="CC72" i="2"/>
  <c r="CD72" i="2"/>
  <c r="CE72" i="2"/>
  <c r="CG72" i="2"/>
  <c r="CI72" i="2"/>
  <c r="CJ72" i="2"/>
  <c r="CK72" i="2"/>
  <c r="CM72" i="2"/>
  <c r="CN72" i="2"/>
  <c r="CO72" i="2"/>
  <c r="CP72" i="2" s="1"/>
  <c r="CQ72" i="2"/>
  <c r="CR72" i="2"/>
  <c r="CS72" i="2"/>
  <c r="CT72" i="2"/>
  <c r="CU72" i="2" s="1"/>
  <c r="DA72" i="2"/>
  <c r="DB72" i="2" s="1"/>
  <c r="DC72" i="2"/>
  <c r="DD72" i="2"/>
  <c r="DE72" i="2"/>
  <c r="DF72" i="2" s="1"/>
  <c r="DG72" i="2"/>
  <c r="DH72" i="2" s="1"/>
  <c r="DI72" i="2"/>
  <c r="DJ72" i="2"/>
  <c r="DK72" i="2" s="1"/>
  <c r="DM72" i="2"/>
  <c r="DL72" i="2" s="1"/>
  <c r="DN72" i="2"/>
  <c r="A73" i="2"/>
  <c r="B73" i="2"/>
  <c r="C73" i="2"/>
  <c r="D73" i="2"/>
  <c r="E73" i="2"/>
  <c r="F73" i="2"/>
  <c r="G73" i="2"/>
  <c r="H73" i="2"/>
  <c r="I73" i="2"/>
  <c r="J73" i="2"/>
  <c r="L73" i="2"/>
  <c r="K66" i="2" s="1"/>
  <c r="M73" i="2"/>
  <c r="N73" i="2" s="1"/>
  <c r="O73" i="2"/>
  <c r="P73" i="2"/>
  <c r="R73" i="2" s="1"/>
  <c r="Q73" i="2"/>
  <c r="S73" i="2"/>
  <c r="T73" i="2" s="1"/>
  <c r="V73" i="2"/>
  <c r="X73" i="2"/>
  <c r="Z73" i="2"/>
  <c r="AA73" i="2"/>
  <c r="AB73" i="2"/>
  <c r="AC73" i="2"/>
  <c r="AD73" i="2"/>
  <c r="AE73" i="2"/>
  <c r="AF73" i="2"/>
  <c r="AH73" i="2" s="1"/>
  <c r="AG73" i="2"/>
  <c r="AI73" i="2"/>
  <c r="CH73" i="2" s="1"/>
  <c r="AJ73" i="2"/>
  <c r="AN73" i="2"/>
  <c r="AV73" i="2" s="1"/>
  <c r="AO73" i="2"/>
  <c r="AP73" i="2" s="1"/>
  <c r="AQ73" i="2"/>
  <c r="AW73" i="2"/>
  <c r="AX73" i="2"/>
  <c r="AY73" i="2"/>
  <c r="AZ73" i="2"/>
  <c r="BD73" i="2"/>
  <c r="BF73" i="2"/>
  <c r="BH73" i="2"/>
  <c r="BI73" i="2"/>
  <c r="BK73" i="2"/>
  <c r="BL73" i="2" s="1"/>
  <c r="BM73" i="2"/>
  <c r="BN73" i="2"/>
  <c r="BP73" i="2"/>
  <c r="BQ73" i="2"/>
  <c r="BT73" i="2"/>
  <c r="BU73" i="2"/>
  <c r="BV73" i="2"/>
  <c r="BW73" i="2"/>
  <c r="BX73" i="2"/>
  <c r="BZ73" i="2"/>
  <c r="CB73" i="2"/>
  <c r="CE73" i="2"/>
  <c r="CG73" i="2"/>
  <c r="CI73" i="2"/>
  <c r="CJ73" i="2"/>
  <c r="CK73" i="2"/>
  <c r="CM73" i="2"/>
  <c r="CN73" i="2"/>
  <c r="CO73" i="2"/>
  <c r="CP73" i="2" s="1"/>
  <c r="CQ73" i="2"/>
  <c r="CR73" i="2" s="1"/>
  <c r="DA73" i="2"/>
  <c r="DB73" i="2" s="1"/>
  <c r="DC73" i="2"/>
  <c r="DD73" i="2" s="1"/>
  <c r="DE73" i="2"/>
  <c r="DG73" i="2"/>
  <c r="DI73" i="2"/>
  <c r="DJ73" i="2"/>
  <c r="DM73" i="2"/>
  <c r="DN73" i="2"/>
  <c r="A74" i="2"/>
  <c r="B74" i="2"/>
  <c r="C74" i="2"/>
  <c r="D74" i="2"/>
  <c r="E74" i="2"/>
  <c r="F74" i="2"/>
  <c r="G74" i="2"/>
  <c r="H74" i="2"/>
  <c r="I74" i="2"/>
  <c r="J74" i="2"/>
  <c r="L74" i="2"/>
  <c r="CZ74" i="2" s="1"/>
  <c r="M74" i="2"/>
  <c r="N74" i="2" s="1"/>
  <c r="O74" i="2"/>
  <c r="P74" i="2"/>
  <c r="R74" i="2" s="1"/>
  <c r="Q74" i="2"/>
  <c r="S74" i="2"/>
  <c r="T74" i="2" s="1"/>
  <c r="U74" i="2"/>
  <c r="V74" i="2"/>
  <c r="X74" i="2"/>
  <c r="Y74" i="2"/>
  <c r="AA74" i="2"/>
  <c r="AB74" i="2"/>
  <c r="AC74" i="2"/>
  <c r="AD74" i="2"/>
  <c r="AE74" i="2"/>
  <c r="AF74" i="2"/>
  <c r="AH74" i="2" s="1"/>
  <c r="AG74" i="2"/>
  <c r="AI74" i="2"/>
  <c r="AJ74" i="2"/>
  <c r="AK74" i="2"/>
  <c r="AL74" i="2"/>
  <c r="AN74" i="2"/>
  <c r="AO74" i="2"/>
  <c r="AP74" i="2" s="1"/>
  <c r="AQ74" i="2"/>
  <c r="AR74" i="2" s="1"/>
  <c r="AS74" i="2"/>
  <c r="AT74" i="2" s="1"/>
  <c r="AV74" i="2"/>
  <c r="AW74" i="2"/>
  <c r="AX74" i="2"/>
  <c r="AY74" i="2"/>
  <c r="AZ74" i="2"/>
  <c r="BA74" i="2"/>
  <c r="BB74" i="2"/>
  <c r="BD74" i="2"/>
  <c r="BE74" i="2"/>
  <c r="BF74" i="2"/>
  <c r="BH74" i="2" s="1"/>
  <c r="BG74" i="2"/>
  <c r="BI74" i="2"/>
  <c r="BJ74" i="2" s="1"/>
  <c r="BK74" i="2"/>
  <c r="BL74" i="2"/>
  <c r="BM74" i="2"/>
  <c r="BN74" i="2"/>
  <c r="BO74" i="2"/>
  <c r="BC74" i="2" s="1"/>
  <c r="BP74" i="2"/>
  <c r="BQ74" i="2"/>
  <c r="BR74" i="2"/>
  <c r="BS74" i="2"/>
  <c r="BT74" i="2"/>
  <c r="BU74" i="2"/>
  <c r="BV74" i="2"/>
  <c r="BW74" i="2"/>
  <c r="BX74" i="2"/>
  <c r="BY74" i="2"/>
  <c r="BZ74" i="2"/>
  <c r="CA74" i="2"/>
  <c r="CB74" i="2"/>
  <c r="CC74" i="2" s="1"/>
  <c r="CD74" i="2"/>
  <c r="CE74" i="2"/>
  <c r="CF74" i="2"/>
  <c r="CG74" i="2"/>
  <c r="CH74" i="2"/>
  <c r="CI74" i="2"/>
  <c r="CJ74" i="2"/>
  <c r="CK74" i="2"/>
  <c r="CL74" i="2"/>
  <c r="CM74" i="2"/>
  <c r="CN74" i="2" s="1"/>
  <c r="CO74" i="2"/>
  <c r="CP74" i="2" s="1"/>
  <c r="CQ74" i="2"/>
  <c r="CR74" i="2"/>
  <c r="CV74" i="2"/>
  <c r="CW74" i="2"/>
  <c r="CX74" i="2"/>
  <c r="CY74" i="2"/>
  <c r="DA74" i="2"/>
  <c r="DB74" i="2" s="1"/>
  <c r="DC74" i="2"/>
  <c r="DD74" i="2" s="1"/>
  <c r="DE74" i="2"/>
  <c r="DF74" i="2" s="1"/>
  <c r="DG74" i="2"/>
  <c r="DH74" i="2"/>
  <c r="DI74" i="2"/>
  <c r="DJ74" i="2"/>
  <c r="DK74" i="2"/>
  <c r="DM74" i="2"/>
  <c r="DL74" i="2" s="1"/>
  <c r="DN74" i="2"/>
  <c r="A75" i="2"/>
  <c r="B75" i="2"/>
  <c r="C75" i="2"/>
  <c r="D75" i="2"/>
  <c r="E75" i="2"/>
  <c r="F75" i="2"/>
  <c r="G75" i="2"/>
  <c r="H75" i="2"/>
  <c r="I75" i="2"/>
  <c r="J75" i="2"/>
  <c r="L75" i="2"/>
  <c r="CD75" i="2" s="1"/>
  <c r="M75" i="2"/>
  <c r="N75" i="2" s="1"/>
  <c r="O75" i="2"/>
  <c r="P75" i="2"/>
  <c r="Q75" i="2"/>
  <c r="AL75" i="2" s="1"/>
  <c r="S75" i="2"/>
  <c r="T75" i="2" s="1"/>
  <c r="U75" i="2"/>
  <c r="V75" i="2"/>
  <c r="W75" i="2"/>
  <c r="X75" i="2"/>
  <c r="Y75" i="2"/>
  <c r="Z75" i="2"/>
  <c r="AA75" i="2"/>
  <c r="AB75" i="2"/>
  <c r="AC75" i="2"/>
  <c r="AD75" i="2"/>
  <c r="AE75" i="2"/>
  <c r="AF75" i="2"/>
  <c r="AG75" i="2"/>
  <c r="AJ75" i="2"/>
  <c r="AN75" i="2"/>
  <c r="AO75" i="2"/>
  <c r="AP75" i="2"/>
  <c r="AQ75" i="2"/>
  <c r="CT75" i="2" s="1"/>
  <c r="CU75" i="2" s="1"/>
  <c r="AS75" i="2"/>
  <c r="AT75" i="2" s="1"/>
  <c r="AU75" i="2"/>
  <c r="AV75" i="2"/>
  <c r="AW75" i="2"/>
  <c r="AY75" i="2" s="1"/>
  <c r="AX75" i="2"/>
  <c r="AZ75" i="2"/>
  <c r="BA75" i="2"/>
  <c r="BD75" i="2"/>
  <c r="BE75" i="2"/>
  <c r="BF75" i="2"/>
  <c r="BG75" i="2" s="1"/>
  <c r="BI75" i="2"/>
  <c r="BJ75" i="2" s="1"/>
  <c r="BK75" i="2"/>
  <c r="BB75" i="2" s="1"/>
  <c r="BL75" i="2"/>
  <c r="BM75" i="2"/>
  <c r="BN75" i="2"/>
  <c r="BO75" i="2"/>
  <c r="BP75" i="2"/>
  <c r="BQ75" i="2"/>
  <c r="BS75" i="2"/>
  <c r="BT75" i="2"/>
  <c r="BU75" i="2"/>
  <c r="BV75" i="2"/>
  <c r="BW75" i="2" s="1"/>
  <c r="BX75" i="2"/>
  <c r="CF75" i="2" s="1"/>
  <c r="BY75" i="2"/>
  <c r="BZ75" i="2"/>
  <c r="CA75" i="2"/>
  <c r="CB75" i="2"/>
  <c r="CC75" i="2" s="1"/>
  <c r="CE75" i="2"/>
  <c r="CG75" i="2"/>
  <c r="CI75" i="2"/>
  <c r="CJ75" i="2"/>
  <c r="CK75" i="2"/>
  <c r="CL75" i="2"/>
  <c r="CM75" i="2"/>
  <c r="CN75" i="2" s="1"/>
  <c r="CO75" i="2"/>
  <c r="CP75" i="2" s="1"/>
  <c r="CQ75" i="2"/>
  <c r="CS75" i="2" s="1"/>
  <c r="CY75" i="2"/>
  <c r="DA75" i="2"/>
  <c r="DB75" i="2"/>
  <c r="DC75" i="2"/>
  <c r="DD75" i="2" s="1"/>
  <c r="DE75" i="2"/>
  <c r="DF75" i="2" s="1"/>
  <c r="DG75" i="2"/>
  <c r="DH75" i="2" s="1"/>
  <c r="DI75" i="2"/>
  <c r="DJ75" i="2"/>
  <c r="DK75" i="2"/>
  <c r="DM75" i="2"/>
  <c r="DL75" i="2" s="1"/>
  <c r="DN75" i="2"/>
  <c r="A76" i="2"/>
  <c r="B76" i="2"/>
  <c r="C76" i="2"/>
  <c r="D76" i="2"/>
  <c r="E76" i="2"/>
  <c r="F76" i="2"/>
  <c r="G76" i="2"/>
  <c r="H76" i="2"/>
  <c r="I76" i="2"/>
  <c r="J76" i="2"/>
  <c r="L76" i="2"/>
  <c r="M76" i="2"/>
  <c r="N76" i="2" s="1"/>
  <c r="O76" i="2"/>
  <c r="P76" i="2"/>
  <c r="R76" i="2" s="1"/>
  <c r="Q76" i="2"/>
  <c r="AL76" i="2" s="1"/>
  <c r="S76" i="2"/>
  <c r="T76" i="2"/>
  <c r="U76" i="2"/>
  <c r="V76" i="2"/>
  <c r="W76" i="2"/>
  <c r="X76" i="2"/>
  <c r="Y76" i="2"/>
  <c r="Z76" i="2"/>
  <c r="AA76" i="2"/>
  <c r="AB76" i="2"/>
  <c r="AC76" i="2"/>
  <c r="AD76" i="2"/>
  <c r="AE76" i="2"/>
  <c r="AF76" i="2"/>
  <c r="AG76" i="2"/>
  <c r="AI76" i="2"/>
  <c r="CH76" i="2" s="1"/>
  <c r="AJ76" i="2"/>
  <c r="AK76" i="2"/>
  <c r="AM76" i="2"/>
  <c r="AN76" i="2"/>
  <c r="AV76" i="2" s="1"/>
  <c r="AO76" i="2"/>
  <c r="AS76" i="2" s="1"/>
  <c r="AT76" i="2" s="1"/>
  <c r="AP76" i="2"/>
  <c r="AQ76" i="2"/>
  <c r="AR76" i="2" s="1"/>
  <c r="CX76" i="2" s="1"/>
  <c r="AU76" i="2"/>
  <c r="AW76" i="2"/>
  <c r="AY76" i="2" s="1"/>
  <c r="AX76" i="2"/>
  <c r="AZ76" i="2"/>
  <c r="BA76" i="2" s="1"/>
  <c r="BD76" i="2"/>
  <c r="BE76" i="2"/>
  <c r="BF76" i="2"/>
  <c r="BI76" i="2"/>
  <c r="BJ76" i="2" s="1"/>
  <c r="BK76" i="2"/>
  <c r="BL76" i="2" s="1"/>
  <c r="BC76" i="2" s="1"/>
  <c r="BM76" i="2"/>
  <c r="BN76" i="2"/>
  <c r="BO76" i="2"/>
  <c r="BP76" i="2"/>
  <c r="BQ76" i="2"/>
  <c r="BS76" i="2"/>
  <c r="BT76" i="2"/>
  <c r="BU76" i="2"/>
  <c r="BV76" i="2"/>
  <c r="BW76" i="2" s="1"/>
  <c r="BX76" i="2"/>
  <c r="BY76" i="2"/>
  <c r="BZ76" i="2"/>
  <c r="CA76" i="2"/>
  <c r="CB76" i="2"/>
  <c r="CC76" i="2"/>
  <c r="CD76" i="2"/>
  <c r="CE76" i="2"/>
  <c r="CF76" i="2"/>
  <c r="CG76" i="2"/>
  <c r="CI76" i="2"/>
  <c r="CJ76" i="2"/>
  <c r="CK76" i="2"/>
  <c r="CL76" i="2"/>
  <c r="CM76" i="2"/>
  <c r="CN76" i="2" s="1"/>
  <c r="CO76" i="2"/>
  <c r="CP76" i="2" s="1"/>
  <c r="CQ76" i="2"/>
  <c r="CR76" i="2" s="1"/>
  <c r="CS76" i="2"/>
  <c r="CV76" i="2"/>
  <c r="CW76" i="2" s="1"/>
  <c r="CY76" i="2"/>
  <c r="CZ76" i="2"/>
  <c r="DA76" i="2"/>
  <c r="DB76" i="2" s="1"/>
  <c r="DC76" i="2"/>
  <c r="DD76" i="2" s="1"/>
  <c r="DE76" i="2"/>
  <c r="DF76" i="2" s="1"/>
  <c r="DG76" i="2"/>
  <c r="DH76" i="2" s="1"/>
  <c r="DI76" i="2"/>
  <c r="DJ76" i="2"/>
  <c r="DK76" i="2"/>
  <c r="DL76" i="2"/>
  <c r="DM76" i="2"/>
  <c r="DN76" i="2"/>
  <c r="A77" i="2"/>
  <c r="B77" i="2"/>
  <c r="C77" i="2"/>
  <c r="D77" i="2"/>
  <c r="E77" i="2"/>
  <c r="F77" i="2"/>
  <c r="G77" i="2"/>
  <c r="H77" i="2"/>
  <c r="I77" i="2"/>
  <c r="J77" i="2"/>
  <c r="L77" i="2"/>
  <c r="M77" i="2"/>
  <c r="N77" i="2"/>
  <c r="O77" i="2"/>
  <c r="P77" i="2"/>
  <c r="Q77" i="2"/>
  <c r="S77" i="2"/>
  <c r="U77" i="2" s="1"/>
  <c r="T77" i="2"/>
  <c r="V77" i="2"/>
  <c r="W77" i="2"/>
  <c r="X77" i="2"/>
  <c r="Z77" i="2" s="1"/>
  <c r="Y77" i="2"/>
  <c r="AA77" i="2"/>
  <c r="AB77" i="2"/>
  <c r="AC77" i="2"/>
  <c r="AD77" i="2"/>
  <c r="AE77" i="2"/>
  <c r="AF77" i="2"/>
  <c r="AG77" i="2"/>
  <c r="AH77" i="2" s="1"/>
  <c r="AI77" i="2"/>
  <c r="CH77" i="2" s="1"/>
  <c r="AJ77" i="2"/>
  <c r="AK77" i="2"/>
  <c r="AN77" i="2"/>
  <c r="BV77" i="2" s="1"/>
  <c r="AO77" i="2"/>
  <c r="AP77" i="2" s="1"/>
  <c r="AQ77" i="2"/>
  <c r="AW77" i="2"/>
  <c r="AX77" i="2"/>
  <c r="AY77" i="2"/>
  <c r="AZ77" i="2"/>
  <c r="BA77" i="2" s="1"/>
  <c r="BD77" i="2"/>
  <c r="BE77" i="2"/>
  <c r="BF77" i="2"/>
  <c r="BH77" i="2" s="1"/>
  <c r="BG77" i="2"/>
  <c r="BI77" i="2"/>
  <c r="BJ77" i="2"/>
  <c r="BK77" i="2"/>
  <c r="BL77" i="2" s="1"/>
  <c r="BM77" i="2"/>
  <c r="BN77" i="2"/>
  <c r="BO77" i="2"/>
  <c r="BP77" i="2"/>
  <c r="BQ77" i="2"/>
  <c r="BT77" i="2"/>
  <c r="BU77" i="2"/>
  <c r="BW77" i="2"/>
  <c r="BX77" i="2"/>
  <c r="BY77" i="2"/>
  <c r="BZ77" i="2"/>
  <c r="CA77" i="2" s="1"/>
  <c r="CB77" i="2"/>
  <c r="CC77" i="2"/>
  <c r="CD77" i="2"/>
  <c r="CE77" i="2"/>
  <c r="CF77" i="2"/>
  <c r="CG77" i="2"/>
  <c r="CI77" i="2"/>
  <c r="CJ77" i="2"/>
  <c r="CK77" i="2"/>
  <c r="CL77" i="2"/>
  <c r="CM77" i="2"/>
  <c r="CN77" i="2" s="1"/>
  <c r="CO77" i="2"/>
  <c r="CP77" i="2"/>
  <c r="CQ77" i="2"/>
  <c r="CR77" i="2" s="1"/>
  <c r="CS77" i="2"/>
  <c r="CV77" i="2"/>
  <c r="CW77" i="2" s="1"/>
  <c r="CY77" i="2"/>
  <c r="CZ77" i="2"/>
  <c r="DA77" i="2"/>
  <c r="DB77" i="2" s="1"/>
  <c r="DC77" i="2"/>
  <c r="DD77" i="2" s="1"/>
  <c r="DE77" i="2"/>
  <c r="DF77" i="2"/>
  <c r="DG77" i="2"/>
  <c r="DH77" i="2" s="1"/>
  <c r="DI77" i="2"/>
  <c r="DJ77" i="2"/>
  <c r="DK77" i="2" s="1"/>
  <c r="DL77" i="2"/>
  <c r="DM77" i="2"/>
  <c r="DN77" i="2"/>
  <c r="A78" i="2"/>
  <c r="B78" i="2"/>
  <c r="C78" i="2"/>
  <c r="D78" i="2"/>
  <c r="E78" i="2"/>
  <c r="F78" i="2"/>
  <c r="G78" i="2"/>
  <c r="H78" i="2"/>
  <c r="I78" i="2"/>
  <c r="J78" i="2"/>
  <c r="L78" i="2"/>
  <c r="BG78" i="2" s="1"/>
  <c r="M78" i="2"/>
  <c r="N78" i="2" s="1"/>
  <c r="O78" i="2"/>
  <c r="P78" i="2"/>
  <c r="Q78" i="2"/>
  <c r="R78" i="2" s="1"/>
  <c r="S78" i="2"/>
  <c r="T78" i="2" s="1"/>
  <c r="U78" i="2"/>
  <c r="V78" i="2"/>
  <c r="X78" i="2"/>
  <c r="Z78" i="2" s="1"/>
  <c r="AA78" i="2"/>
  <c r="AB78" i="2"/>
  <c r="AC78" i="2"/>
  <c r="AD78" i="2"/>
  <c r="AE78" i="2"/>
  <c r="AF78" i="2"/>
  <c r="AG78" i="2"/>
  <c r="AH78" i="2" s="1"/>
  <c r="AI78" i="2"/>
  <c r="AJ78" i="2"/>
  <c r="AN78" i="2"/>
  <c r="AO78" i="2"/>
  <c r="AP78" i="2" s="1"/>
  <c r="AQ78" i="2"/>
  <c r="AR78" i="2" s="1"/>
  <c r="CX78" i="2" s="1"/>
  <c r="AS78" i="2"/>
  <c r="AT78" i="2" s="1"/>
  <c r="AW78" i="2"/>
  <c r="AX78" i="2"/>
  <c r="AY78" i="2"/>
  <c r="AZ78" i="2"/>
  <c r="BA78" i="2"/>
  <c r="BD78" i="2"/>
  <c r="BE78" i="2" s="1"/>
  <c r="BF78" i="2"/>
  <c r="BI78" i="2"/>
  <c r="BJ78" i="2"/>
  <c r="BK78" i="2"/>
  <c r="BL78" i="2" s="1"/>
  <c r="BM78" i="2"/>
  <c r="BN78" i="2"/>
  <c r="BB78" i="2" s="1"/>
  <c r="BP78" i="2"/>
  <c r="BQ78" i="2"/>
  <c r="BT78" i="2"/>
  <c r="BU78" i="2"/>
  <c r="BX78" i="2"/>
  <c r="CF78" i="2" s="1"/>
  <c r="BZ78" i="2"/>
  <c r="CB78" i="2"/>
  <c r="CE78" i="2"/>
  <c r="CG78" i="2"/>
  <c r="CI78" i="2"/>
  <c r="CJ78" i="2"/>
  <c r="CK78" i="2"/>
  <c r="CM78" i="2"/>
  <c r="CN78" i="2"/>
  <c r="CO78" i="2"/>
  <c r="CP78" i="2" s="1"/>
  <c r="CQ78" i="2"/>
  <c r="CZ78" i="2"/>
  <c r="DA78" i="2"/>
  <c r="DB78" i="2" s="1"/>
  <c r="DC78" i="2"/>
  <c r="DD78" i="2" s="1"/>
  <c r="DE78" i="2"/>
  <c r="DG78" i="2"/>
  <c r="DH78" i="2" s="1"/>
  <c r="DI78" i="2"/>
  <c r="DJ78" i="2"/>
  <c r="DM78" i="2"/>
  <c r="DL78" i="2" s="1"/>
  <c r="DN78" i="2"/>
  <c r="A79" i="2"/>
  <c r="B79" i="2"/>
  <c r="C79" i="2"/>
  <c r="D79" i="2"/>
  <c r="E79" i="2"/>
  <c r="F79" i="2"/>
  <c r="G79" i="2"/>
  <c r="H79" i="2"/>
  <c r="I79" i="2"/>
  <c r="J79" i="2"/>
  <c r="L79" i="2"/>
  <c r="CL79" i="2" s="1"/>
  <c r="M79" i="2"/>
  <c r="N79" i="2" s="1"/>
  <c r="O79" i="2"/>
  <c r="P79" i="2"/>
  <c r="Q79" i="2"/>
  <c r="R79" i="2"/>
  <c r="S79" i="2"/>
  <c r="T79" i="2" s="1"/>
  <c r="V79" i="2"/>
  <c r="W79" i="2" s="1"/>
  <c r="X79" i="2"/>
  <c r="AA79" i="2"/>
  <c r="AB79" i="2"/>
  <c r="AC79" i="2"/>
  <c r="AD79" i="2"/>
  <c r="AE79" i="2"/>
  <c r="AF79" i="2"/>
  <c r="AG79" i="2"/>
  <c r="AH79" i="2"/>
  <c r="AI79" i="2"/>
  <c r="CH79" i="2" s="1"/>
  <c r="AJ79" i="2"/>
  <c r="AK79" i="2"/>
  <c r="AL79" i="2"/>
  <c r="AM79" i="2"/>
  <c r="AN79" i="2"/>
  <c r="AQ79" i="2"/>
  <c r="AR79" i="2" s="1"/>
  <c r="AU79" i="2"/>
  <c r="AW79" i="2"/>
  <c r="AX79" i="2"/>
  <c r="AY79" i="2" s="1"/>
  <c r="AZ79" i="2"/>
  <c r="BA79" i="2"/>
  <c r="BD79" i="2"/>
  <c r="BF79" i="2"/>
  <c r="BG79" i="2"/>
  <c r="BI79" i="2"/>
  <c r="BJ79" i="2" s="1"/>
  <c r="BK79" i="2"/>
  <c r="BL79" i="2" s="1"/>
  <c r="BM79" i="2"/>
  <c r="BN79" i="2"/>
  <c r="BO79" i="2" s="1"/>
  <c r="BC79" i="2" s="1"/>
  <c r="BP79" i="2"/>
  <c r="BQ79" i="2"/>
  <c r="BR79" i="2"/>
  <c r="BS79" i="2"/>
  <c r="BT79" i="2"/>
  <c r="BU79" i="2"/>
  <c r="BX79" i="2"/>
  <c r="CF79" i="2" s="1"/>
  <c r="BY79" i="2"/>
  <c r="BZ79" i="2"/>
  <c r="CA79" i="2"/>
  <c r="CB79" i="2"/>
  <c r="CC79" i="2"/>
  <c r="CD79" i="2"/>
  <c r="CE79" i="2"/>
  <c r="CG79" i="2"/>
  <c r="CI79" i="2"/>
  <c r="CJ79" i="2"/>
  <c r="CK79" i="2"/>
  <c r="CM79" i="2"/>
  <c r="CN79" i="2" s="1"/>
  <c r="CO79" i="2"/>
  <c r="CP79" i="2" s="1"/>
  <c r="CQ79" i="2"/>
  <c r="CT79" i="2"/>
  <c r="CU79" i="2"/>
  <c r="CX79" i="2"/>
  <c r="CY79" i="2"/>
  <c r="CZ79" i="2"/>
  <c r="DA79" i="2"/>
  <c r="DB79" i="2" s="1"/>
  <c r="DC79" i="2"/>
  <c r="DD79" i="2" s="1"/>
  <c r="DE79" i="2"/>
  <c r="DF79" i="2" s="1"/>
  <c r="DG79" i="2"/>
  <c r="DH79" i="2" s="1"/>
  <c r="DI79" i="2"/>
  <c r="DJ79" i="2"/>
  <c r="DK79" i="2" s="1"/>
  <c r="DM79" i="2"/>
  <c r="DL79" i="2" s="1"/>
  <c r="DN79" i="2"/>
  <c r="A80" i="2"/>
  <c r="B80" i="2"/>
  <c r="C80" i="2"/>
  <c r="D80" i="2"/>
  <c r="E80" i="2"/>
  <c r="F80" i="2"/>
  <c r="G80" i="2"/>
  <c r="H80" i="2"/>
  <c r="I80" i="2"/>
  <c r="J80" i="2"/>
  <c r="L80" i="2"/>
  <c r="M80" i="2"/>
  <c r="N80" i="2" s="1"/>
  <c r="O80" i="2"/>
  <c r="P80" i="2"/>
  <c r="AK80" i="2" s="1"/>
  <c r="Q80" i="2"/>
  <c r="AL80" i="2" s="1"/>
  <c r="S80" i="2"/>
  <c r="V80" i="2"/>
  <c r="W80" i="2"/>
  <c r="X80" i="2"/>
  <c r="Z80" i="2" s="1"/>
  <c r="Y80" i="2"/>
  <c r="AA80" i="2"/>
  <c r="AB80" i="2"/>
  <c r="AC80" i="2"/>
  <c r="AD80" i="2"/>
  <c r="AE80" i="2"/>
  <c r="AF80" i="2"/>
  <c r="AG80" i="2"/>
  <c r="AH80" i="2" s="1"/>
  <c r="AI80" i="2"/>
  <c r="AJ80" i="2"/>
  <c r="AN80" i="2"/>
  <c r="BV80" i="2" s="1"/>
  <c r="BW80" i="2" s="1"/>
  <c r="AO80" i="2"/>
  <c r="AP80" i="2" s="1"/>
  <c r="AQ80" i="2"/>
  <c r="CV80" i="2" s="1"/>
  <c r="CW80" i="2" s="1"/>
  <c r="AR80" i="2"/>
  <c r="CX80" i="2" s="1"/>
  <c r="AS80" i="2"/>
  <c r="AT80" i="2" s="1"/>
  <c r="AU80" i="2"/>
  <c r="AV80" i="2"/>
  <c r="AW80" i="2"/>
  <c r="AX80" i="2"/>
  <c r="AY80" i="2" s="1"/>
  <c r="AZ80" i="2"/>
  <c r="BD80" i="2"/>
  <c r="BE80" i="2"/>
  <c r="BF80" i="2"/>
  <c r="BH80" i="2"/>
  <c r="BI80" i="2"/>
  <c r="BJ80" i="2" s="1"/>
  <c r="BK80" i="2"/>
  <c r="BL80" i="2"/>
  <c r="BM80" i="2"/>
  <c r="BN80" i="2"/>
  <c r="BB80" i="2" s="1"/>
  <c r="BP80" i="2"/>
  <c r="BQ80" i="2"/>
  <c r="BS80" i="2"/>
  <c r="BT80" i="2"/>
  <c r="BU80" i="2"/>
  <c r="BX80" i="2"/>
  <c r="CF80" i="2" s="1"/>
  <c r="BZ80" i="2"/>
  <c r="CA80" i="2"/>
  <c r="CB80" i="2"/>
  <c r="CC80" i="2"/>
  <c r="CD80" i="2"/>
  <c r="CE80" i="2"/>
  <c r="CG80" i="2"/>
  <c r="CI80" i="2"/>
  <c r="CJ80" i="2"/>
  <c r="CK80" i="2"/>
  <c r="CM80" i="2"/>
  <c r="CN80" i="2"/>
  <c r="CO80" i="2"/>
  <c r="CP80" i="2" s="1"/>
  <c r="CQ80" i="2"/>
  <c r="CR80" i="2"/>
  <c r="CS80" i="2"/>
  <c r="CT80" i="2"/>
  <c r="CU80" i="2" s="1"/>
  <c r="CY80" i="2"/>
  <c r="DA80" i="2"/>
  <c r="DB80" i="2" s="1"/>
  <c r="DC80" i="2"/>
  <c r="DD80" i="2"/>
  <c r="DE80" i="2"/>
  <c r="DF80" i="2" s="1"/>
  <c r="DG80" i="2"/>
  <c r="DH80" i="2"/>
  <c r="DI80" i="2"/>
  <c r="DJ80" i="2"/>
  <c r="DK80" i="2" s="1"/>
  <c r="DM80" i="2"/>
  <c r="DL80" i="2" s="1"/>
  <c r="DN80" i="2"/>
  <c r="A81" i="2"/>
  <c r="B81" i="2"/>
  <c r="C81" i="2"/>
  <c r="D81" i="2"/>
  <c r="E81" i="2"/>
  <c r="F81" i="2"/>
  <c r="G81" i="2"/>
  <c r="H81" i="2"/>
  <c r="I81" i="2"/>
  <c r="J81" i="2"/>
  <c r="L81" i="2"/>
  <c r="M81" i="2"/>
  <c r="N81" i="2" s="1"/>
  <c r="O81" i="2"/>
  <c r="P81" i="2"/>
  <c r="Q81" i="2"/>
  <c r="AM81" i="2" s="1"/>
  <c r="S81" i="2"/>
  <c r="V81" i="2"/>
  <c r="W81" i="2" s="1"/>
  <c r="X81" i="2"/>
  <c r="Z81" i="2"/>
  <c r="AA81" i="2"/>
  <c r="AB81" i="2"/>
  <c r="AC81" i="2"/>
  <c r="AD81" i="2"/>
  <c r="AE81" i="2"/>
  <c r="AF81" i="2"/>
  <c r="AH81" i="2" s="1"/>
  <c r="AG81" i="2"/>
  <c r="AI81" i="2"/>
  <c r="AJ81" i="2"/>
  <c r="AN81" i="2"/>
  <c r="AO81" i="2"/>
  <c r="AP81" i="2" s="1"/>
  <c r="AQ81" i="2"/>
  <c r="AS81" i="2"/>
  <c r="AT81" i="2" s="1"/>
  <c r="AU81" i="2"/>
  <c r="AV81" i="2"/>
  <c r="AW81" i="2"/>
  <c r="AY81" i="2" s="1"/>
  <c r="AX81" i="2"/>
  <c r="AZ81" i="2"/>
  <c r="BD81" i="2"/>
  <c r="BF81" i="2"/>
  <c r="BG81" i="2" s="1"/>
  <c r="BI81" i="2"/>
  <c r="BK81" i="2"/>
  <c r="BM81" i="2"/>
  <c r="BN81" i="2"/>
  <c r="BO81" i="2"/>
  <c r="BP81" i="2"/>
  <c r="BQ81" i="2"/>
  <c r="BR81" i="2"/>
  <c r="BS81" i="2"/>
  <c r="BT81" i="2"/>
  <c r="BU81" i="2"/>
  <c r="BV81" i="2"/>
  <c r="BW81" i="2" s="1"/>
  <c r="BX81" i="2"/>
  <c r="CF81" i="2" s="1"/>
  <c r="BZ81" i="2"/>
  <c r="CB81" i="2"/>
  <c r="CC81" i="2"/>
  <c r="CE81" i="2"/>
  <c r="CG81" i="2"/>
  <c r="CH81" i="2"/>
  <c r="CI81" i="2"/>
  <c r="CJ81" i="2"/>
  <c r="CK81" i="2"/>
  <c r="CM81" i="2"/>
  <c r="CO81" i="2"/>
  <c r="CQ81" i="2"/>
  <c r="CS81" i="2" s="1"/>
  <c r="CY81" i="2"/>
  <c r="DA81" i="2"/>
  <c r="DB81" i="2"/>
  <c r="DC81" i="2"/>
  <c r="DD81" i="2"/>
  <c r="DE81" i="2"/>
  <c r="DF81" i="2" s="1"/>
  <c r="DG81" i="2"/>
  <c r="DH81" i="2" s="1"/>
  <c r="DI81" i="2"/>
  <c r="DJ81" i="2"/>
  <c r="DM81" i="2"/>
  <c r="DN81" i="2"/>
  <c r="A82" i="2"/>
  <c r="B82" i="2"/>
  <c r="C82" i="2"/>
  <c r="D82" i="2"/>
  <c r="E82" i="2"/>
  <c r="F82" i="2"/>
  <c r="G82" i="2"/>
  <c r="H82" i="2"/>
  <c r="I82" i="2"/>
  <c r="J82" i="2"/>
  <c r="L82" i="2"/>
  <c r="CZ82" i="2" s="1"/>
  <c r="M82" i="2"/>
  <c r="N82" i="2" s="1"/>
  <c r="O82" i="2"/>
  <c r="P82" i="2"/>
  <c r="R82" i="2" s="1"/>
  <c r="Q82" i="2"/>
  <c r="AL82" i="2" s="1"/>
  <c r="S82" i="2"/>
  <c r="T82" i="2" s="1"/>
  <c r="U82" i="2"/>
  <c r="V82" i="2"/>
  <c r="Z82" i="2" s="1"/>
  <c r="W82" i="2"/>
  <c r="X82" i="2"/>
  <c r="Y82" i="2"/>
  <c r="AA82" i="2"/>
  <c r="AB82" i="2"/>
  <c r="AC82" i="2"/>
  <c r="AD82" i="2"/>
  <c r="AE82" i="2"/>
  <c r="AF82" i="2"/>
  <c r="AG82" i="2"/>
  <c r="AI82" i="2"/>
  <c r="CH82" i="2" s="1"/>
  <c r="AJ82" i="2"/>
  <c r="AN82" i="2"/>
  <c r="AO82" i="2"/>
  <c r="AP82" i="2" s="1"/>
  <c r="AQ82" i="2"/>
  <c r="AS82" i="2"/>
  <c r="AT82" i="2" s="1"/>
  <c r="AU82" i="2"/>
  <c r="AV82" i="2"/>
  <c r="AW82" i="2"/>
  <c r="AY82" i="2" s="1"/>
  <c r="AX82" i="2"/>
  <c r="AZ82" i="2"/>
  <c r="BA82" i="2"/>
  <c r="BD82" i="2"/>
  <c r="BE82" i="2"/>
  <c r="BF82" i="2"/>
  <c r="BH82" i="2" s="1"/>
  <c r="BG82" i="2"/>
  <c r="BI82" i="2"/>
  <c r="BJ82" i="2" s="1"/>
  <c r="BK82" i="2"/>
  <c r="BB82" i="2" s="1"/>
  <c r="BL82" i="2"/>
  <c r="BM82" i="2"/>
  <c r="BN82" i="2"/>
  <c r="BO82" i="2"/>
  <c r="BP82" i="2"/>
  <c r="BQ82" i="2"/>
  <c r="BS82" i="2"/>
  <c r="BT82" i="2"/>
  <c r="BU82" i="2"/>
  <c r="BV82" i="2"/>
  <c r="BW82" i="2"/>
  <c r="BX82" i="2"/>
  <c r="BY82" i="2"/>
  <c r="BZ82" i="2"/>
  <c r="CA82" i="2"/>
  <c r="CB82" i="2"/>
  <c r="CC82" i="2" s="1"/>
  <c r="CD82" i="2"/>
  <c r="CE82" i="2"/>
  <c r="CF82" i="2"/>
  <c r="CG82" i="2"/>
  <c r="CI82" i="2"/>
  <c r="CJ82" i="2"/>
  <c r="CK82" i="2"/>
  <c r="CL82" i="2"/>
  <c r="CM82" i="2"/>
  <c r="CN82" i="2" s="1"/>
  <c r="CO82" i="2"/>
  <c r="CP82" i="2" s="1"/>
  <c r="CQ82" i="2"/>
  <c r="CR82" i="2"/>
  <c r="CS82" i="2"/>
  <c r="CV82" i="2"/>
  <c r="CW82" i="2"/>
  <c r="CY82" i="2"/>
  <c r="DA82" i="2"/>
  <c r="DB82" i="2" s="1"/>
  <c r="DC82" i="2"/>
  <c r="DD82" i="2" s="1"/>
  <c r="DE82" i="2"/>
  <c r="DF82" i="2" s="1"/>
  <c r="DG82" i="2"/>
  <c r="DH82" i="2" s="1"/>
  <c r="DI82" i="2"/>
  <c r="DJ82" i="2"/>
  <c r="DK82" i="2"/>
  <c r="DM82" i="2"/>
  <c r="DL82" i="2" s="1"/>
  <c r="DN82" i="2"/>
  <c r="A83" i="2"/>
  <c r="B83" i="2"/>
  <c r="C83" i="2"/>
  <c r="D83" i="2"/>
  <c r="E83" i="2"/>
  <c r="F83" i="2"/>
  <c r="G83" i="2"/>
  <c r="H83" i="2"/>
  <c r="I83" i="2"/>
  <c r="J83" i="2"/>
  <c r="L83" i="2"/>
  <c r="CD83" i="2" s="1"/>
  <c r="M83" i="2"/>
  <c r="N83" i="2" s="1"/>
  <c r="O83" i="2"/>
  <c r="P83" i="2"/>
  <c r="Q83" i="2"/>
  <c r="AL83" i="2" s="1"/>
  <c r="S83" i="2"/>
  <c r="T83" i="2" s="1"/>
  <c r="U83" i="2"/>
  <c r="V83" i="2"/>
  <c r="W83" i="2"/>
  <c r="X83" i="2"/>
  <c r="Y83" i="2"/>
  <c r="Z83" i="2"/>
  <c r="AA83" i="2"/>
  <c r="AB83" i="2"/>
  <c r="AC83" i="2"/>
  <c r="AD83" i="2"/>
  <c r="AE83" i="2"/>
  <c r="AF83" i="2"/>
  <c r="AG83" i="2"/>
  <c r="AI83" i="2"/>
  <c r="CH83" i="2" s="1"/>
  <c r="AJ83" i="2"/>
  <c r="AK83" i="2"/>
  <c r="AM83" i="2"/>
  <c r="AN83" i="2"/>
  <c r="AO83" i="2"/>
  <c r="AP83" i="2" s="1"/>
  <c r="AQ83" i="2"/>
  <c r="AU83" i="2" s="1"/>
  <c r="AS83" i="2"/>
  <c r="AT83" i="2" s="1"/>
  <c r="AV83" i="2"/>
  <c r="AW83" i="2"/>
  <c r="AX83" i="2"/>
  <c r="AY83" i="2"/>
  <c r="AZ83" i="2"/>
  <c r="BA83" i="2"/>
  <c r="BD83" i="2"/>
  <c r="BE83" i="2"/>
  <c r="BF83" i="2"/>
  <c r="BH83" i="2" s="1"/>
  <c r="BG83" i="2"/>
  <c r="BI83" i="2"/>
  <c r="BJ83" i="2" s="1"/>
  <c r="BK83" i="2"/>
  <c r="BL83" i="2" s="1"/>
  <c r="BM83" i="2"/>
  <c r="BN83" i="2"/>
  <c r="BO83" i="2"/>
  <c r="BP83" i="2"/>
  <c r="BQ83" i="2"/>
  <c r="BS83" i="2"/>
  <c r="BT83" i="2"/>
  <c r="BU83" i="2"/>
  <c r="BV83" i="2"/>
  <c r="BW83" i="2"/>
  <c r="BX83" i="2"/>
  <c r="BY83" i="2"/>
  <c r="BZ83" i="2"/>
  <c r="CA83" i="2" s="1"/>
  <c r="CB83" i="2"/>
  <c r="CC83" i="2" s="1"/>
  <c r="CE83" i="2"/>
  <c r="CF83" i="2"/>
  <c r="CG83" i="2"/>
  <c r="CI83" i="2"/>
  <c r="CJ83" i="2"/>
  <c r="CK83" i="2"/>
  <c r="CL83" i="2"/>
  <c r="CM83" i="2"/>
  <c r="CN83" i="2" s="1"/>
  <c r="CO83" i="2"/>
  <c r="CP83" i="2"/>
  <c r="CQ83" i="2"/>
  <c r="CS83" i="2" s="1"/>
  <c r="CR83" i="2"/>
  <c r="CV83" i="2"/>
  <c r="CW83" i="2" s="1"/>
  <c r="CY83" i="2"/>
  <c r="DA83" i="2"/>
  <c r="DB83" i="2"/>
  <c r="DC83" i="2"/>
  <c r="DD83" i="2" s="1"/>
  <c r="DE83" i="2"/>
  <c r="DF83" i="2" s="1"/>
  <c r="DG83" i="2"/>
  <c r="DH83" i="2" s="1"/>
  <c r="DI83" i="2"/>
  <c r="DJ83" i="2"/>
  <c r="DK83" i="2"/>
  <c r="DL83" i="2"/>
  <c r="DM83" i="2"/>
  <c r="DN83" i="2"/>
  <c r="A84" i="2"/>
  <c r="B84" i="2"/>
  <c r="C84" i="2"/>
  <c r="D84" i="2"/>
  <c r="E84" i="2"/>
  <c r="F84" i="2"/>
  <c r="G84" i="2"/>
  <c r="H84" i="2"/>
  <c r="I84" i="2"/>
  <c r="J84" i="2"/>
  <c r="L84" i="2"/>
  <c r="M84" i="2"/>
  <c r="N84" i="2" s="1"/>
  <c r="O84" i="2"/>
  <c r="P84" i="2"/>
  <c r="R84" i="2" s="1"/>
  <c r="Q84" i="2"/>
  <c r="AL84" i="2" s="1"/>
  <c r="S84" i="2"/>
  <c r="T84" i="2" s="1"/>
  <c r="V84" i="2"/>
  <c r="W84" i="2" s="1"/>
  <c r="X84" i="2"/>
  <c r="Y84" i="2" s="1"/>
  <c r="Z84" i="2"/>
  <c r="AA84" i="2"/>
  <c r="AB84" i="2"/>
  <c r="AC84" i="2"/>
  <c r="AD84" i="2"/>
  <c r="AE84" i="2"/>
  <c r="AF84" i="2"/>
  <c r="AG84" i="2"/>
  <c r="AI84" i="2"/>
  <c r="CH84" i="2" s="1"/>
  <c r="AJ84" i="2"/>
  <c r="AN84" i="2"/>
  <c r="AO84" i="2"/>
  <c r="AP84" i="2" s="1"/>
  <c r="AQ84" i="2"/>
  <c r="AU84" i="2" s="1"/>
  <c r="AV84" i="2"/>
  <c r="AW84" i="2"/>
  <c r="AX84" i="2"/>
  <c r="AY84" i="2"/>
  <c r="AZ84" i="2"/>
  <c r="BA84" i="2" s="1"/>
  <c r="BD84" i="2"/>
  <c r="BE84" i="2" s="1"/>
  <c r="BF84" i="2"/>
  <c r="BH84" i="2" s="1"/>
  <c r="BI84" i="2"/>
  <c r="BJ84" i="2" s="1"/>
  <c r="BK84" i="2"/>
  <c r="BB84" i="2" s="1"/>
  <c r="BM84" i="2"/>
  <c r="BN84" i="2"/>
  <c r="BO84" i="2"/>
  <c r="BP84" i="2"/>
  <c r="BQ84" i="2"/>
  <c r="BT84" i="2"/>
  <c r="BU84" i="2"/>
  <c r="BV84" i="2"/>
  <c r="BW84" i="2"/>
  <c r="BX84" i="2"/>
  <c r="BY84" i="2"/>
  <c r="BZ84" i="2"/>
  <c r="CA84" i="2"/>
  <c r="CB84" i="2"/>
  <c r="CC84" i="2"/>
  <c r="CD84" i="2"/>
  <c r="CE84" i="2"/>
  <c r="CF84" i="2"/>
  <c r="CG84" i="2"/>
  <c r="CI84" i="2"/>
  <c r="CJ84" i="2"/>
  <c r="CK84" i="2"/>
  <c r="CL84" i="2"/>
  <c r="CM84" i="2"/>
  <c r="CN84" i="2" s="1"/>
  <c r="CO84" i="2"/>
  <c r="CP84" i="2"/>
  <c r="CQ84" i="2"/>
  <c r="CS84" i="2" s="1"/>
  <c r="CR84" i="2"/>
  <c r="CY84" i="2"/>
  <c r="CZ84" i="2"/>
  <c r="DA84" i="2"/>
  <c r="DB84" i="2" s="1"/>
  <c r="DC84" i="2"/>
  <c r="DD84" i="2" s="1"/>
  <c r="DE84" i="2"/>
  <c r="DF84" i="2"/>
  <c r="DG84" i="2"/>
  <c r="DH84" i="2"/>
  <c r="DI84" i="2"/>
  <c r="DJ84" i="2"/>
  <c r="DK84" i="2"/>
  <c r="DL84" i="2"/>
  <c r="DM84" i="2"/>
  <c r="DN84" i="2"/>
  <c r="A85" i="2"/>
  <c r="B85" i="2"/>
  <c r="C85" i="2"/>
  <c r="D85" i="2"/>
  <c r="E85" i="2"/>
  <c r="F85" i="2"/>
  <c r="G85" i="2"/>
  <c r="H85" i="2"/>
  <c r="I85" i="2"/>
  <c r="J85" i="2"/>
  <c r="L85" i="2"/>
  <c r="M85" i="2"/>
  <c r="N85" i="2"/>
  <c r="O85" i="2"/>
  <c r="P85" i="2"/>
  <c r="R85" i="2" s="1"/>
  <c r="Q85" i="2"/>
  <c r="AL85" i="2" s="1"/>
  <c r="S85" i="2"/>
  <c r="T85" i="2" s="1"/>
  <c r="V85" i="2"/>
  <c r="W85" i="2" s="1"/>
  <c r="X85" i="2"/>
  <c r="Y85" i="2" s="1"/>
  <c r="Z85" i="2"/>
  <c r="AA85" i="2"/>
  <c r="AB85" i="2"/>
  <c r="AC85" i="2"/>
  <c r="AD85" i="2"/>
  <c r="AE85" i="2"/>
  <c r="AF85" i="2"/>
  <c r="AH85" i="2" s="1"/>
  <c r="AG85" i="2"/>
  <c r="AJ85" i="2"/>
  <c r="AN85" i="2"/>
  <c r="AV85" i="2" s="1"/>
  <c r="AQ85" i="2"/>
  <c r="AU85" i="2" s="1"/>
  <c r="AR85" i="2"/>
  <c r="CX85" i="2" s="1"/>
  <c r="AW85" i="2"/>
  <c r="AX85" i="2"/>
  <c r="AY85" i="2" s="1"/>
  <c r="AZ85" i="2"/>
  <c r="BA85" i="2" s="1"/>
  <c r="BD85" i="2"/>
  <c r="BE85" i="2" s="1"/>
  <c r="BF85" i="2"/>
  <c r="BG85" i="2" s="1"/>
  <c r="BH85" i="2"/>
  <c r="BI85" i="2"/>
  <c r="BJ85" i="2"/>
  <c r="BK85" i="2"/>
  <c r="BL85" i="2" s="1"/>
  <c r="BM85" i="2"/>
  <c r="BN85" i="2"/>
  <c r="BO85" i="2" s="1"/>
  <c r="BP85" i="2"/>
  <c r="BQ85" i="2"/>
  <c r="BT85" i="2"/>
  <c r="BU85" i="2"/>
  <c r="BV85" i="2"/>
  <c r="BW85" i="2" s="1"/>
  <c r="BX85" i="2"/>
  <c r="CF85" i="2" s="1"/>
  <c r="BZ85" i="2"/>
  <c r="CA85" i="2" s="1"/>
  <c r="CB85" i="2"/>
  <c r="CC85" i="2"/>
  <c r="CD85" i="2"/>
  <c r="CE85" i="2"/>
  <c r="CG85" i="2"/>
  <c r="CI85" i="2"/>
  <c r="CJ85" i="2"/>
  <c r="CK85" i="2"/>
  <c r="CL85" i="2"/>
  <c r="CM85" i="2"/>
  <c r="CN85" i="2"/>
  <c r="CO85" i="2"/>
  <c r="CP85" i="2"/>
  <c r="CQ85" i="2"/>
  <c r="CR85" i="2" s="1"/>
  <c r="CS85" i="2"/>
  <c r="CY85" i="2"/>
  <c r="CZ85" i="2"/>
  <c r="DA85" i="2"/>
  <c r="DB85" i="2"/>
  <c r="DC85" i="2"/>
  <c r="DD85" i="2"/>
  <c r="DE85" i="2"/>
  <c r="DF85" i="2"/>
  <c r="DG85" i="2"/>
  <c r="DH85" i="2" s="1"/>
  <c r="DI85" i="2"/>
  <c r="DJ85" i="2"/>
  <c r="DK85" i="2" s="1"/>
  <c r="DL85" i="2"/>
  <c r="DM85" i="2"/>
  <c r="DN85" i="2"/>
  <c r="A86" i="2"/>
  <c r="B86" i="2"/>
  <c r="C86" i="2"/>
  <c r="D86" i="2"/>
  <c r="E86" i="2"/>
  <c r="F86" i="2"/>
  <c r="G86" i="2"/>
  <c r="H86" i="2"/>
  <c r="I86" i="2"/>
  <c r="J86" i="2"/>
  <c r="L86" i="2"/>
  <c r="K82" i="2" s="1"/>
  <c r="M86" i="2"/>
  <c r="N86" i="2" s="1"/>
  <c r="O86" i="2"/>
  <c r="P86" i="2"/>
  <c r="Q86" i="2"/>
  <c r="R86" i="2"/>
  <c r="S86" i="2"/>
  <c r="T86" i="2"/>
  <c r="U86" i="2"/>
  <c r="V86" i="2"/>
  <c r="W86" i="2" s="1"/>
  <c r="X86" i="2"/>
  <c r="Y86" i="2" s="1"/>
  <c r="AA86" i="2"/>
  <c r="AB86" i="2"/>
  <c r="AC86" i="2"/>
  <c r="AD86" i="2"/>
  <c r="AE86" i="2"/>
  <c r="AF86" i="2"/>
  <c r="AG86" i="2"/>
  <c r="AH86" i="2"/>
  <c r="AI86" i="2"/>
  <c r="AJ86" i="2"/>
  <c r="AK86" i="2"/>
  <c r="AL86" i="2"/>
  <c r="AM86" i="2"/>
  <c r="AN86" i="2"/>
  <c r="AO86" i="2" s="1"/>
  <c r="AQ86" i="2"/>
  <c r="AR86" i="2" s="1"/>
  <c r="CX86" i="2" s="1"/>
  <c r="AW86" i="2"/>
  <c r="AX86" i="2"/>
  <c r="AY86" i="2" s="1"/>
  <c r="AZ86" i="2"/>
  <c r="BA86" i="2" s="1"/>
  <c r="BB86" i="2"/>
  <c r="BD86" i="2"/>
  <c r="BE86" i="2" s="1"/>
  <c r="BF86" i="2"/>
  <c r="BH86" i="2" s="1"/>
  <c r="BG86" i="2"/>
  <c r="BI86" i="2"/>
  <c r="BJ86" i="2" s="1"/>
  <c r="BK86" i="2"/>
  <c r="BL86" i="2"/>
  <c r="BM86" i="2"/>
  <c r="BN86" i="2"/>
  <c r="BO86" i="2" s="1"/>
  <c r="BP86" i="2"/>
  <c r="BQ86" i="2"/>
  <c r="BR86" i="2"/>
  <c r="BT86" i="2"/>
  <c r="BU86" i="2"/>
  <c r="BX86" i="2"/>
  <c r="BY86" i="2" s="1"/>
  <c r="BZ86" i="2"/>
  <c r="CA86" i="2" s="1"/>
  <c r="CB86" i="2"/>
  <c r="CC86" i="2" s="1"/>
  <c r="CD86" i="2"/>
  <c r="CE86" i="2"/>
  <c r="CF86" i="2"/>
  <c r="CG86" i="2"/>
  <c r="CH86" i="2"/>
  <c r="CI86" i="2"/>
  <c r="CJ86" i="2"/>
  <c r="CK86" i="2"/>
  <c r="CL86" i="2"/>
  <c r="CM86" i="2"/>
  <c r="CN86" i="2" s="1"/>
  <c r="CO86" i="2"/>
  <c r="CP86" i="2" s="1"/>
  <c r="CQ86" i="2"/>
  <c r="CR86" i="2"/>
  <c r="CS86" i="2"/>
  <c r="CT86" i="2"/>
  <c r="CU86" i="2" s="1"/>
  <c r="CV86" i="2"/>
  <c r="CW86" i="2" s="1"/>
  <c r="CY86" i="2"/>
  <c r="CZ86" i="2"/>
  <c r="DA86" i="2"/>
  <c r="DB86" i="2" s="1"/>
  <c r="DC86" i="2"/>
  <c r="DD86" i="2" s="1"/>
  <c r="DE86" i="2"/>
  <c r="DF86" i="2" s="1"/>
  <c r="DG86" i="2"/>
  <c r="DH86" i="2"/>
  <c r="DI86" i="2"/>
  <c r="DJ86" i="2"/>
  <c r="DK86" i="2" s="1"/>
  <c r="DL86" i="2"/>
  <c r="DM86" i="2"/>
  <c r="DN86" i="2"/>
  <c r="A87" i="2"/>
  <c r="B87" i="2"/>
  <c r="C87" i="2"/>
  <c r="D87" i="2"/>
  <c r="E87" i="2"/>
  <c r="F87" i="2"/>
  <c r="G87" i="2"/>
  <c r="H87" i="2"/>
  <c r="I87" i="2"/>
  <c r="J87" i="2"/>
  <c r="L87" i="2"/>
  <c r="CD87" i="2" s="1"/>
  <c r="M87" i="2"/>
  <c r="N87" i="2"/>
  <c r="O87" i="2"/>
  <c r="P87" i="2"/>
  <c r="R87" i="2" s="1"/>
  <c r="Q87" i="2"/>
  <c r="AL87" i="2" s="1"/>
  <c r="S87" i="2"/>
  <c r="T87" i="2" s="1"/>
  <c r="U87" i="2"/>
  <c r="V87" i="2"/>
  <c r="W87" i="2" s="1"/>
  <c r="X87" i="2"/>
  <c r="Y87" i="2" s="1"/>
  <c r="Z87" i="2"/>
  <c r="AA87" i="2"/>
  <c r="AB87" i="2"/>
  <c r="AC87" i="2"/>
  <c r="AD87" i="2"/>
  <c r="AE87" i="2"/>
  <c r="AF87" i="2"/>
  <c r="AH87" i="2" s="1"/>
  <c r="AG87" i="2"/>
  <c r="AJ87" i="2"/>
  <c r="AN87" i="2"/>
  <c r="AO87" i="2" s="1"/>
  <c r="AQ87" i="2"/>
  <c r="CV87" i="2" s="1"/>
  <c r="CW87" i="2" s="1"/>
  <c r="AR87" i="2"/>
  <c r="CX87" i="2" s="1"/>
  <c r="AU87" i="2"/>
  <c r="AV87" i="2"/>
  <c r="AW87" i="2"/>
  <c r="AX87" i="2"/>
  <c r="AY87" i="2" s="1"/>
  <c r="AZ87" i="2"/>
  <c r="BA87" i="2"/>
  <c r="BD87" i="2"/>
  <c r="BE87" i="2" s="1"/>
  <c r="BF87" i="2"/>
  <c r="BG87" i="2" s="1"/>
  <c r="BH87" i="2"/>
  <c r="BI87" i="2"/>
  <c r="BJ87" i="2"/>
  <c r="BK87" i="2"/>
  <c r="BL87" i="2"/>
  <c r="BM87" i="2"/>
  <c r="BN87" i="2"/>
  <c r="BO87" i="2" s="1"/>
  <c r="BP87" i="2"/>
  <c r="BQ87" i="2"/>
  <c r="BT87" i="2"/>
  <c r="BU87" i="2"/>
  <c r="BV87" i="2"/>
  <c r="BW87" i="2" s="1"/>
  <c r="BX87" i="2"/>
  <c r="CF87" i="2" s="1"/>
  <c r="BZ87" i="2"/>
  <c r="CA87" i="2" s="1"/>
  <c r="CB87" i="2"/>
  <c r="CC87" i="2" s="1"/>
  <c r="CE87" i="2"/>
  <c r="CG87" i="2"/>
  <c r="CI87" i="2"/>
  <c r="CJ87" i="2"/>
  <c r="CK87" i="2"/>
  <c r="CM87" i="2"/>
  <c r="CN87" i="2"/>
  <c r="CO87" i="2"/>
  <c r="CP87" i="2"/>
  <c r="CQ87" i="2"/>
  <c r="CS87" i="2" s="1"/>
  <c r="CR87" i="2"/>
  <c r="CT87" i="2"/>
  <c r="CU87" i="2" s="1"/>
  <c r="DA87" i="2"/>
  <c r="DC87" i="2"/>
  <c r="DD87" i="2"/>
  <c r="DE87" i="2"/>
  <c r="DF87" i="2"/>
  <c r="DG87" i="2"/>
  <c r="DH87" i="2"/>
  <c r="DI87" i="2"/>
  <c r="DJ87" i="2"/>
  <c r="DK87" i="2" s="1"/>
  <c r="DM87" i="2"/>
  <c r="DL87" i="2" s="1"/>
  <c r="DN87" i="2"/>
  <c r="A88" i="2"/>
  <c r="B88" i="2"/>
  <c r="C88" i="2"/>
  <c r="D88" i="2"/>
  <c r="E88" i="2"/>
  <c r="F88" i="2"/>
  <c r="G88" i="2"/>
  <c r="H88" i="2"/>
  <c r="I88" i="2"/>
  <c r="J88" i="2"/>
  <c r="L88" i="2"/>
  <c r="CD88" i="2" s="1"/>
  <c r="M88" i="2"/>
  <c r="N88" i="2" s="1"/>
  <c r="O88" i="2"/>
  <c r="P88" i="2"/>
  <c r="R88" i="2" s="1"/>
  <c r="Q88" i="2"/>
  <c r="S88" i="2"/>
  <c r="T88" i="2"/>
  <c r="V88" i="2"/>
  <c r="W88" i="2" s="1"/>
  <c r="X88" i="2"/>
  <c r="Y88" i="2" s="1"/>
  <c r="Z88" i="2"/>
  <c r="AA88" i="2"/>
  <c r="AB88" i="2"/>
  <c r="AC88" i="2"/>
  <c r="AD88" i="2"/>
  <c r="AE88" i="2"/>
  <c r="AF88" i="2"/>
  <c r="AH88" i="2" s="1"/>
  <c r="AG88" i="2"/>
  <c r="AJ88" i="2"/>
  <c r="AL88" i="2"/>
  <c r="AM88" i="2"/>
  <c r="AN88" i="2"/>
  <c r="AV88" i="2" s="1"/>
  <c r="AQ88" i="2"/>
  <c r="CT88" i="2" s="1"/>
  <c r="CU88" i="2" s="1"/>
  <c r="AR88" i="2"/>
  <c r="AU88" i="2"/>
  <c r="AW88" i="2"/>
  <c r="AX88" i="2"/>
  <c r="AY88" i="2" s="1"/>
  <c r="AZ88" i="2"/>
  <c r="BA88" i="2" s="1"/>
  <c r="BD88" i="2"/>
  <c r="BE88" i="2" s="1"/>
  <c r="BF88" i="2"/>
  <c r="BH88" i="2" s="1"/>
  <c r="BI88" i="2"/>
  <c r="BJ88" i="2" s="1"/>
  <c r="BK88" i="2"/>
  <c r="BL88" i="2" s="1"/>
  <c r="BM88" i="2"/>
  <c r="BN88" i="2"/>
  <c r="BO88" i="2" s="1"/>
  <c r="BC88" i="2" s="1"/>
  <c r="BP88" i="2"/>
  <c r="BQ88" i="2"/>
  <c r="BR88" i="2"/>
  <c r="BS88" i="2"/>
  <c r="BT88" i="2"/>
  <c r="BU88" i="2"/>
  <c r="BV88" i="2"/>
  <c r="BW88" i="2" s="1"/>
  <c r="BX88" i="2"/>
  <c r="BY88" i="2" s="1"/>
  <c r="BZ88" i="2"/>
  <c r="CA88" i="2"/>
  <c r="CB88" i="2"/>
  <c r="CC88" i="2" s="1"/>
  <c r="CE88" i="2"/>
  <c r="CG88" i="2"/>
  <c r="CI88" i="2"/>
  <c r="CJ88" i="2"/>
  <c r="CK88" i="2"/>
  <c r="CL88" i="2"/>
  <c r="CM88" i="2"/>
  <c r="CN88" i="2"/>
  <c r="CO88" i="2"/>
  <c r="CP88" i="2" s="1"/>
  <c r="CQ88" i="2"/>
  <c r="CR88" i="2" s="1"/>
  <c r="CY88" i="2"/>
  <c r="CZ88" i="2"/>
  <c r="DA88" i="2"/>
  <c r="DB88" i="2"/>
  <c r="DC88" i="2"/>
  <c r="DD88" i="2"/>
  <c r="DE88" i="2"/>
  <c r="DF88" i="2" s="1"/>
  <c r="DG88" i="2"/>
  <c r="DH88" i="2" s="1"/>
  <c r="DI88" i="2"/>
  <c r="DJ88" i="2"/>
  <c r="DK88" i="2" s="1"/>
  <c r="DM88" i="2"/>
  <c r="DN88" i="2"/>
  <c r="A89" i="2"/>
  <c r="B89" i="2"/>
  <c r="C89" i="2"/>
  <c r="D89" i="2"/>
  <c r="E89" i="2"/>
  <c r="F89" i="2"/>
  <c r="G89" i="2"/>
  <c r="H89" i="2"/>
  <c r="I89" i="2"/>
  <c r="J89" i="2"/>
  <c r="L89" i="2"/>
  <c r="M89" i="2"/>
  <c r="N89" i="2"/>
  <c r="O89" i="2"/>
  <c r="P89" i="2"/>
  <c r="AM89" i="2" s="1"/>
  <c r="Q89" i="2"/>
  <c r="AL89" i="2" s="1"/>
  <c r="R89" i="2"/>
  <c r="S89" i="2"/>
  <c r="U89" i="2" s="1"/>
  <c r="T89" i="2"/>
  <c r="V89" i="2"/>
  <c r="W89" i="2" s="1"/>
  <c r="X89" i="2"/>
  <c r="Y89" i="2"/>
  <c r="AA89" i="2"/>
  <c r="AB89" i="2"/>
  <c r="AC89" i="2"/>
  <c r="AD89" i="2"/>
  <c r="AE89" i="2"/>
  <c r="AF89" i="2"/>
  <c r="AI89" i="2" s="1"/>
  <c r="CH89" i="2" s="1"/>
  <c r="AG89" i="2"/>
  <c r="AH89" i="2"/>
  <c r="AJ89" i="2"/>
  <c r="AN89" i="2"/>
  <c r="AO89" i="2"/>
  <c r="AP89" i="2" s="1"/>
  <c r="AQ89" i="2"/>
  <c r="AR89" i="2" s="1"/>
  <c r="CX89" i="2" s="1"/>
  <c r="AU89" i="2"/>
  <c r="AV89" i="2"/>
  <c r="AW89" i="2"/>
  <c r="AX89" i="2"/>
  <c r="AY89" i="2" s="1"/>
  <c r="AZ89" i="2"/>
  <c r="BA89" i="2" s="1"/>
  <c r="BD89" i="2"/>
  <c r="BE89" i="2"/>
  <c r="BF89" i="2"/>
  <c r="BG89" i="2" s="1"/>
  <c r="BI89" i="2"/>
  <c r="BJ89" i="2"/>
  <c r="BK89" i="2"/>
  <c r="BL89" i="2"/>
  <c r="BM89" i="2"/>
  <c r="BN89" i="2"/>
  <c r="BB89" i="2" s="1"/>
  <c r="BP89" i="2"/>
  <c r="BQ89" i="2"/>
  <c r="BR89" i="2"/>
  <c r="BS89" i="2"/>
  <c r="BT89" i="2"/>
  <c r="BU89" i="2"/>
  <c r="BV89" i="2"/>
  <c r="BW89" i="2" s="1"/>
  <c r="BX89" i="2"/>
  <c r="BY89" i="2" s="1"/>
  <c r="BZ89" i="2"/>
  <c r="CA89" i="2"/>
  <c r="CB89" i="2"/>
  <c r="CC89" i="2" s="1"/>
  <c r="CD89" i="2"/>
  <c r="CE89" i="2"/>
  <c r="CF89" i="2"/>
  <c r="CG89" i="2"/>
  <c r="CI89" i="2"/>
  <c r="CJ89" i="2"/>
  <c r="CK89" i="2"/>
  <c r="CL89" i="2"/>
  <c r="CM89" i="2"/>
  <c r="CN89" i="2" s="1"/>
  <c r="CO89" i="2"/>
  <c r="CP89" i="2"/>
  <c r="CQ89" i="2"/>
  <c r="CR89" i="2"/>
  <c r="CS89" i="2"/>
  <c r="CT89" i="2"/>
  <c r="CU89" i="2" s="1"/>
  <c r="CV89" i="2"/>
  <c r="CW89" i="2" s="1"/>
  <c r="CY89" i="2"/>
  <c r="CZ89" i="2"/>
  <c r="DA89" i="2"/>
  <c r="DB89" i="2" s="1"/>
  <c r="DC89" i="2"/>
  <c r="DD89" i="2" s="1"/>
  <c r="DE89" i="2"/>
  <c r="DF89" i="2"/>
  <c r="DG89" i="2"/>
  <c r="DH89" i="2"/>
  <c r="DI89" i="2"/>
  <c r="DJ89" i="2"/>
  <c r="DK89" i="2" s="1"/>
  <c r="DL89" i="2"/>
  <c r="DM89" i="2"/>
  <c r="DN89" i="2"/>
  <c r="A90" i="2"/>
  <c r="B90" i="2"/>
  <c r="C90" i="2"/>
  <c r="D90" i="2"/>
  <c r="E90" i="2"/>
  <c r="F90" i="2"/>
  <c r="G90" i="2"/>
  <c r="H90" i="2"/>
  <c r="I90" i="2"/>
  <c r="J90" i="2"/>
  <c r="L90" i="2"/>
  <c r="BL90" i="2" s="1"/>
  <c r="M90" i="2"/>
  <c r="N90" i="2"/>
  <c r="O90" i="2"/>
  <c r="P90" i="2"/>
  <c r="R90" i="2" s="1"/>
  <c r="Q90" i="2"/>
  <c r="AL90" i="2" s="1"/>
  <c r="S90" i="2"/>
  <c r="T90" i="2" s="1"/>
  <c r="V90" i="2"/>
  <c r="W90" i="2" s="1"/>
  <c r="X90" i="2"/>
  <c r="Z90" i="2"/>
  <c r="AA90" i="2"/>
  <c r="AB90" i="2"/>
  <c r="AC90" i="2"/>
  <c r="AD90" i="2"/>
  <c r="AE90" i="2"/>
  <c r="AF90" i="2"/>
  <c r="AH90" i="2" s="1"/>
  <c r="AG90" i="2"/>
  <c r="AI90" i="2"/>
  <c r="CH90" i="2" s="1"/>
  <c r="AJ90" i="2"/>
  <c r="AN90" i="2"/>
  <c r="AO90" i="2"/>
  <c r="AQ90" i="2"/>
  <c r="CT90" i="2" s="1"/>
  <c r="CU90" i="2" s="1"/>
  <c r="AR90" i="2"/>
  <c r="CX90" i="2" s="1"/>
  <c r="AV90" i="2"/>
  <c r="AW90" i="2"/>
  <c r="AX90" i="2"/>
  <c r="AY90" i="2"/>
  <c r="AZ90" i="2"/>
  <c r="BA90" i="2" s="1"/>
  <c r="BD90" i="2"/>
  <c r="BF90" i="2"/>
  <c r="BG90" i="2" s="1"/>
  <c r="BH90" i="2"/>
  <c r="BI90" i="2"/>
  <c r="BJ90" i="2"/>
  <c r="BK90" i="2"/>
  <c r="BM90" i="2"/>
  <c r="BN90" i="2"/>
  <c r="BB90" i="2" s="1"/>
  <c r="BP90" i="2"/>
  <c r="BQ90" i="2"/>
  <c r="BT90" i="2"/>
  <c r="BU90" i="2"/>
  <c r="BV90" i="2"/>
  <c r="BW90" i="2" s="1"/>
  <c r="BX90" i="2"/>
  <c r="CF90" i="2" s="1"/>
  <c r="BZ90" i="2"/>
  <c r="CA90" i="2" s="1"/>
  <c r="CB90" i="2"/>
  <c r="CC90" i="2" s="1"/>
  <c r="CE90" i="2"/>
  <c r="CG90" i="2"/>
  <c r="CI90" i="2"/>
  <c r="CJ90" i="2"/>
  <c r="CK90" i="2"/>
  <c r="CM90" i="2"/>
  <c r="CN90" i="2"/>
  <c r="CO90" i="2"/>
  <c r="CP90" i="2"/>
  <c r="CQ90" i="2"/>
  <c r="CS90" i="2" s="1"/>
  <c r="DA90" i="2"/>
  <c r="DC90" i="2"/>
  <c r="DD90" i="2"/>
  <c r="DE90" i="2"/>
  <c r="DF90" i="2"/>
  <c r="DG90" i="2"/>
  <c r="DI90" i="2"/>
  <c r="DJ90" i="2"/>
  <c r="DM90" i="2"/>
  <c r="DN90" i="2"/>
  <c r="A91" i="2"/>
  <c r="B91" i="2"/>
  <c r="C91" i="2"/>
  <c r="D91" i="2"/>
  <c r="E91" i="2"/>
  <c r="F91" i="2"/>
  <c r="G91" i="2"/>
  <c r="H91" i="2"/>
  <c r="I91" i="2"/>
  <c r="J91" i="2"/>
  <c r="L91" i="2"/>
  <c r="CC91" i="2" s="1"/>
  <c r="M91" i="2"/>
  <c r="N91" i="2" s="1"/>
  <c r="O91" i="2"/>
  <c r="P91" i="2"/>
  <c r="Q91" i="2"/>
  <c r="R91" i="2"/>
  <c r="S91" i="2"/>
  <c r="T91" i="2"/>
  <c r="U91" i="2"/>
  <c r="V91" i="2"/>
  <c r="W91" i="2" s="1"/>
  <c r="X91" i="2"/>
  <c r="Z91" i="2" s="1"/>
  <c r="AA91" i="2"/>
  <c r="AB91" i="2"/>
  <c r="AC91" i="2"/>
  <c r="AD91" i="2"/>
  <c r="AE91" i="2"/>
  <c r="AF91" i="2"/>
  <c r="AG91" i="2"/>
  <c r="AH91" i="2"/>
  <c r="AI91" i="2"/>
  <c r="AJ91" i="2"/>
  <c r="AK91" i="2"/>
  <c r="AL91" i="2"/>
  <c r="AM91" i="2"/>
  <c r="AN91" i="2"/>
  <c r="BV91" i="2" s="1"/>
  <c r="BW91" i="2" s="1"/>
  <c r="AQ91" i="2"/>
  <c r="AR91" i="2" s="1"/>
  <c r="CX91" i="2" s="1"/>
  <c r="AU91" i="2"/>
  <c r="AW91" i="2"/>
  <c r="AX91" i="2"/>
  <c r="AY91" i="2"/>
  <c r="AZ91" i="2"/>
  <c r="BA91" i="2" s="1"/>
  <c r="BB91" i="2"/>
  <c r="BD91" i="2"/>
  <c r="BE91" i="2" s="1"/>
  <c r="BF91" i="2"/>
  <c r="BG91" i="2" s="1"/>
  <c r="BI91" i="2"/>
  <c r="BJ91" i="2" s="1"/>
  <c r="BK91" i="2"/>
  <c r="BL91" i="2" s="1"/>
  <c r="BC91" i="2" s="1"/>
  <c r="BM91" i="2"/>
  <c r="BN91" i="2"/>
  <c r="BO91" i="2"/>
  <c r="BP91" i="2"/>
  <c r="BQ91" i="2"/>
  <c r="BR91" i="2"/>
  <c r="BS91" i="2"/>
  <c r="BT91" i="2"/>
  <c r="BU91" i="2"/>
  <c r="BX91" i="2"/>
  <c r="BY91" i="2"/>
  <c r="BZ91" i="2"/>
  <c r="CA91" i="2"/>
  <c r="CB91" i="2"/>
  <c r="CD91" i="2"/>
  <c r="CE91" i="2"/>
  <c r="CF91" i="2"/>
  <c r="CG91" i="2"/>
  <c r="CH91" i="2"/>
  <c r="CI91" i="2"/>
  <c r="CJ91" i="2"/>
  <c r="CK91" i="2"/>
  <c r="CL91" i="2"/>
  <c r="CM91" i="2"/>
  <c r="CN91" i="2" s="1"/>
  <c r="CO91" i="2"/>
  <c r="CP91" i="2" s="1"/>
  <c r="CQ91" i="2"/>
  <c r="CR91" i="2" s="1"/>
  <c r="CT91" i="2"/>
  <c r="CU91" i="2"/>
  <c r="CV91" i="2"/>
  <c r="CW91" i="2" s="1"/>
  <c r="CY91" i="2"/>
  <c r="CZ91" i="2"/>
  <c r="DA91" i="2"/>
  <c r="DB91" i="2"/>
  <c r="DC91" i="2"/>
  <c r="DD91" i="2" s="1"/>
  <c r="DE91" i="2"/>
  <c r="DF91" i="2" s="1"/>
  <c r="DG91" i="2"/>
  <c r="DH91" i="2" s="1"/>
  <c r="DI91" i="2"/>
  <c r="DJ91" i="2"/>
  <c r="DK91" i="2"/>
  <c r="DL91" i="2"/>
  <c r="DM91" i="2"/>
  <c r="DN91" i="2"/>
  <c r="A92" i="2"/>
  <c r="B92" i="2"/>
  <c r="C92" i="2"/>
  <c r="D92" i="2"/>
  <c r="E92" i="2"/>
  <c r="F92" i="2"/>
  <c r="G92" i="2"/>
  <c r="H92" i="2"/>
  <c r="I92" i="2"/>
  <c r="J92" i="2"/>
  <c r="L92" i="2"/>
  <c r="CZ92" i="2" s="1"/>
  <c r="M92" i="2"/>
  <c r="N92" i="2"/>
  <c r="O92" i="2"/>
  <c r="P92" i="2"/>
  <c r="AK92" i="2" s="1"/>
  <c r="Q92" i="2"/>
  <c r="AL92" i="2" s="1"/>
  <c r="R92" i="2"/>
  <c r="S92" i="2"/>
  <c r="U92" i="2" s="1"/>
  <c r="T92" i="2"/>
  <c r="V92" i="2"/>
  <c r="W92" i="2"/>
  <c r="X92" i="2"/>
  <c r="Z92" i="2" s="1"/>
  <c r="Y92" i="2"/>
  <c r="AA92" i="2"/>
  <c r="AB92" i="2"/>
  <c r="AC92" i="2"/>
  <c r="AD92" i="2"/>
  <c r="AE92" i="2"/>
  <c r="AF92" i="2"/>
  <c r="AI92" i="2" s="1"/>
  <c r="CH92" i="2" s="1"/>
  <c r="AG92" i="2"/>
  <c r="AH92" i="2"/>
  <c r="AJ92" i="2"/>
  <c r="AM92" i="2"/>
  <c r="AN92" i="2"/>
  <c r="BV92" i="2" s="1"/>
  <c r="BW92" i="2" s="1"/>
  <c r="AO92" i="2"/>
  <c r="AP92" i="2" s="1"/>
  <c r="AQ92" i="2"/>
  <c r="AR92" i="2"/>
  <c r="CX92" i="2" s="1"/>
  <c r="AS92" i="2"/>
  <c r="AT92" i="2"/>
  <c r="AU92" i="2"/>
  <c r="AV92" i="2"/>
  <c r="AW92" i="2"/>
  <c r="AX92" i="2"/>
  <c r="AY92" i="2" s="1"/>
  <c r="AZ92" i="2"/>
  <c r="BA92" i="2" s="1"/>
  <c r="BD92" i="2"/>
  <c r="BE92" i="2"/>
  <c r="BF92" i="2"/>
  <c r="BH92" i="2"/>
  <c r="BI92" i="2"/>
  <c r="BJ92" i="2"/>
  <c r="BK92" i="2"/>
  <c r="BL92" i="2"/>
  <c r="BM92" i="2"/>
  <c r="BN92" i="2"/>
  <c r="BB92" i="2" s="1"/>
  <c r="BP92" i="2"/>
  <c r="BQ92" i="2"/>
  <c r="BR92" i="2"/>
  <c r="BS92" i="2"/>
  <c r="BT92" i="2"/>
  <c r="BU92" i="2"/>
  <c r="BX92" i="2"/>
  <c r="BY92" i="2"/>
  <c r="BZ92" i="2"/>
  <c r="CA92" i="2"/>
  <c r="CB92" i="2"/>
  <c r="CC92" i="2" s="1"/>
  <c r="CD92" i="2"/>
  <c r="CE92" i="2"/>
  <c r="CF92" i="2"/>
  <c r="CG92" i="2"/>
  <c r="CI92" i="2"/>
  <c r="CJ92" i="2"/>
  <c r="CK92" i="2"/>
  <c r="CM92" i="2"/>
  <c r="CN92" i="2"/>
  <c r="CO92" i="2"/>
  <c r="CP92" i="2"/>
  <c r="CQ92" i="2"/>
  <c r="CS92" i="2" s="1"/>
  <c r="CR92" i="2"/>
  <c r="CT92" i="2"/>
  <c r="CU92" i="2" s="1"/>
  <c r="CV92" i="2"/>
  <c r="CW92" i="2" s="1"/>
  <c r="CY92" i="2"/>
  <c r="DA92" i="2"/>
  <c r="DB92" i="2" s="1"/>
  <c r="DC92" i="2"/>
  <c r="DD92" i="2"/>
  <c r="DE92" i="2"/>
  <c r="DF92" i="2"/>
  <c r="DG92" i="2"/>
  <c r="DH92" i="2"/>
  <c r="DI92" i="2"/>
  <c r="DJ92" i="2"/>
  <c r="DK92" i="2" s="1"/>
  <c r="DL92" i="2"/>
  <c r="DM92" i="2"/>
  <c r="DN92" i="2"/>
  <c r="B5" i="17"/>
  <c r="C5" i="17"/>
  <c r="D5" i="17"/>
  <c r="E5" i="17"/>
  <c r="F5" i="17"/>
  <c r="G5" i="17"/>
  <c r="H5" i="17"/>
  <c r="I5" i="17"/>
  <c r="J5" i="17"/>
  <c r="L5" i="17"/>
  <c r="M5" i="17"/>
  <c r="N5" i="17" s="1"/>
  <c r="P5" i="17"/>
  <c r="Q5" i="17"/>
  <c r="X5" i="17"/>
  <c r="Y5" i="17" s="1"/>
  <c r="Z5" i="17"/>
  <c r="AA5" i="17" s="1"/>
  <c r="AC5" i="17"/>
  <c r="AE5" i="17"/>
  <c r="AH5" i="17"/>
  <c r="AK5" i="17"/>
  <c r="AO5" i="17"/>
  <c r="AQ5" i="17"/>
  <c r="AS5" i="17"/>
  <c r="AU5" i="17"/>
  <c r="BB5" i="17"/>
  <c r="BC5" i="17"/>
  <c r="BD5" i="17"/>
  <c r="BE5" i="17"/>
  <c r="BP5" i="17"/>
  <c r="BI5" i="17" s="1"/>
  <c r="BR5" i="17"/>
  <c r="BK5" i="17" s="1"/>
  <c r="BT5" i="17"/>
  <c r="BU5" i="17"/>
  <c r="BV5" i="17"/>
  <c r="BX5" i="17"/>
  <c r="CA5" i="17"/>
  <c r="CC5" i="17"/>
  <c r="CD5" i="17"/>
  <c r="CF5" i="17"/>
  <c r="CH5" i="17"/>
  <c r="CK5" i="17"/>
  <c r="CL5" i="17"/>
  <c r="CN5" i="17"/>
  <c r="CO5" i="17"/>
  <c r="CP5" i="17"/>
  <c r="CQ5" i="17"/>
  <c r="CT5" i="17"/>
  <c r="B7" i="17"/>
  <c r="C7" i="17"/>
  <c r="D7" i="17"/>
  <c r="E7" i="17"/>
  <c r="F7" i="17"/>
  <c r="G7" i="17"/>
  <c r="H7" i="17"/>
  <c r="I7" i="17"/>
  <c r="J7" i="17"/>
  <c r="L7" i="17"/>
  <c r="M7" i="17"/>
  <c r="N7" i="17" s="1"/>
  <c r="P7" i="17"/>
  <c r="Q7" i="17"/>
  <c r="X7" i="17"/>
  <c r="Z7" i="17"/>
  <c r="AC7" i="17"/>
  <c r="AE7" i="17"/>
  <c r="AH7" i="17"/>
  <c r="AK7" i="17"/>
  <c r="AO7" i="17"/>
  <c r="AQ7" i="17"/>
  <c r="AS7" i="17"/>
  <c r="AU7" i="17"/>
  <c r="BB7" i="17"/>
  <c r="BC7" i="17"/>
  <c r="BD7" i="17"/>
  <c r="BE7" i="17"/>
  <c r="BP7" i="17"/>
  <c r="BI7" i="17" s="1"/>
  <c r="BR7" i="17"/>
  <c r="BK7" i="17" s="1"/>
  <c r="BT7" i="17"/>
  <c r="BU7" i="17"/>
  <c r="BV7" i="17"/>
  <c r="BX7" i="17"/>
  <c r="CA7" i="17"/>
  <c r="BZ7" i="17" s="1"/>
  <c r="CC7" i="17"/>
  <c r="CD7" i="17"/>
  <c r="CF7" i="17"/>
  <c r="CH7" i="17"/>
  <c r="CK7" i="17"/>
  <c r="CL7" i="17"/>
  <c r="CN7" i="17"/>
  <c r="CO7" i="17"/>
  <c r="CP7" i="17"/>
  <c r="CQ7" i="17"/>
  <c r="CT7" i="17"/>
  <c r="A2" i="17"/>
  <c r="A3" i="17"/>
  <c r="A4" i="17"/>
  <c r="A5" i="17"/>
  <c r="A6" i="17"/>
  <c r="A7" i="17"/>
  <c r="B3" i="17"/>
  <c r="C3" i="17"/>
  <c r="D3" i="17"/>
  <c r="E3" i="17"/>
  <c r="F3" i="17"/>
  <c r="G3" i="17"/>
  <c r="H3" i="17"/>
  <c r="I3" i="17"/>
  <c r="J3" i="17"/>
  <c r="L3" i="17"/>
  <c r="M3" i="17"/>
  <c r="N3" i="17" s="1"/>
  <c r="P3" i="17"/>
  <c r="Q3" i="17"/>
  <c r="X3" i="17"/>
  <c r="Z3" i="17"/>
  <c r="AC3" i="17"/>
  <c r="AE3" i="17"/>
  <c r="AH3" i="17"/>
  <c r="AK3" i="17"/>
  <c r="AO3" i="17"/>
  <c r="AQ3" i="17"/>
  <c r="AG3" i="17" s="1"/>
  <c r="AS3" i="17"/>
  <c r="AU3" i="17"/>
  <c r="BB3" i="17"/>
  <c r="BC3" i="17"/>
  <c r="BD3" i="17"/>
  <c r="BE3" i="17"/>
  <c r="BP3" i="17"/>
  <c r="BI3" i="17" s="1"/>
  <c r="BR3" i="17"/>
  <c r="BK3" i="17" s="1"/>
  <c r="BT3" i="17"/>
  <c r="BU3" i="17"/>
  <c r="BV3" i="17"/>
  <c r="BX3" i="17"/>
  <c r="CA3" i="17"/>
  <c r="CC3" i="17"/>
  <c r="CD3" i="17"/>
  <c r="CF3" i="17"/>
  <c r="CH3" i="17"/>
  <c r="CK3" i="17"/>
  <c r="CL3" i="17"/>
  <c r="CN3" i="17"/>
  <c r="CO3" i="17"/>
  <c r="CP3" i="17"/>
  <c r="CQ3" i="17"/>
  <c r="CT3" i="17"/>
  <c r="A8" i="17"/>
  <c r="B8" i="17"/>
  <c r="C8" i="17"/>
  <c r="D8" i="17"/>
  <c r="E8" i="17"/>
  <c r="F8" i="17"/>
  <c r="G8" i="17"/>
  <c r="H8" i="17"/>
  <c r="I8" i="17"/>
  <c r="J8" i="17"/>
  <c r="L8" i="17"/>
  <c r="M8" i="17"/>
  <c r="N8" i="17" s="1"/>
  <c r="P8" i="17"/>
  <c r="Q8" i="17"/>
  <c r="X8" i="17"/>
  <c r="Z8" i="17"/>
  <c r="AC8" i="17"/>
  <c r="AE8" i="17"/>
  <c r="AH8" i="17"/>
  <c r="AK8" i="17"/>
  <c r="AO8" i="17"/>
  <c r="AQ8" i="17"/>
  <c r="AS8" i="17"/>
  <c r="AU8" i="17"/>
  <c r="BB8" i="17"/>
  <c r="BC8" i="17"/>
  <c r="BD8" i="17"/>
  <c r="BE8" i="17"/>
  <c r="BO8" i="17" s="1"/>
  <c r="BP8" i="17"/>
  <c r="BI8" i="17" s="1"/>
  <c r="BR8" i="17"/>
  <c r="BK8" i="17" s="1"/>
  <c r="BT8" i="17"/>
  <c r="BU8" i="17"/>
  <c r="BV8" i="17"/>
  <c r="BX8" i="17"/>
  <c r="CA8" i="17"/>
  <c r="CC8" i="17"/>
  <c r="CD8" i="17"/>
  <c r="CF8" i="17"/>
  <c r="CH8" i="17"/>
  <c r="CK8" i="17"/>
  <c r="CL8" i="17"/>
  <c r="CN8" i="17"/>
  <c r="CO8" i="17"/>
  <c r="CP8" i="17"/>
  <c r="CQ8" i="17"/>
  <c r="CT8" i="17"/>
  <c r="A9" i="17"/>
  <c r="A10" i="17"/>
  <c r="B4" i="17"/>
  <c r="C4" i="17"/>
  <c r="D4" i="17"/>
  <c r="E4" i="17"/>
  <c r="F4" i="17"/>
  <c r="G4" i="17"/>
  <c r="H4" i="17"/>
  <c r="I4" i="17"/>
  <c r="J4" i="17"/>
  <c r="L4" i="17"/>
  <c r="M4" i="17"/>
  <c r="N4" i="17" s="1"/>
  <c r="P4" i="17"/>
  <c r="Q4" i="17"/>
  <c r="X4" i="17"/>
  <c r="Z4" i="17"/>
  <c r="AC4" i="17"/>
  <c r="AE4" i="17"/>
  <c r="AH4" i="17"/>
  <c r="AK4" i="17"/>
  <c r="AO4" i="17"/>
  <c r="AQ4" i="17"/>
  <c r="AS4" i="17"/>
  <c r="AU4" i="17"/>
  <c r="BB4" i="17"/>
  <c r="BC4" i="17"/>
  <c r="BD4" i="17"/>
  <c r="BE4" i="17"/>
  <c r="BP4" i="17"/>
  <c r="BI4" i="17" s="1"/>
  <c r="BR4" i="17"/>
  <c r="BK4" i="17" s="1"/>
  <c r="BT4" i="17"/>
  <c r="BU4" i="17"/>
  <c r="BV4" i="17"/>
  <c r="BX4" i="17"/>
  <c r="CA4" i="17"/>
  <c r="CC4" i="17"/>
  <c r="CD4" i="17"/>
  <c r="CF4" i="17"/>
  <c r="CH4" i="17"/>
  <c r="CK4" i="17"/>
  <c r="CL4" i="17"/>
  <c r="CN4" i="17"/>
  <c r="CO4" i="17"/>
  <c r="CP4" i="17"/>
  <c r="CQ4" i="17"/>
  <c r="CT4" i="17"/>
  <c r="A11" i="17"/>
  <c r="A11" i="2"/>
  <c r="B5" i="2"/>
  <c r="C5" i="2"/>
  <c r="D5" i="2"/>
  <c r="E5" i="2"/>
  <c r="F5" i="2"/>
  <c r="G5" i="2"/>
  <c r="H5" i="2"/>
  <c r="I5" i="2"/>
  <c r="J5" i="2"/>
  <c r="L5" i="2"/>
  <c r="CL5" i="2" s="1"/>
  <c r="M5" i="2"/>
  <c r="N5" i="2" s="1"/>
  <c r="O5" i="2"/>
  <c r="P5" i="2"/>
  <c r="Q5" i="2"/>
  <c r="AL5" i="2" s="1"/>
  <c r="S5" i="2"/>
  <c r="T5" i="2" s="1"/>
  <c r="V5" i="2"/>
  <c r="X5" i="2"/>
  <c r="AA5" i="2"/>
  <c r="AB5" i="2"/>
  <c r="AC5" i="2"/>
  <c r="AD5" i="2"/>
  <c r="AE5" i="2"/>
  <c r="AF5" i="2"/>
  <c r="AG5" i="2"/>
  <c r="AJ5" i="2"/>
  <c r="AN5" i="2"/>
  <c r="AV5" i="2" s="1"/>
  <c r="AQ5" i="2"/>
  <c r="AU5" i="2" s="1"/>
  <c r="AW5" i="2"/>
  <c r="AX5" i="2"/>
  <c r="AZ5" i="2"/>
  <c r="BD5" i="2"/>
  <c r="BE5" i="2" s="1"/>
  <c r="BF5" i="2"/>
  <c r="BI5" i="2"/>
  <c r="BK5" i="2"/>
  <c r="BM5" i="2"/>
  <c r="BN5" i="2"/>
  <c r="BP5" i="2"/>
  <c r="BQ5" i="2"/>
  <c r="BT5" i="2"/>
  <c r="BU5" i="2"/>
  <c r="BX5" i="2"/>
  <c r="CF5" i="2" s="1"/>
  <c r="BZ5" i="2"/>
  <c r="CB5" i="2"/>
  <c r="CE5" i="2"/>
  <c r="CG5" i="2"/>
  <c r="CI5" i="2"/>
  <c r="CJ5" i="2"/>
  <c r="CK5" i="2"/>
  <c r="CM5" i="2"/>
  <c r="CN5" i="2" s="1"/>
  <c r="CO5" i="2"/>
  <c r="CP5" i="2" s="1"/>
  <c r="CQ5" i="2"/>
  <c r="CY5" i="2"/>
  <c r="DA5" i="2"/>
  <c r="DC5" i="2"/>
  <c r="DD5" i="2" s="1"/>
  <c r="DE5" i="2"/>
  <c r="DG5" i="2"/>
  <c r="DI5" i="2"/>
  <c r="DJ5" i="2"/>
  <c r="DK5" i="2" s="1"/>
  <c r="DM5" i="2"/>
  <c r="DN5" i="2"/>
  <c r="B2" i="2"/>
  <c r="C2" i="2"/>
  <c r="D2" i="2"/>
  <c r="E2" i="2"/>
  <c r="F2" i="2"/>
  <c r="G2" i="2"/>
  <c r="H2" i="2"/>
  <c r="I2" i="2"/>
  <c r="J2" i="2"/>
  <c r="L2" i="2"/>
  <c r="M2" i="2"/>
  <c r="N2" i="2" s="1"/>
  <c r="O2" i="2"/>
  <c r="P2" i="2"/>
  <c r="Q2" i="2"/>
  <c r="S2" i="2"/>
  <c r="V2" i="2"/>
  <c r="X2" i="2"/>
  <c r="AA2" i="2"/>
  <c r="AB2" i="2"/>
  <c r="AC2" i="2"/>
  <c r="AD2" i="2"/>
  <c r="AE2" i="2"/>
  <c r="AF2" i="2"/>
  <c r="AI2" i="2" s="1"/>
  <c r="AG2" i="2"/>
  <c r="AJ2" i="2"/>
  <c r="AN2" i="2"/>
  <c r="AV2" i="2" s="1"/>
  <c r="AQ2" i="2"/>
  <c r="AU2" i="2" s="1"/>
  <c r="AW2" i="2"/>
  <c r="AX2" i="2"/>
  <c r="AZ2" i="2"/>
  <c r="BD2" i="2"/>
  <c r="BF2" i="2"/>
  <c r="BI2" i="2"/>
  <c r="BK2" i="2"/>
  <c r="BM2" i="2"/>
  <c r="BN2" i="2"/>
  <c r="BP2" i="2"/>
  <c r="BQ2" i="2"/>
  <c r="BT2" i="2"/>
  <c r="BU2" i="2"/>
  <c r="BX2" i="2"/>
  <c r="CF2" i="2" s="1"/>
  <c r="BZ2" i="2"/>
  <c r="CB2" i="2"/>
  <c r="CE2" i="2"/>
  <c r="CG2" i="2"/>
  <c r="CI2" i="2"/>
  <c r="CJ2" i="2"/>
  <c r="CK2" i="2"/>
  <c r="CM2" i="2"/>
  <c r="CO2" i="2"/>
  <c r="CQ2" i="2"/>
  <c r="DA2" i="2"/>
  <c r="DC2" i="2"/>
  <c r="DE2" i="2"/>
  <c r="DG2" i="2"/>
  <c r="DI2" i="2"/>
  <c r="DJ2" i="2"/>
  <c r="DM2" i="2"/>
  <c r="DN2" i="2"/>
  <c r="B3" i="2"/>
  <c r="C3" i="2"/>
  <c r="D3" i="2"/>
  <c r="E3" i="2"/>
  <c r="F3" i="2"/>
  <c r="G3" i="2"/>
  <c r="H3" i="2"/>
  <c r="I3" i="2"/>
  <c r="J3" i="2"/>
  <c r="L3" i="2"/>
  <c r="M3" i="2"/>
  <c r="N3" i="2" s="1"/>
  <c r="O3" i="2"/>
  <c r="P3" i="2"/>
  <c r="Q3" i="2"/>
  <c r="S3" i="2"/>
  <c r="T3" i="2" s="1"/>
  <c r="V3" i="2"/>
  <c r="X3" i="2"/>
  <c r="AA3" i="2"/>
  <c r="AB3" i="2"/>
  <c r="AC3" i="2"/>
  <c r="AD3" i="2"/>
  <c r="AE3" i="2"/>
  <c r="AF3" i="2"/>
  <c r="AI3" i="2" s="1"/>
  <c r="AG3" i="2"/>
  <c r="AJ3" i="2"/>
  <c r="AN3" i="2"/>
  <c r="AQ3" i="2"/>
  <c r="CV3" i="2" s="1"/>
  <c r="AW3" i="2"/>
  <c r="AX3" i="2"/>
  <c r="AZ3" i="2"/>
  <c r="BD3" i="2"/>
  <c r="BF3" i="2"/>
  <c r="BI3" i="2"/>
  <c r="BK3" i="2"/>
  <c r="BM3" i="2"/>
  <c r="BN3" i="2"/>
  <c r="BP3" i="2"/>
  <c r="BQ3" i="2"/>
  <c r="BT3" i="2"/>
  <c r="BU3" i="2"/>
  <c r="BX3" i="2"/>
  <c r="CF3" i="2" s="1"/>
  <c r="BZ3" i="2"/>
  <c r="CB3" i="2"/>
  <c r="CE3" i="2"/>
  <c r="CG3" i="2"/>
  <c r="CI3" i="2"/>
  <c r="CJ3" i="2"/>
  <c r="CK3" i="2"/>
  <c r="CM3" i="2"/>
  <c r="CO3" i="2"/>
  <c r="CQ3" i="2"/>
  <c r="DA3" i="2"/>
  <c r="DC3" i="2"/>
  <c r="DE3" i="2"/>
  <c r="DG3" i="2"/>
  <c r="DI3" i="2"/>
  <c r="DJ3" i="2"/>
  <c r="DM3" i="2"/>
  <c r="DN3" i="2"/>
  <c r="B10" i="2"/>
  <c r="C10" i="2"/>
  <c r="D10" i="2"/>
  <c r="E10" i="2"/>
  <c r="F10" i="2"/>
  <c r="G10" i="2"/>
  <c r="H10" i="2"/>
  <c r="I10" i="2"/>
  <c r="J10" i="2"/>
  <c r="L10" i="2"/>
  <c r="M10" i="2"/>
  <c r="N10" i="2" s="1"/>
  <c r="O10" i="2"/>
  <c r="P10" i="2"/>
  <c r="Q10" i="2"/>
  <c r="S10" i="2"/>
  <c r="T10" i="2" s="1"/>
  <c r="V10" i="2"/>
  <c r="X10" i="2"/>
  <c r="AA10" i="2"/>
  <c r="AB10" i="2"/>
  <c r="AC10" i="2"/>
  <c r="AD10" i="2"/>
  <c r="AE10" i="2"/>
  <c r="AF10" i="2"/>
  <c r="AI10" i="2" s="1"/>
  <c r="AG10" i="2"/>
  <c r="AJ10" i="2"/>
  <c r="AN10" i="2"/>
  <c r="AQ10" i="2"/>
  <c r="BS10" i="2" s="1"/>
  <c r="AW10" i="2"/>
  <c r="AX10" i="2"/>
  <c r="AZ10" i="2"/>
  <c r="BD10" i="2"/>
  <c r="BF10" i="2"/>
  <c r="BI10" i="2"/>
  <c r="BK10" i="2"/>
  <c r="BM10" i="2"/>
  <c r="BN10" i="2"/>
  <c r="BP10" i="2"/>
  <c r="BQ10" i="2"/>
  <c r="BT10" i="2"/>
  <c r="BU10" i="2"/>
  <c r="BX10" i="2"/>
  <c r="CF10" i="2" s="1"/>
  <c r="BZ10" i="2"/>
  <c r="CB10" i="2"/>
  <c r="CE10" i="2"/>
  <c r="CG10" i="2"/>
  <c r="CI10" i="2"/>
  <c r="CJ10" i="2"/>
  <c r="CK10" i="2"/>
  <c r="CM10" i="2"/>
  <c r="CO10" i="2"/>
  <c r="CQ10" i="2"/>
  <c r="DA10" i="2"/>
  <c r="DC10" i="2"/>
  <c r="DE10" i="2"/>
  <c r="DG10" i="2"/>
  <c r="DI10" i="2"/>
  <c r="DJ10" i="2"/>
  <c r="DM10" i="2"/>
  <c r="DN10" i="2"/>
  <c r="B4" i="2"/>
  <c r="C4" i="2"/>
  <c r="D4" i="2"/>
  <c r="E4" i="2"/>
  <c r="F4" i="2"/>
  <c r="G4" i="2"/>
  <c r="H4" i="2"/>
  <c r="I4" i="2"/>
  <c r="J4" i="2"/>
  <c r="L4" i="2"/>
  <c r="CD4" i="2" s="1"/>
  <c r="M4" i="2"/>
  <c r="N4" i="2" s="1"/>
  <c r="O4" i="2"/>
  <c r="P4" i="2"/>
  <c r="Q4" i="2"/>
  <c r="S4" i="2"/>
  <c r="T4" i="2" s="1"/>
  <c r="V4" i="2"/>
  <c r="X4" i="2"/>
  <c r="AA4" i="2"/>
  <c r="AB4" i="2"/>
  <c r="AC4" i="2"/>
  <c r="AD4" i="2"/>
  <c r="AE4" i="2"/>
  <c r="AF4" i="2"/>
  <c r="AG4" i="2"/>
  <c r="AJ4" i="2"/>
  <c r="AN4" i="2"/>
  <c r="BV4" i="2" s="1"/>
  <c r="BW4" i="2" s="1"/>
  <c r="AQ4" i="2"/>
  <c r="AU4" i="2" s="1"/>
  <c r="AW4" i="2"/>
  <c r="AX4" i="2"/>
  <c r="AZ4" i="2"/>
  <c r="BD4" i="2"/>
  <c r="BF4" i="2"/>
  <c r="BI4" i="2"/>
  <c r="BK4" i="2"/>
  <c r="BM4" i="2"/>
  <c r="BN4" i="2"/>
  <c r="BO4" i="2" s="1"/>
  <c r="BP4" i="2"/>
  <c r="BQ4" i="2"/>
  <c r="BT4" i="2"/>
  <c r="BU4" i="2"/>
  <c r="BX4" i="2"/>
  <c r="CF4" i="2" s="1"/>
  <c r="BZ4" i="2"/>
  <c r="CB4" i="2"/>
  <c r="CE4" i="2"/>
  <c r="CG4" i="2"/>
  <c r="CI4" i="2"/>
  <c r="CJ4" i="2"/>
  <c r="CK4" i="2"/>
  <c r="CM4" i="2"/>
  <c r="CO4" i="2"/>
  <c r="CP4" i="2" s="1"/>
  <c r="CQ4" i="2"/>
  <c r="DA4" i="2"/>
  <c r="DB4" i="2" s="1"/>
  <c r="DC4" i="2"/>
  <c r="DE4" i="2"/>
  <c r="DG4" i="2"/>
  <c r="DI4" i="2"/>
  <c r="DJ4" i="2"/>
  <c r="DM4" i="2"/>
  <c r="DN4" i="2"/>
  <c r="B8" i="2"/>
  <c r="C8" i="2"/>
  <c r="D8" i="2"/>
  <c r="E8" i="2"/>
  <c r="F8" i="2"/>
  <c r="G8" i="2"/>
  <c r="H8" i="2"/>
  <c r="I8" i="2"/>
  <c r="J8" i="2"/>
  <c r="L8" i="2"/>
  <c r="CL8" i="2" s="1"/>
  <c r="M8" i="2"/>
  <c r="N8" i="2" s="1"/>
  <c r="O8" i="2"/>
  <c r="P8" i="2"/>
  <c r="Q8" i="2"/>
  <c r="S8" i="2"/>
  <c r="T8" i="2" s="1"/>
  <c r="V8" i="2"/>
  <c r="X8" i="2"/>
  <c r="AA8" i="2"/>
  <c r="AB8" i="2"/>
  <c r="AC8" i="2"/>
  <c r="AD8" i="2"/>
  <c r="AE8" i="2"/>
  <c r="AF8" i="2"/>
  <c r="AI8" i="2" s="1"/>
  <c r="AG8" i="2"/>
  <c r="AJ8" i="2"/>
  <c r="AN8" i="2"/>
  <c r="BV8" i="2" s="1"/>
  <c r="BW8" i="2" s="1"/>
  <c r="AQ8" i="2"/>
  <c r="BS8" i="2" s="1"/>
  <c r="AW8" i="2"/>
  <c r="AX8" i="2"/>
  <c r="AZ8" i="2"/>
  <c r="BD8" i="2"/>
  <c r="BF8" i="2"/>
  <c r="BI8" i="2"/>
  <c r="BK8" i="2"/>
  <c r="BM8" i="2"/>
  <c r="BN8" i="2"/>
  <c r="BP8" i="2"/>
  <c r="BQ8" i="2"/>
  <c r="BT8" i="2"/>
  <c r="BU8" i="2"/>
  <c r="BX8" i="2"/>
  <c r="BZ8" i="2"/>
  <c r="CB8" i="2"/>
  <c r="CE8" i="2"/>
  <c r="CG8" i="2"/>
  <c r="CI8" i="2"/>
  <c r="CJ8" i="2"/>
  <c r="CK8" i="2"/>
  <c r="CM8" i="2"/>
  <c r="CO8" i="2"/>
  <c r="CQ8" i="2"/>
  <c r="DA8" i="2"/>
  <c r="DC8" i="2"/>
  <c r="DE8" i="2"/>
  <c r="DG8" i="2"/>
  <c r="DI8" i="2"/>
  <c r="DJ8" i="2"/>
  <c r="DM8" i="2"/>
  <c r="DN8" i="2"/>
  <c r="B6" i="2"/>
  <c r="C6" i="2"/>
  <c r="D6" i="2"/>
  <c r="E6" i="2"/>
  <c r="F6" i="2"/>
  <c r="G6" i="2"/>
  <c r="H6" i="2"/>
  <c r="I6" i="2"/>
  <c r="J6" i="2"/>
  <c r="L6" i="2"/>
  <c r="CZ6" i="2" s="1"/>
  <c r="M6" i="2"/>
  <c r="N6" i="2" s="1"/>
  <c r="O6" i="2"/>
  <c r="P6" i="2"/>
  <c r="Q6" i="2"/>
  <c r="S6" i="2"/>
  <c r="T6" i="2" s="1"/>
  <c r="V6" i="2"/>
  <c r="X6" i="2"/>
  <c r="AA6" i="2"/>
  <c r="AB6" i="2"/>
  <c r="AC6" i="2"/>
  <c r="AD6" i="2"/>
  <c r="AE6" i="2"/>
  <c r="AF6" i="2"/>
  <c r="AI6" i="2" s="1"/>
  <c r="AG6" i="2"/>
  <c r="AJ6" i="2"/>
  <c r="AN6" i="2"/>
  <c r="AQ6" i="2"/>
  <c r="AW6" i="2"/>
  <c r="AX6" i="2"/>
  <c r="AZ6" i="2"/>
  <c r="BD6" i="2"/>
  <c r="BF6" i="2"/>
  <c r="BI6" i="2"/>
  <c r="BK6" i="2"/>
  <c r="BM6" i="2"/>
  <c r="BN6" i="2"/>
  <c r="BP6" i="2"/>
  <c r="BQ6" i="2"/>
  <c r="BT6" i="2"/>
  <c r="BU6" i="2"/>
  <c r="BX6" i="2"/>
  <c r="CF6" i="2" s="1"/>
  <c r="BZ6" i="2"/>
  <c r="CA6" i="2" s="1"/>
  <c r="CB6" i="2"/>
  <c r="CE6" i="2"/>
  <c r="CG6" i="2"/>
  <c r="CI6" i="2"/>
  <c r="CJ6" i="2"/>
  <c r="CK6" i="2"/>
  <c r="CM6" i="2"/>
  <c r="CO6" i="2"/>
  <c r="CQ6" i="2"/>
  <c r="DA6" i="2"/>
  <c r="DC6" i="2"/>
  <c r="DE6" i="2"/>
  <c r="DG6" i="2"/>
  <c r="DI6" i="2"/>
  <c r="DJ6" i="2"/>
  <c r="DM6" i="2"/>
  <c r="DN6" i="2"/>
  <c r="B9" i="17"/>
  <c r="C9" i="17"/>
  <c r="D9" i="17"/>
  <c r="E9" i="17"/>
  <c r="F9" i="17"/>
  <c r="G9" i="17"/>
  <c r="H9" i="17"/>
  <c r="I9" i="17"/>
  <c r="J9" i="17"/>
  <c r="L9" i="17"/>
  <c r="M9" i="17"/>
  <c r="N9" i="17" s="1"/>
  <c r="P9" i="17"/>
  <c r="Q9" i="17"/>
  <c r="X9" i="17"/>
  <c r="Z9" i="17"/>
  <c r="AC9" i="17"/>
  <c r="AE9" i="17"/>
  <c r="AH9" i="17"/>
  <c r="AK9" i="17"/>
  <c r="AO9" i="17"/>
  <c r="AQ9" i="17"/>
  <c r="AS9" i="17"/>
  <c r="AU9" i="17"/>
  <c r="BB9" i="17"/>
  <c r="BC9" i="17"/>
  <c r="BD9" i="17"/>
  <c r="BE9" i="17"/>
  <c r="BO9" i="17" s="1"/>
  <c r="BP9" i="17"/>
  <c r="BI9" i="17" s="1"/>
  <c r="BR9" i="17"/>
  <c r="BK9" i="17" s="1"/>
  <c r="BT9" i="17"/>
  <c r="BU9" i="17"/>
  <c r="BV9" i="17"/>
  <c r="BX9" i="17"/>
  <c r="CA9" i="17"/>
  <c r="CC9" i="17"/>
  <c r="CD9" i="17"/>
  <c r="CF9" i="17"/>
  <c r="CH9" i="17"/>
  <c r="CK9" i="17"/>
  <c r="CL9" i="17"/>
  <c r="CN9" i="17"/>
  <c r="CO9" i="17"/>
  <c r="CP9" i="17"/>
  <c r="CQ9" i="17"/>
  <c r="CT9" i="17"/>
  <c r="B6" i="17"/>
  <c r="C6" i="17"/>
  <c r="D6" i="17"/>
  <c r="E6" i="17"/>
  <c r="F6" i="17"/>
  <c r="G6" i="17"/>
  <c r="H6" i="17"/>
  <c r="I6" i="17"/>
  <c r="J6" i="17"/>
  <c r="L6" i="17"/>
  <c r="M6" i="17"/>
  <c r="N6" i="17" s="1"/>
  <c r="P6" i="17"/>
  <c r="Q6" i="17"/>
  <c r="X6" i="17"/>
  <c r="Z6" i="17"/>
  <c r="AC6" i="17"/>
  <c r="AE6" i="17"/>
  <c r="AH6" i="17"/>
  <c r="AK6" i="17"/>
  <c r="AO6" i="17"/>
  <c r="AQ6" i="17"/>
  <c r="AS6" i="17"/>
  <c r="AU6" i="17"/>
  <c r="BB6" i="17"/>
  <c r="BC6" i="17"/>
  <c r="BD6" i="17"/>
  <c r="BE6" i="17"/>
  <c r="BP6" i="17"/>
  <c r="BI6" i="17" s="1"/>
  <c r="BR6" i="17"/>
  <c r="BK6" i="17" s="1"/>
  <c r="BT6" i="17"/>
  <c r="BU6" i="17"/>
  <c r="BV6" i="17"/>
  <c r="BX6" i="17"/>
  <c r="CA6" i="17"/>
  <c r="CC6" i="17"/>
  <c r="CD6" i="17"/>
  <c r="CF6" i="17"/>
  <c r="CH6" i="17"/>
  <c r="CK6" i="17"/>
  <c r="CL6" i="17"/>
  <c r="CN6" i="17"/>
  <c r="CO6" i="17"/>
  <c r="CP6" i="17"/>
  <c r="CQ6" i="17"/>
  <c r="CT6" i="17"/>
  <c r="A6" i="6"/>
  <c r="B5" i="6"/>
  <c r="C5" i="6"/>
  <c r="D5" i="6"/>
  <c r="E5" i="6"/>
  <c r="F5" i="6"/>
  <c r="G5" i="6"/>
  <c r="H5" i="6"/>
  <c r="I5" i="6"/>
  <c r="K5" i="6"/>
  <c r="L5" i="6"/>
  <c r="M5" i="6" s="1"/>
  <c r="N5" i="6"/>
  <c r="O5" i="6"/>
  <c r="P5" i="6"/>
  <c r="S5" i="6"/>
  <c r="U5" i="6"/>
  <c r="W5" i="6"/>
  <c r="Y5" i="6"/>
  <c r="AC5" i="6"/>
  <c r="AD5" i="6"/>
  <c r="AF5" i="6" s="1"/>
  <c r="AG5" i="6"/>
  <c r="AI5" i="6"/>
  <c r="AK5" i="6"/>
  <c r="AM5" i="6"/>
  <c r="AN5" i="6"/>
  <c r="AO5" i="6" s="1"/>
  <c r="AP5" i="6"/>
  <c r="AQ5" i="6" s="1"/>
  <c r="AR5" i="6"/>
  <c r="AT5" i="6" s="1"/>
  <c r="AU5" i="6"/>
  <c r="AW5" i="6"/>
  <c r="AZ5" i="6"/>
  <c r="BA5" i="6" s="1"/>
  <c r="BB5" i="6"/>
  <c r="BC5" i="6"/>
  <c r="BG5" i="6" s="1"/>
  <c r="BE5" i="6"/>
  <c r="BH5" i="6"/>
  <c r="BJ5" i="6"/>
  <c r="BM5" i="6"/>
  <c r="BO5" i="6"/>
  <c r="BP5" i="6"/>
  <c r="BQ5" i="6"/>
  <c r="BR5" i="6" s="1"/>
  <c r="BU5" i="6"/>
  <c r="BW5" i="6"/>
  <c r="BX5" i="6"/>
  <c r="BY5" i="6"/>
  <c r="CA5" i="6"/>
  <c r="CC5" i="6"/>
  <c r="CE5" i="6"/>
  <c r="CG5" i="6"/>
  <c r="CI5" i="6"/>
  <c r="CL5" i="6"/>
  <c r="CN5" i="6"/>
  <c r="CP5" i="6" s="1"/>
  <c r="CQ5" i="6"/>
  <c r="CS5" i="6"/>
  <c r="CY5" i="6"/>
  <c r="DA5" i="6" s="1"/>
  <c r="DC5" i="6"/>
  <c r="DB5" i="6" s="1"/>
  <c r="DD5" i="6"/>
  <c r="DE5" i="6" s="1"/>
  <c r="DF5" i="6"/>
  <c r="DG5" i="6"/>
  <c r="A7" i="6"/>
  <c r="B7" i="6"/>
  <c r="C7" i="6"/>
  <c r="D7" i="6"/>
  <c r="E7" i="6"/>
  <c r="F7" i="6"/>
  <c r="G7" i="6"/>
  <c r="H7" i="6"/>
  <c r="I7" i="6"/>
  <c r="K7" i="6"/>
  <c r="L7" i="6"/>
  <c r="M7" i="6" s="1"/>
  <c r="N7" i="6"/>
  <c r="O7" i="6"/>
  <c r="P7" i="6"/>
  <c r="S7" i="6"/>
  <c r="U7" i="6"/>
  <c r="V7" i="6" s="1"/>
  <c r="W7" i="6"/>
  <c r="Y7" i="6"/>
  <c r="Z7" i="6" s="1"/>
  <c r="AC7" i="6"/>
  <c r="AD7" i="6"/>
  <c r="AG7" i="6"/>
  <c r="AI7" i="6"/>
  <c r="AK7" i="6"/>
  <c r="AN7" i="6"/>
  <c r="AP7" i="6"/>
  <c r="AQ7" i="6" s="1"/>
  <c r="AR7" i="6"/>
  <c r="AS7" i="6" s="1"/>
  <c r="AU7" i="6"/>
  <c r="AW7" i="6"/>
  <c r="AX7" i="6" s="1"/>
  <c r="AZ7" i="6"/>
  <c r="CU7" i="6" s="1"/>
  <c r="CV7" i="6" s="1"/>
  <c r="BB7" i="6"/>
  <c r="BC7" i="6"/>
  <c r="BG7" i="6" s="1"/>
  <c r="BE7" i="6"/>
  <c r="BH7" i="6"/>
  <c r="BI7" i="6" s="1"/>
  <c r="BJ7" i="6"/>
  <c r="BM7" i="6"/>
  <c r="BO7" i="6"/>
  <c r="BP7" i="6"/>
  <c r="BQ7" i="6"/>
  <c r="BS7" i="6" s="1"/>
  <c r="BU7" i="6"/>
  <c r="BW7" i="6"/>
  <c r="BY7" i="6"/>
  <c r="BZ7" i="6" s="1"/>
  <c r="CC7" i="6"/>
  <c r="CD7" i="6" s="1"/>
  <c r="CE7" i="6"/>
  <c r="CF7" i="6" s="1"/>
  <c r="CG7" i="6"/>
  <c r="CI7" i="6"/>
  <c r="CL7" i="6"/>
  <c r="CN7" i="6"/>
  <c r="CO7" i="6" s="1"/>
  <c r="CQ7" i="6"/>
  <c r="CR7" i="6" s="1"/>
  <c r="CS7" i="6"/>
  <c r="CY7" i="6"/>
  <c r="DB7" i="6"/>
  <c r="DC7" i="6"/>
  <c r="DD7" i="6"/>
  <c r="DF7" i="6"/>
  <c r="DG7" i="6"/>
  <c r="A8" i="6"/>
  <c r="B3" i="6"/>
  <c r="C3" i="6"/>
  <c r="D3" i="6"/>
  <c r="E3" i="6"/>
  <c r="F3" i="6"/>
  <c r="G3" i="6"/>
  <c r="H3" i="6"/>
  <c r="I3" i="6"/>
  <c r="K3" i="6"/>
  <c r="CM3" i="6" s="1"/>
  <c r="L3" i="6"/>
  <c r="M3" i="6" s="1"/>
  <c r="N3" i="6"/>
  <c r="O3" i="6"/>
  <c r="Q3" i="6" s="1"/>
  <c r="R3" i="6" s="1"/>
  <c r="P3" i="6"/>
  <c r="S3" i="6"/>
  <c r="U3" i="6"/>
  <c r="W3" i="6"/>
  <c r="Y3" i="6"/>
  <c r="AC3" i="6"/>
  <c r="AE3" i="6" s="1"/>
  <c r="AD3" i="6"/>
  <c r="AG3" i="6"/>
  <c r="AI3" i="6"/>
  <c r="AK3" i="6"/>
  <c r="AN3" i="6"/>
  <c r="AP3" i="6"/>
  <c r="AR3" i="6"/>
  <c r="AS3" i="6" s="1"/>
  <c r="AU3" i="6"/>
  <c r="AV3" i="6" s="1"/>
  <c r="AW3" i="6"/>
  <c r="AZ3" i="6"/>
  <c r="CU3" i="6" s="1"/>
  <c r="BB3" i="6"/>
  <c r="BC3" i="6"/>
  <c r="BE3" i="6"/>
  <c r="BG3" i="6"/>
  <c r="BH3" i="6"/>
  <c r="BI3" i="6" s="1"/>
  <c r="BJ3" i="6"/>
  <c r="BM3" i="6"/>
  <c r="BO3" i="6"/>
  <c r="BP3" i="6"/>
  <c r="BQ3" i="6"/>
  <c r="BR3" i="6" s="1"/>
  <c r="BU3" i="6"/>
  <c r="BW3" i="6"/>
  <c r="BX3" i="6" s="1"/>
  <c r="BY3" i="6"/>
  <c r="CC3" i="6"/>
  <c r="CE3" i="6"/>
  <c r="CG3" i="6"/>
  <c r="CI3" i="6"/>
  <c r="CL3" i="6"/>
  <c r="CN3" i="6"/>
  <c r="CO3" i="6" s="1"/>
  <c r="CQ3" i="6"/>
  <c r="CS3" i="6"/>
  <c r="CY3" i="6"/>
  <c r="DC3" i="6"/>
  <c r="DD3" i="6"/>
  <c r="DF3" i="6"/>
  <c r="DG3" i="6"/>
  <c r="A9" i="6"/>
  <c r="B4" i="6"/>
  <c r="C4" i="6"/>
  <c r="D4" i="6"/>
  <c r="E4" i="6"/>
  <c r="F4" i="6"/>
  <c r="G4" i="6"/>
  <c r="H4" i="6"/>
  <c r="I4" i="6"/>
  <c r="K4" i="6"/>
  <c r="L4" i="6"/>
  <c r="M4" i="6" s="1"/>
  <c r="N4" i="6"/>
  <c r="O4" i="6"/>
  <c r="P4" i="6"/>
  <c r="S4" i="6"/>
  <c r="T4" i="6" s="1"/>
  <c r="U4" i="6"/>
  <c r="V4" i="6" s="1"/>
  <c r="W4" i="6"/>
  <c r="Y4" i="6"/>
  <c r="Z4" i="6" s="1"/>
  <c r="AC4" i="6"/>
  <c r="AE4" i="6" s="1"/>
  <c r="AD4" i="6"/>
  <c r="AG4" i="6"/>
  <c r="CA4" i="6" s="1"/>
  <c r="AI4" i="6"/>
  <c r="AK4" i="6"/>
  <c r="AL4" i="6" s="1"/>
  <c r="AN4" i="6"/>
  <c r="AO4" i="6" s="1"/>
  <c r="AP4" i="6"/>
  <c r="AR4" i="6"/>
  <c r="AS4" i="6" s="1"/>
  <c r="AU4" i="6"/>
  <c r="AW4" i="6"/>
  <c r="AX4" i="6" s="1"/>
  <c r="AZ4" i="6"/>
  <c r="CU4" i="6" s="1"/>
  <c r="CV4" i="6" s="1"/>
  <c r="BB4" i="6"/>
  <c r="BC4" i="6"/>
  <c r="BG4" i="6" s="1"/>
  <c r="BE4" i="6"/>
  <c r="BF4" i="6" s="1"/>
  <c r="BH4" i="6"/>
  <c r="BI4" i="6" s="1"/>
  <c r="BJ4" i="6"/>
  <c r="BM4" i="6"/>
  <c r="BO4" i="6"/>
  <c r="BP4" i="6"/>
  <c r="BQ4" i="6"/>
  <c r="BR4" i="6" s="1"/>
  <c r="BU4" i="6"/>
  <c r="BV4" i="6" s="1"/>
  <c r="BW4" i="6"/>
  <c r="BX4" i="6"/>
  <c r="BY4" i="6"/>
  <c r="CC4" i="6"/>
  <c r="CE4" i="6"/>
  <c r="CG4" i="6"/>
  <c r="CI4" i="6"/>
  <c r="CH4" i="6" s="1"/>
  <c r="CJ4" i="6" s="1"/>
  <c r="CK4" i="6" s="1"/>
  <c r="CL4" i="6"/>
  <c r="CM4" i="6" s="1"/>
  <c r="CN4" i="6"/>
  <c r="CQ4" i="6"/>
  <c r="CR4" i="6" s="1"/>
  <c r="CS4" i="6"/>
  <c r="CY4" i="6"/>
  <c r="DC4" i="6"/>
  <c r="DD4" i="6"/>
  <c r="DE4" i="6" s="1"/>
  <c r="DF4" i="6"/>
  <c r="DG4" i="6"/>
  <c r="A10" i="6"/>
  <c r="B10" i="6"/>
  <c r="C10" i="6"/>
  <c r="D10" i="6"/>
  <c r="E10" i="6"/>
  <c r="F10" i="6"/>
  <c r="G10" i="6"/>
  <c r="H10" i="6"/>
  <c r="I10" i="6"/>
  <c r="K10" i="6"/>
  <c r="V10" i="6" s="1"/>
  <c r="L10" i="6"/>
  <c r="M10" i="6"/>
  <c r="N10" i="6"/>
  <c r="O10" i="6"/>
  <c r="P10" i="6"/>
  <c r="S10" i="6"/>
  <c r="U10" i="6"/>
  <c r="W10" i="6"/>
  <c r="Y10" i="6"/>
  <c r="AC10" i="6"/>
  <c r="AD10" i="6"/>
  <c r="AG10" i="6"/>
  <c r="CA10" i="6" s="1"/>
  <c r="AI10" i="6"/>
  <c r="AK10" i="6"/>
  <c r="AN10" i="6"/>
  <c r="AP10" i="6"/>
  <c r="AR10" i="6"/>
  <c r="AU10" i="6"/>
  <c r="AW10" i="6"/>
  <c r="AZ10" i="6"/>
  <c r="CU10" i="6" s="1"/>
  <c r="BB10" i="6"/>
  <c r="BC10" i="6"/>
  <c r="BG10" i="6" s="1"/>
  <c r="BE10" i="6"/>
  <c r="BH10" i="6"/>
  <c r="BJ10" i="6"/>
  <c r="BM10" i="6"/>
  <c r="BO10" i="6"/>
  <c r="BP10" i="6"/>
  <c r="BQ10" i="6"/>
  <c r="BS10" i="6" s="1"/>
  <c r="BR10" i="6"/>
  <c r="BU10" i="6"/>
  <c r="BW10" i="6"/>
  <c r="BY10" i="6"/>
  <c r="CC10" i="6"/>
  <c r="CE10" i="6"/>
  <c r="CG10" i="6"/>
  <c r="CI10" i="6"/>
  <c r="CL10" i="6"/>
  <c r="CN10" i="6"/>
  <c r="CQ10" i="6"/>
  <c r="CS10" i="6"/>
  <c r="CY10" i="6"/>
  <c r="DA10" i="6" s="1"/>
  <c r="DC10" i="6"/>
  <c r="DD10" i="6"/>
  <c r="DE10" i="6" s="1"/>
  <c r="DF10" i="6"/>
  <c r="DG10" i="6"/>
  <c r="A11" i="6"/>
  <c r="B11" i="6"/>
  <c r="C11" i="6"/>
  <c r="D11" i="6"/>
  <c r="E11" i="6"/>
  <c r="F11" i="6"/>
  <c r="G11" i="6"/>
  <c r="H11" i="6"/>
  <c r="I11" i="6"/>
  <c r="K11" i="6"/>
  <c r="L11" i="6"/>
  <c r="M11" i="6" s="1"/>
  <c r="N11" i="6"/>
  <c r="O11" i="6"/>
  <c r="P11" i="6"/>
  <c r="Q11" i="6"/>
  <c r="R11" i="6" s="1"/>
  <c r="S11" i="6"/>
  <c r="U11" i="6"/>
  <c r="W11" i="6"/>
  <c r="Y11" i="6"/>
  <c r="AC11" i="6"/>
  <c r="AD11" i="6"/>
  <c r="AG11" i="6"/>
  <c r="CA11" i="6" s="1"/>
  <c r="AI11" i="6"/>
  <c r="AK11" i="6"/>
  <c r="AL11" i="6" s="1"/>
  <c r="AN11" i="6"/>
  <c r="AO11" i="6" s="1"/>
  <c r="AP11" i="6"/>
  <c r="AR11" i="6"/>
  <c r="AU11" i="6"/>
  <c r="AW11" i="6"/>
  <c r="AX11" i="6"/>
  <c r="AY11" i="6"/>
  <c r="AZ11" i="6"/>
  <c r="CU11" i="6" s="1"/>
  <c r="BB11" i="6"/>
  <c r="BC11" i="6"/>
  <c r="BG11" i="6" s="1"/>
  <c r="BE11" i="6"/>
  <c r="BH11" i="6"/>
  <c r="BJ11" i="6"/>
  <c r="BM11" i="6"/>
  <c r="BN11" i="6" s="1"/>
  <c r="BO11" i="6"/>
  <c r="BP11" i="6"/>
  <c r="BQ11" i="6"/>
  <c r="BR11" i="6" s="1"/>
  <c r="BU11" i="6"/>
  <c r="BV11" i="6" s="1"/>
  <c r="BW11" i="6"/>
  <c r="BX11" i="6" s="1"/>
  <c r="BY11" i="6"/>
  <c r="BZ11" i="6" s="1"/>
  <c r="CC11" i="6"/>
  <c r="CD11" i="6" s="1"/>
  <c r="CE11" i="6"/>
  <c r="CF11" i="6" s="1"/>
  <c r="CG11" i="6"/>
  <c r="CI11" i="6"/>
  <c r="CL11" i="6"/>
  <c r="CN11" i="6"/>
  <c r="CP11" i="6"/>
  <c r="CQ11" i="6"/>
  <c r="CS11" i="6"/>
  <c r="CY11" i="6"/>
  <c r="DC11" i="6"/>
  <c r="DB11" i="6" s="1"/>
  <c r="DD11" i="6"/>
  <c r="DE11" i="6" s="1"/>
  <c r="DF11" i="6"/>
  <c r="DG11" i="6"/>
  <c r="B8" i="6"/>
  <c r="C8" i="6"/>
  <c r="D8" i="6"/>
  <c r="E8" i="6"/>
  <c r="F8" i="6"/>
  <c r="G8" i="6"/>
  <c r="H8" i="6"/>
  <c r="I8" i="6"/>
  <c r="K8" i="6"/>
  <c r="L8" i="6"/>
  <c r="M8" i="6" s="1"/>
  <c r="N8" i="6"/>
  <c r="O8" i="6"/>
  <c r="P8" i="6"/>
  <c r="S8" i="6"/>
  <c r="U8" i="6"/>
  <c r="W8" i="6"/>
  <c r="X8" i="6" s="1"/>
  <c r="Y8" i="6"/>
  <c r="AC8" i="6"/>
  <c r="AD8" i="6"/>
  <c r="AG8" i="6"/>
  <c r="CA8" i="6" s="1"/>
  <c r="AI8" i="6"/>
  <c r="AK8" i="6"/>
  <c r="AL8" i="6" s="1"/>
  <c r="AM8" i="6"/>
  <c r="AN8" i="6"/>
  <c r="AP8" i="6"/>
  <c r="AR8" i="6"/>
  <c r="AS8" i="6" s="1"/>
  <c r="AU8" i="6"/>
  <c r="AW8" i="6"/>
  <c r="AZ8" i="6"/>
  <c r="CU8" i="6" s="1"/>
  <c r="BB8" i="6"/>
  <c r="BC8" i="6"/>
  <c r="BE8" i="6"/>
  <c r="BH8" i="6"/>
  <c r="BJ8" i="6"/>
  <c r="BL8" i="6" s="1"/>
  <c r="BM8" i="6"/>
  <c r="BO8" i="6"/>
  <c r="BP8" i="6"/>
  <c r="BQ8" i="6"/>
  <c r="BS8" i="6" s="1"/>
  <c r="BU8" i="6"/>
  <c r="BW8" i="6"/>
  <c r="BY8" i="6"/>
  <c r="CC8" i="6"/>
  <c r="CE8" i="6"/>
  <c r="CG8" i="6"/>
  <c r="CI8" i="6"/>
  <c r="CL8" i="6"/>
  <c r="CN8" i="6"/>
  <c r="CQ8" i="6"/>
  <c r="CS8" i="6"/>
  <c r="CX8" i="6" s="1"/>
  <c r="CY8" i="6"/>
  <c r="DC8" i="6"/>
  <c r="DD8" i="6"/>
  <c r="DF8" i="6"/>
  <c r="DG8" i="6"/>
  <c r="A5" i="16"/>
  <c r="A6" i="16"/>
  <c r="B5" i="16"/>
  <c r="C5" i="16"/>
  <c r="D5" i="16"/>
  <c r="E5" i="16"/>
  <c r="F5" i="16"/>
  <c r="G5" i="16"/>
  <c r="H5" i="16"/>
  <c r="I5" i="16"/>
  <c r="J5" i="16"/>
  <c r="L5" i="16"/>
  <c r="BW5" i="16" s="1"/>
  <c r="M5" i="16"/>
  <c r="N5" i="16" s="1"/>
  <c r="O5" i="16"/>
  <c r="P5" i="16"/>
  <c r="Q5" i="16"/>
  <c r="R5" i="16"/>
  <c r="U5" i="16"/>
  <c r="Y5" i="16"/>
  <c r="AC5" i="16"/>
  <c r="AD5" i="16"/>
  <c r="AF5" i="16"/>
  <c r="AG5" i="16"/>
  <c r="AH5" i="16"/>
  <c r="AJ5" i="16"/>
  <c r="AL5" i="16"/>
  <c r="AN5" i="16"/>
  <c r="AU5" i="16"/>
  <c r="AV5" i="16"/>
  <c r="AW5" i="16"/>
  <c r="AX5" i="16" s="1"/>
  <c r="AY5" i="16"/>
  <c r="BF5" i="16"/>
  <c r="BH5" i="16"/>
  <c r="BK5" i="16"/>
  <c r="BM5" i="16"/>
  <c r="BO5" i="16"/>
  <c r="BQ5" i="16"/>
  <c r="BT5" i="16"/>
  <c r="BV5" i="16"/>
  <c r="BX5" i="16"/>
  <c r="CA5" i="16"/>
  <c r="CC5" i="16"/>
  <c r="CF5" i="16"/>
  <c r="CH5" i="16"/>
  <c r="CK5" i="16"/>
  <c r="CM5" i="16" s="1"/>
  <c r="CN5" i="16"/>
  <c r="CP5" i="16"/>
  <c r="CQ5" i="16"/>
  <c r="CS5" i="16"/>
  <c r="CU5" i="16"/>
  <c r="CY5" i="16" s="1"/>
  <c r="CW5" i="16"/>
  <c r="CZ5" i="16"/>
  <c r="DB5" i="16"/>
  <c r="DD5" i="16"/>
  <c r="DF5" i="16"/>
  <c r="DI5" i="16"/>
  <c r="DK5" i="16"/>
  <c r="DN5" i="16"/>
  <c r="DR5" i="16" s="1"/>
  <c r="DO5" i="16"/>
  <c r="DZ5" i="16"/>
  <c r="EB5" i="16"/>
  <c r="EC5" i="16"/>
  <c r="EE5" i="16"/>
  <c r="EH5" i="16"/>
  <c r="EI5" i="16"/>
  <c r="A7" i="16"/>
  <c r="B3" i="16"/>
  <c r="C3" i="16"/>
  <c r="D3" i="16"/>
  <c r="E3" i="16"/>
  <c r="F3" i="16"/>
  <c r="G3" i="16"/>
  <c r="H3" i="16"/>
  <c r="I3" i="16"/>
  <c r="J3" i="16"/>
  <c r="L3" i="16"/>
  <c r="BY3" i="16" s="1"/>
  <c r="M3" i="16"/>
  <c r="N3" i="16" s="1"/>
  <c r="O3" i="16"/>
  <c r="P3" i="16"/>
  <c r="Q3" i="16"/>
  <c r="R3" i="16"/>
  <c r="U3" i="16"/>
  <c r="W3" i="16" s="1"/>
  <c r="Y3" i="16"/>
  <c r="AC3" i="16"/>
  <c r="AD3" i="16"/>
  <c r="AF3" i="16"/>
  <c r="AG3" i="16"/>
  <c r="AH3" i="16"/>
  <c r="AI3" i="16"/>
  <c r="AJ3" i="16"/>
  <c r="AL3" i="16"/>
  <c r="AN3" i="16"/>
  <c r="AU3" i="16"/>
  <c r="AV3" i="16"/>
  <c r="AW3" i="16"/>
  <c r="AY3" i="16"/>
  <c r="BF3" i="16"/>
  <c r="BH3" i="16"/>
  <c r="BK3" i="16"/>
  <c r="BM3" i="16"/>
  <c r="BO3" i="16"/>
  <c r="BQ3" i="16"/>
  <c r="BT3" i="16"/>
  <c r="BV3" i="16"/>
  <c r="BX3" i="16"/>
  <c r="CA3" i="16"/>
  <c r="CC3" i="16"/>
  <c r="CD3" i="16" s="1"/>
  <c r="CF3" i="16"/>
  <c r="CH3" i="16"/>
  <c r="CK3" i="16"/>
  <c r="CN3" i="16"/>
  <c r="CP3" i="16"/>
  <c r="CQ3" i="16"/>
  <c r="CS3" i="16"/>
  <c r="CU3" i="16"/>
  <c r="CW3" i="16"/>
  <c r="CZ3" i="16"/>
  <c r="DB3" i="16"/>
  <c r="DD3" i="16"/>
  <c r="DF3" i="16"/>
  <c r="DG3" i="16" s="1"/>
  <c r="DI3" i="16"/>
  <c r="DK3" i="16"/>
  <c r="DN3" i="16"/>
  <c r="DO3" i="16"/>
  <c r="DZ3" i="16"/>
  <c r="EB3" i="16"/>
  <c r="EC3" i="16"/>
  <c r="EE3" i="16"/>
  <c r="EH3" i="16"/>
  <c r="EI3" i="16"/>
  <c r="A8" i="16"/>
  <c r="A9" i="16"/>
  <c r="B2" i="16"/>
  <c r="C2" i="16"/>
  <c r="D2" i="16"/>
  <c r="E2" i="16"/>
  <c r="F2" i="16"/>
  <c r="G2" i="16"/>
  <c r="H2" i="16"/>
  <c r="I2" i="16"/>
  <c r="J2" i="16"/>
  <c r="L2" i="16"/>
  <c r="BW2" i="16" s="1"/>
  <c r="M2" i="16"/>
  <c r="N2" i="16" s="1"/>
  <c r="O2" i="16"/>
  <c r="P2" i="16"/>
  <c r="Q2" i="16"/>
  <c r="R2" i="16"/>
  <c r="U2" i="16"/>
  <c r="Y2" i="16"/>
  <c r="AC2" i="16"/>
  <c r="AD2" i="16"/>
  <c r="AF2" i="16"/>
  <c r="AG2" i="16"/>
  <c r="AH2" i="16"/>
  <c r="AJ2" i="16"/>
  <c r="AL2" i="16"/>
  <c r="AN2" i="16"/>
  <c r="AU2" i="16"/>
  <c r="AT2" i="16" s="1"/>
  <c r="DS2" i="16" s="1"/>
  <c r="DT2" i="16" s="1"/>
  <c r="AV2" i="16"/>
  <c r="AW2" i="16"/>
  <c r="AY2" i="16"/>
  <c r="BF2" i="16"/>
  <c r="BH2" i="16"/>
  <c r="BK2" i="16"/>
  <c r="BM2" i="16"/>
  <c r="BO2" i="16"/>
  <c r="BQ2" i="16"/>
  <c r="BT2" i="16"/>
  <c r="BV2" i="16"/>
  <c r="BX2" i="16"/>
  <c r="CA2" i="16"/>
  <c r="CC2" i="16"/>
  <c r="CF2" i="16"/>
  <c r="CH2" i="16"/>
  <c r="CK2" i="16"/>
  <c r="DW2" i="16" s="1"/>
  <c r="CN2" i="16"/>
  <c r="CP2" i="16"/>
  <c r="CQ2" i="16"/>
  <c r="CS2" i="16"/>
  <c r="CU2" i="16"/>
  <c r="CW2" i="16"/>
  <c r="CZ2" i="16"/>
  <c r="DB2" i="16"/>
  <c r="DD2" i="16"/>
  <c r="DF2" i="16"/>
  <c r="DI2" i="16"/>
  <c r="DK2" i="16"/>
  <c r="DN2" i="16"/>
  <c r="DO2" i="16"/>
  <c r="DZ2" i="16"/>
  <c r="EB2" i="16"/>
  <c r="EC2" i="16"/>
  <c r="EE2" i="16"/>
  <c r="EH2" i="16"/>
  <c r="EI2" i="16"/>
  <c r="A10" i="16"/>
  <c r="B8" i="16"/>
  <c r="C8" i="16"/>
  <c r="D8" i="16"/>
  <c r="E8" i="16"/>
  <c r="F8" i="16"/>
  <c r="G8" i="16"/>
  <c r="H8" i="16"/>
  <c r="I8" i="16"/>
  <c r="J8" i="16"/>
  <c r="L8" i="16"/>
  <c r="BY8" i="16" s="1"/>
  <c r="M8" i="16"/>
  <c r="N8" i="16" s="1"/>
  <c r="O8" i="16"/>
  <c r="P8" i="16"/>
  <c r="Q8" i="16"/>
  <c r="R8" i="16"/>
  <c r="U8" i="16"/>
  <c r="Y8" i="16"/>
  <c r="AC8" i="16"/>
  <c r="AD8" i="16"/>
  <c r="AF8" i="16"/>
  <c r="AG8" i="16"/>
  <c r="AH8" i="16"/>
  <c r="AJ8" i="16"/>
  <c r="AL8" i="16"/>
  <c r="AN8" i="16"/>
  <c r="AU8" i="16"/>
  <c r="AV8" i="16"/>
  <c r="AW8" i="16"/>
  <c r="AY8" i="16"/>
  <c r="BF8" i="16"/>
  <c r="BH8" i="16"/>
  <c r="BK8" i="16"/>
  <c r="BM8" i="16"/>
  <c r="BO8" i="16"/>
  <c r="BS8" i="16" s="1"/>
  <c r="BQ8" i="16"/>
  <c r="BT8" i="16"/>
  <c r="BU8" i="16" s="1"/>
  <c r="BV8" i="16"/>
  <c r="BX8" i="16"/>
  <c r="CA8" i="16"/>
  <c r="CC8" i="16"/>
  <c r="CF8" i="16"/>
  <c r="CH8" i="16"/>
  <c r="CK8" i="16"/>
  <c r="CN8" i="16"/>
  <c r="CP8" i="16"/>
  <c r="CQ8" i="16"/>
  <c r="CS8" i="16"/>
  <c r="CU8" i="16"/>
  <c r="CV8" i="16" s="1"/>
  <c r="CW8" i="16"/>
  <c r="CZ8" i="16"/>
  <c r="DB8" i="16"/>
  <c r="DD8" i="16"/>
  <c r="DE8" i="16" s="1"/>
  <c r="DF8" i="16"/>
  <c r="DI8" i="16"/>
  <c r="DK8" i="16"/>
  <c r="DN8" i="16"/>
  <c r="DO8" i="16"/>
  <c r="DZ8" i="16"/>
  <c r="EB8" i="16"/>
  <c r="EC8" i="16"/>
  <c r="EE8" i="16"/>
  <c r="EH8" i="16"/>
  <c r="EI8" i="16"/>
  <c r="A11" i="16"/>
  <c r="B9" i="16"/>
  <c r="C9" i="16"/>
  <c r="D9" i="16"/>
  <c r="E9" i="16"/>
  <c r="F9" i="16"/>
  <c r="G9" i="16"/>
  <c r="H9" i="16"/>
  <c r="I9" i="16"/>
  <c r="J9" i="16"/>
  <c r="L9" i="16"/>
  <c r="BG9" i="16" s="1"/>
  <c r="M9" i="16"/>
  <c r="N9" i="16" s="1"/>
  <c r="O9" i="16"/>
  <c r="P9" i="16"/>
  <c r="Q9" i="16"/>
  <c r="R9" i="16"/>
  <c r="U9" i="16"/>
  <c r="W9" i="16" s="1"/>
  <c r="Y9" i="16"/>
  <c r="AC9" i="16"/>
  <c r="AD9" i="16"/>
  <c r="AF9" i="16"/>
  <c r="AG9" i="16"/>
  <c r="AH9" i="16"/>
  <c r="AJ9" i="16"/>
  <c r="AL9" i="16"/>
  <c r="AN9" i="16"/>
  <c r="AU9" i="16"/>
  <c r="AV9" i="16"/>
  <c r="AW9" i="16"/>
  <c r="AY9" i="16"/>
  <c r="BF9" i="16"/>
  <c r="BH9" i="16"/>
  <c r="BI9" i="16" s="1"/>
  <c r="BK9" i="16"/>
  <c r="BL9" i="16" s="1"/>
  <c r="BM9" i="16"/>
  <c r="BO9" i="16"/>
  <c r="BP9" i="16" s="1"/>
  <c r="BQ9" i="16"/>
  <c r="BT9" i="16"/>
  <c r="BV9" i="16"/>
  <c r="BX9" i="16"/>
  <c r="CA9" i="16"/>
  <c r="CC9" i="16"/>
  <c r="CE9" i="16" s="1"/>
  <c r="CF9" i="16"/>
  <c r="CH9" i="16"/>
  <c r="CK9" i="16"/>
  <c r="DW9" i="16" s="1"/>
  <c r="CN9" i="16"/>
  <c r="CO9" i="16" s="1"/>
  <c r="CP9" i="16"/>
  <c r="CQ9" i="16"/>
  <c r="CR9" i="16" s="1"/>
  <c r="CS9" i="16"/>
  <c r="CU9" i="16"/>
  <c r="CW9" i="16"/>
  <c r="CZ9" i="16"/>
  <c r="DB9" i="16"/>
  <c r="DD9" i="16"/>
  <c r="DF9" i="16"/>
  <c r="DI9" i="16"/>
  <c r="DK9" i="16"/>
  <c r="DN9" i="16"/>
  <c r="DO9" i="16"/>
  <c r="DZ9" i="16"/>
  <c r="EB9" i="16"/>
  <c r="EC9" i="16"/>
  <c r="EE9" i="16"/>
  <c r="EH9" i="16"/>
  <c r="EI9" i="16"/>
  <c r="B11" i="16"/>
  <c r="C11" i="16"/>
  <c r="D11" i="16"/>
  <c r="E11" i="16"/>
  <c r="F11" i="16"/>
  <c r="G11" i="16"/>
  <c r="H11" i="16"/>
  <c r="I11" i="16"/>
  <c r="J11" i="16"/>
  <c r="L11" i="16"/>
  <c r="M11" i="16"/>
  <c r="N11" i="16" s="1"/>
  <c r="O11" i="16"/>
  <c r="P11" i="16"/>
  <c r="Q11" i="16"/>
  <c r="R11" i="16"/>
  <c r="U11" i="16"/>
  <c r="BD11" i="16" s="1"/>
  <c r="Y11" i="16"/>
  <c r="AC11" i="16"/>
  <c r="AD11" i="16"/>
  <c r="AF11" i="16"/>
  <c r="AG11" i="16"/>
  <c r="AH11" i="16"/>
  <c r="AJ11" i="16"/>
  <c r="AL11" i="16"/>
  <c r="AP11" i="16" s="1"/>
  <c r="AN11" i="16"/>
  <c r="AU11" i="16"/>
  <c r="AT11" i="16" s="1"/>
  <c r="DS11" i="16" s="1"/>
  <c r="DT11" i="16" s="1"/>
  <c r="AV11" i="16"/>
  <c r="AW11" i="16"/>
  <c r="AY11" i="16"/>
  <c r="BF11" i="16"/>
  <c r="BH11" i="16"/>
  <c r="BK11" i="16"/>
  <c r="BM11" i="16"/>
  <c r="BO11" i="16"/>
  <c r="BQ11" i="16"/>
  <c r="BT11" i="16"/>
  <c r="BV11" i="16"/>
  <c r="BX11" i="16"/>
  <c r="BY11" i="16"/>
  <c r="CA11" i="16"/>
  <c r="CC11" i="16"/>
  <c r="CF11" i="16"/>
  <c r="CJ11" i="16" s="1"/>
  <c r="CH11" i="16"/>
  <c r="CK11" i="16"/>
  <c r="DW11" i="16" s="1"/>
  <c r="CN11" i="16"/>
  <c r="CP11" i="16"/>
  <c r="CQ11" i="16"/>
  <c r="CS11" i="16"/>
  <c r="CU11" i="16"/>
  <c r="CW11" i="16"/>
  <c r="CZ11" i="16"/>
  <c r="DB11" i="16"/>
  <c r="DD11" i="16"/>
  <c r="DF11" i="16"/>
  <c r="DG11" i="16" s="1"/>
  <c r="DI11" i="16"/>
  <c r="DK11" i="16"/>
  <c r="DN11" i="16"/>
  <c r="DO11" i="16"/>
  <c r="DZ11" i="16"/>
  <c r="EB11" i="16"/>
  <c r="EC11" i="16"/>
  <c r="EE11" i="16"/>
  <c r="EH11" i="16"/>
  <c r="EI11" i="16"/>
  <c r="B6" i="16"/>
  <c r="C6" i="16"/>
  <c r="D6" i="16"/>
  <c r="E6" i="16"/>
  <c r="F6" i="16"/>
  <c r="G6" i="16"/>
  <c r="H6" i="16"/>
  <c r="I6" i="16"/>
  <c r="J6" i="16"/>
  <c r="L6" i="16"/>
  <c r="CG6" i="16" s="1"/>
  <c r="M6" i="16"/>
  <c r="N6" i="16" s="1"/>
  <c r="O6" i="16"/>
  <c r="P6" i="16"/>
  <c r="Q6" i="16"/>
  <c r="R6" i="16"/>
  <c r="U6" i="16"/>
  <c r="W6" i="16" s="1"/>
  <c r="Y6" i="16"/>
  <c r="AC6" i="16"/>
  <c r="AD6" i="16"/>
  <c r="AF6" i="16"/>
  <c r="AG6" i="16"/>
  <c r="AH6" i="16"/>
  <c r="AJ6" i="16"/>
  <c r="AL6" i="16"/>
  <c r="AN6" i="16"/>
  <c r="AU6" i="16"/>
  <c r="AV6" i="16"/>
  <c r="AW6" i="16"/>
  <c r="AY6" i="16"/>
  <c r="BF6" i="16"/>
  <c r="BH6" i="16"/>
  <c r="BK6" i="16"/>
  <c r="BM6" i="16"/>
  <c r="BO6" i="16"/>
  <c r="BQ6" i="16"/>
  <c r="BT6" i="16"/>
  <c r="BV6" i="16"/>
  <c r="BX6" i="16"/>
  <c r="CA6" i="16"/>
  <c r="CC6" i="16"/>
  <c r="CE6" i="16" s="1"/>
  <c r="CF6" i="16"/>
  <c r="CH6" i="16"/>
  <c r="CK6" i="16"/>
  <c r="CN6" i="16"/>
  <c r="CP6" i="16"/>
  <c r="CQ6" i="16"/>
  <c r="CS6" i="16"/>
  <c r="CU6" i="16"/>
  <c r="CW6" i="16"/>
  <c r="CZ6" i="16"/>
  <c r="DB6" i="16"/>
  <c r="DD6" i="16"/>
  <c r="DF6" i="16"/>
  <c r="DI6" i="16"/>
  <c r="DK6" i="16"/>
  <c r="DN6" i="16"/>
  <c r="DO6" i="16"/>
  <c r="DZ6" i="16"/>
  <c r="EB6" i="16"/>
  <c r="EC6" i="16"/>
  <c r="EE6" i="16"/>
  <c r="EH6" i="16"/>
  <c r="EI6" i="16"/>
  <c r="B7" i="16"/>
  <c r="C7" i="16"/>
  <c r="D7" i="16"/>
  <c r="E7" i="16"/>
  <c r="F7" i="16"/>
  <c r="G7" i="16"/>
  <c r="H7" i="16"/>
  <c r="I7" i="16"/>
  <c r="J7" i="16"/>
  <c r="L7" i="16"/>
  <c r="BJ7" i="16" s="1"/>
  <c r="M7" i="16"/>
  <c r="N7" i="16" s="1"/>
  <c r="O7" i="16"/>
  <c r="P7" i="16"/>
  <c r="Q7" i="16"/>
  <c r="R7" i="16"/>
  <c r="U7" i="16"/>
  <c r="W7" i="16" s="1"/>
  <c r="BB7" i="16" s="1"/>
  <c r="Y7" i="16"/>
  <c r="AC7" i="16"/>
  <c r="AD7" i="16"/>
  <c r="AF7" i="16"/>
  <c r="AG7" i="16"/>
  <c r="AH7" i="16"/>
  <c r="AJ7" i="16"/>
  <c r="AL7" i="16"/>
  <c r="AN7" i="16"/>
  <c r="AU7" i="16"/>
  <c r="AV7" i="16"/>
  <c r="AW7" i="16"/>
  <c r="AY7" i="16"/>
  <c r="BF7" i="16"/>
  <c r="BH7" i="16"/>
  <c r="BK7" i="16"/>
  <c r="BM7" i="16"/>
  <c r="BO7" i="16"/>
  <c r="BQ7" i="16"/>
  <c r="BT7" i="16"/>
  <c r="BV7" i="16"/>
  <c r="BX7" i="16"/>
  <c r="CA7" i="16"/>
  <c r="CC7" i="16"/>
  <c r="CF7" i="16"/>
  <c r="CH7" i="16"/>
  <c r="CK7" i="16"/>
  <c r="CM7" i="16" s="1"/>
  <c r="CN7" i="16"/>
  <c r="CP7" i="16"/>
  <c r="CQ7" i="16"/>
  <c r="CS7" i="16"/>
  <c r="CU7" i="16"/>
  <c r="CY7" i="16" s="1"/>
  <c r="CW7" i="16"/>
  <c r="CZ7" i="16"/>
  <c r="DB7" i="16"/>
  <c r="DD7" i="16"/>
  <c r="DH7" i="16" s="1"/>
  <c r="DF7" i="16"/>
  <c r="DI7" i="16"/>
  <c r="DK7" i="16"/>
  <c r="DN7" i="16"/>
  <c r="DO7" i="16"/>
  <c r="DR7" i="16"/>
  <c r="DZ7" i="16"/>
  <c r="EB7" i="16"/>
  <c r="EC7" i="16"/>
  <c r="EE7" i="16"/>
  <c r="EH7" i="16"/>
  <c r="EI7" i="16"/>
  <c r="B4" i="16"/>
  <c r="C4" i="16"/>
  <c r="D4" i="16"/>
  <c r="E4" i="16"/>
  <c r="F4" i="16"/>
  <c r="G4" i="16"/>
  <c r="H4" i="16"/>
  <c r="I4" i="16"/>
  <c r="J4" i="16"/>
  <c r="L4" i="16"/>
  <c r="M4" i="16"/>
  <c r="N4" i="16" s="1"/>
  <c r="O4" i="16"/>
  <c r="P4" i="16"/>
  <c r="Q4" i="16"/>
  <c r="R4" i="16"/>
  <c r="U4" i="16"/>
  <c r="Y4" i="16"/>
  <c r="AC4" i="16"/>
  <c r="AD4" i="16"/>
  <c r="AF4" i="16"/>
  <c r="AG4" i="16"/>
  <c r="AH4" i="16"/>
  <c r="AJ4" i="16"/>
  <c r="AL4" i="16"/>
  <c r="AN4" i="16"/>
  <c r="AP4" i="16" s="1"/>
  <c r="AU4" i="16"/>
  <c r="AV4" i="16"/>
  <c r="AW4" i="16"/>
  <c r="AY4" i="16"/>
  <c r="BA4" i="16"/>
  <c r="BF4" i="16"/>
  <c r="BH4" i="16"/>
  <c r="BK4" i="16"/>
  <c r="BM4" i="16"/>
  <c r="BO4" i="16"/>
  <c r="BQ4" i="16"/>
  <c r="BT4" i="16"/>
  <c r="BV4" i="16"/>
  <c r="BX4" i="16"/>
  <c r="CA4" i="16"/>
  <c r="CC4" i="16"/>
  <c r="CF4" i="16"/>
  <c r="CH4" i="16"/>
  <c r="CK4" i="16"/>
  <c r="CM4" i="16" s="1"/>
  <c r="CN4" i="16"/>
  <c r="CP4" i="16"/>
  <c r="CQ4" i="16"/>
  <c r="CS4" i="16"/>
  <c r="CT4" i="16" s="1"/>
  <c r="CU4" i="16"/>
  <c r="CV4" i="16" s="1"/>
  <c r="CW4" i="16"/>
  <c r="CZ4" i="16"/>
  <c r="DB4" i="16"/>
  <c r="DD4" i="16"/>
  <c r="DF4" i="16"/>
  <c r="DI4" i="16"/>
  <c r="DK4" i="16"/>
  <c r="DN4" i="16"/>
  <c r="DO4" i="16"/>
  <c r="DZ4" i="16"/>
  <c r="EB4" i="16"/>
  <c r="EC4" i="16"/>
  <c r="EE4" i="16"/>
  <c r="EF4" i="16"/>
  <c r="EH4" i="16"/>
  <c r="EI4" i="16"/>
  <c r="B10" i="16"/>
  <c r="C10" i="16"/>
  <c r="D10" i="16"/>
  <c r="E10" i="16"/>
  <c r="F10" i="16"/>
  <c r="G10" i="16"/>
  <c r="H10" i="16"/>
  <c r="I10" i="16"/>
  <c r="J10" i="16"/>
  <c r="L10" i="16"/>
  <c r="BJ10" i="16" s="1"/>
  <c r="M10" i="16"/>
  <c r="N10" i="16" s="1"/>
  <c r="O10" i="16"/>
  <c r="P10" i="16"/>
  <c r="Q10" i="16"/>
  <c r="R10" i="16"/>
  <c r="U10" i="16"/>
  <c r="BD10" i="16" s="1"/>
  <c r="Y10" i="16"/>
  <c r="AC10" i="16"/>
  <c r="AD10" i="16"/>
  <c r="AF10" i="16"/>
  <c r="AG10" i="16"/>
  <c r="AI10" i="16" s="1"/>
  <c r="AH10" i="16"/>
  <c r="AJ10" i="16"/>
  <c r="AL10" i="16"/>
  <c r="AN10" i="16"/>
  <c r="AO10" i="16" s="1"/>
  <c r="AU10" i="16"/>
  <c r="AV10" i="16"/>
  <c r="AW10" i="16"/>
  <c r="AX10" i="16" s="1"/>
  <c r="AY10" i="16"/>
  <c r="AZ10" i="16" s="1"/>
  <c r="BF10" i="16"/>
  <c r="BG10" i="16" s="1"/>
  <c r="BH10" i="16"/>
  <c r="BK10" i="16"/>
  <c r="BM10" i="16"/>
  <c r="BO10" i="16"/>
  <c r="BQ10" i="16"/>
  <c r="BT10" i="16"/>
  <c r="BV10" i="16"/>
  <c r="BX10" i="16"/>
  <c r="CA10" i="16"/>
  <c r="CC10" i="16"/>
  <c r="CF10" i="16"/>
  <c r="CH10" i="16"/>
  <c r="CI10" i="16"/>
  <c r="CK10" i="16"/>
  <c r="DW10" i="16" s="1"/>
  <c r="DX10" i="16" s="1"/>
  <c r="CN10" i="16"/>
  <c r="CP10" i="16"/>
  <c r="CQ10" i="16"/>
  <c r="CS10" i="16"/>
  <c r="CU10" i="16"/>
  <c r="CW10" i="16"/>
  <c r="CZ10" i="16"/>
  <c r="DB10" i="16"/>
  <c r="DD10" i="16"/>
  <c r="DF10" i="16"/>
  <c r="DI10" i="16"/>
  <c r="DJ10" i="16" s="1"/>
  <c r="DK10" i="16"/>
  <c r="DN10" i="16"/>
  <c r="DO10" i="16"/>
  <c r="DZ10" i="16"/>
  <c r="EB10" i="16"/>
  <c r="EC10" i="16"/>
  <c r="EE10" i="16"/>
  <c r="EH10" i="16"/>
  <c r="EI10" i="16"/>
  <c r="AU10" i="17"/>
  <c r="AU11" i="17"/>
  <c r="AU2" i="17"/>
  <c r="B11" i="17"/>
  <c r="C11" i="17"/>
  <c r="D11" i="17"/>
  <c r="E11" i="17"/>
  <c r="F11" i="17"/>
  <c r="G11" i="17"/>
  <c r="H11" i="17"/>
  <c r="I11" i="17"/>
  <c r="J11" i="17"/>
  <c r="L11" i="17"/>
  <c r="M11" i="17"/>
  <c r="N11" i="17" s="1"/>
  <c r="P11" i="17"/>
  <c r="Q11" i="17"/>
  <c r="X11" i="17"/>
  <c r="Z11" i="17"/>
  <c r="AC11" i="17"/>
  <c r="AE11" i="17"/>
  <c r="AH11" i="17"/>
  <c r="AK11" i="17"/>
  <c r="AO11" i="17"/>
  <c r="AQ11" i="17"/>
  <c r="AS11" i="17"/>
  <c r="BB11" i="17"/>
  <c r="BC11" i="17"/>
  <c r="BD11" i="17"/>
  <c r="BE11" i="17"/>
  <c r="BP11" i="17"/>
  <c r="BI11" i="17" s="1"/>
  <c r="BJ11" i="17" s="1"/>
  <c r="BR11" i="17"/>
  <c r="BK11" i="17" s="1"/>
  <c r="BT11" i="17"/>
  <c r="BU11" i="17"/>
  <c r="BV11" i="17"/>
  <c r="BX11" i="17"/>
  <c r="CA11" i="17"/>
  <c r="CC11" i="17"/>
  <c r="CD11" i="17"/>
  <c r="CF11" i="17"/>
  <c r="CH11" i="17"/>
  <c r="CK11" i="17"/>
  <c r="CL11" i="17"/>
  <c r="CN11" i="17"/>
  <c r="CO11" i="17"/>
  <c r="CP11" i="17"/>
  <c r="CQ11" i="17"/>
  <c r="CT11" i="17"/>
  <c r="B2" i="17"/>
  <c r="C2" i="17"/>
  <c r="D2" i="17"/>
  <c r="E2" i="17"/>
  <c r="F2" i="17"/>
  <c r="G2" i="17"/>
  <c r="H2" i="17"/>
  <c r="I2" i="17"/>
  <c r="J2" i="17"/>
  <c r="L2" i="17"/>
  <c r="M2" i="17"/>
  <c r="N2" i="17" s="1"/>
  <c r="P2" i="17"/>
  <c r="Q2" i="17"/>
  <c r="X2" i="17"/>
  <c r="Z2" i="17"/>
  <c r="AC2" i="17"/>
  <c r="AE2" i="17"/>
  <c r="AH2" i="17"/>
  <c r="AK2" i="17"/>
  <c r="AO2" i="17"/>
  <c r="AQ2" i="17"/>
  <c r="AS2" i="17"/>
  <c r="BB2" i="17"/>
  <c r="BC2" i="17"/>
  <c r="BD2" i="17"/>
  <c r="BE2" i="17"/>
  <c r="BP2" i="17"/>
  <c r="BI2" i="17" s="1"/>
  <c r="BR2" i="17"/>
  <c r="BK2" i="17" s="1"/>
  <c r="BT2" i="17"/>
  <c r="BU2" i="17"/>
  <c r="BV2" i="17"/>
  <c r="BX2" i="17"/>
  <c r="CA2" i="17"/>
  <c r="CC2" i="17"/>
  <c r="CD2" i="17"/>
  <c r="CF2" i="17"/>
  <c r="CH2" i="17"/>
  <c r="CK2" i="17"/>
  <c r="CL2" i="17"/>
  <c r="CN2" i="17"/>
  <c r="CO2" i="17"/>
  <c r="CP2" i="17"/>
  <c r="CQ2" i="17"/>
  <c r="CT2" i="17"/>
  <c r="B10" i="17"/>
  <c r="C10" i="17"/>
  <c r="D10" i="17"/>
  <c r="B11" i="2"/>
  <c r="C11" i="2"/>
  <c r="D11" i="2"/>
  <c r="B9" i="2"/>
  <c r="C9" i="2"/>
  <c r="D9" i="2"/>
  <c r="B7" i="2"/>
  <c r="C7" i="2"/>
  <c r="D7" i="2"/>
  <c r="AF9" i="2"/>
  <c r="AI9" i="2" s="1"/>
  <c r="AG9" i="2"/>
  <c r="AJ9" i="2"/>
  <c r="AF11" i="2"/>
  <c r="AI11" i="2" s="1"/>
  <c r="AG11" i="2"/>
  <c r="AJ11" i="2"/>
  <c r="AF7" i="2"/>
  <c r="AI7" i="2" s="1"/>
  <c r="AG7" i="2"/>
  <c r="AJ7" i="2"/>
  <c r="A2" i="2"/>
  <c r="A3" i="2"/>
  <c r="A4" i="2"/>
  <c r="A5" i="2"/>
  <c r="A6" i="2"/>
  <c r="A7" i="2"/>
  <c r="E7" i="2"/>
  <c r="F7" i="2"/>
  <c r="G7" i="2"/>
  <c r="H7" i="2"/>
  <c r="I7" i="2"/>
  <c r="J7" i="2"/>
  <c r="L7" i="2"/>
  <c r="CY7" i="2" s="1"/>
  <c r="M7" i="2"/>
  <c r="N7" i="2" s="1"/>
  <c r="O7" i="2"/>
  <c r="P7" i="2"/>
  <c r="Q7" i="2"/>
  <c r="S7" i="2"/>
  <c r="T7" i="2" s="1"/>
  <c r="V7" i="2"/>
  <c r="X7" i="2"/>
  <c r="AA7" i="2"/>
  <c r="AB7" i="2"/>
  <c r="AC7" i="2"/>
  <c r="AD7" i="2"/>
  <c r="AE7" i="2"/>
  <c r="AN7" i="2"/>
  <c r="AV7" i="2" s="1"/>
  <c r="AQ7" i="2"/>
  <c r="AU7" i="2" s="1"/>
  <c r="AW7" i="2"/>
  <c r="AX7" i="2"/>
  <c r="AZ7" i="2"/>
  <c r="BD7" i="2"/>
  <c r="BF7" i="2"/>
  <c r="BI7" i="2"/>
  <c r="BK7" i="2"/>
  <c r="BM7" i="2"/>
  <c r="BN7" i="2"/>
  <c r="BP7" i="2"/>
  <c r="BQ7" i="2"/>
  <c r="BT7" i="2"/>
  <c r="BU7" i="2"/>
  <c r="BX7" i="2"/>
  <c r="CF7" i="2" s="1"/>
  <c r="BZ7" i="2"/>
  <c r="CB7" i="2"/>
  <c r="CE7" i="2"/>
  <c r="CG7" i="2"/>
  <c r="CI7" i="2"/>
  <c r="CJ7" i="2"/>
  <c r="CK7" i="2"/>
  <c r="CM7" i="2"/>
  <c r="CO7" i="2"/>
  <c r="CQ7" i="2"/>
  <c r="DA7" i="2"/>
  <c r="DC7" i="2"/>
  <c r="DE7" i="2"/>
  <c r="DG7" i="2"/>
  <c r="DI7" i="2"/>
  <c r="DJ7" i="2"/>
  <c r="DM7" i="2"/>
  <c r="DN7" i="2"/>
  <c r="A8" i="2"/>
  <c r="A9" i="2"/>
  <c r="A10" i="2"/>
  <c r="BD9" i="2"/>
  <c r="BF9" i="2"/>
  <c r="BI9" i="2"/>
  <c r="BK9" i="2"/>
  <c r="BM9" i="2"/>
  <c r="BD11" i="2"/>
  <c r="BF11" i="2"/>
  <c r="BI11" i="2"/>
  <c r="BK11" i="2"/>
  <c r="BM11" i="2"/>
  <c r="A4" i="15"/>
  <c r="B3" i="15"/>
  <c r="C3" i="15"/>
  <c r="D3" i="15"/>
  <c r="E3" i="15"/>
  <c r="F3" i="15"/>
  <c r="G3" i="15"/>
  <c r="H3" i="15"/>
  <c r="J3" i="15"/>
  <c r="AI3" i="15" s="1"/>
  <c r="K3" i="15"/>
  <c r="L3" i="15" s="1"/>
  <c r="M3" i="15"/>
  <c r="N3" i="15"/>
  <c r="O3" i="15"/>
  <c r="Q3" i="15"/>
  <c r="R3" i="15"/>
  <c r="W3" i="15"/>
  <c r="X3" i="15"/>
  <c r="Y3" i="15"/>
  <c r="Z3" i="15"/>
  <c r="AA3" i="15"/>
  <c r="AB3" i="15" s="1"/>
  <c r="AD3" i="15"/>
  <c r="EA3" i="15" s="1"/>
  <c r="AH3" i="15"/>
  <c r="AJ3" i="15"/>
  <c r="AL3" i="15"/>
  <c r="AN3" i="15"/>
  <c r="AO3" i="15"/>
  <c r="AP3" i="15"/>
  <c r="AQ3" i="15"/>
  <c r="AR3" i="15"/>
  <c r="AS3" i="15"/>
  <c r="AT3" i="15"/>
  <c r="AV3" i="15"/>
  <c r="AY3" i="15"/>
  <c r="AZ3" i="15"/>
  <c r="BC3" i="15"/>
  <c r="BD3" i="15"/>
  <c r="BE3" i="15"/>
  <c r="BI3" i="15"/>
  <c r="BK3" i="15"/>
  <c r="BL3" i="15"/>
  <c r="BP3" i="15"/>
  <c r="BQ3" i="15"/>
  <c r="BU3" i="15" s="1"/>
  <c r="BS3" i="15"/>
  <c r="BV3" i="15"/>
  <c r="BX3" i="15"/>
  <c r="BZ3" i="15"/>
  <c r="CD3" i="15"/>
  <c r="CE3" i="15"/>
  <c r="CF3" i="15"/>
  <c r="CH3" i="15"/>
  <c r="CJ3" i="15"/>
  <c r="CM3" i="15"/>
  <c r="CO3" i="15"/>
  <c r="CS3" i="15"/>
  <c r="CV3" i="15"/>
  <c r="CX3" i="15"/>
  <c r="DD3" i="15"/>
  <c r="DE3" i="15" s="1"/>
  <c r="DG3" i="15"/>
  <c r="DH3" i="15" s="1"/>
  <c r="DI3" i="15"/>
  <c r="DL3" i="15"/>
  <c r="DM3" i="15"/>
  <c r="DO3" i="15"/>
  <c r="DR3" i="15"/>
  <c r="DT3" i="15"/>
  <c r="DV3" i="15"/>
  <c r="DW3" i="15"/>
  <c r="DY3" i="15"/>
  <c r="DZ3" i="15"/>
  <c r="EC3" i="15"/>
  <c r="EE3" i="15"/>
  <c r="EH3" i="15"/>
  <c r="EJ3" i="15"/>
  <c r="EK3" i="15"/>
  <c r="EL3" i="15"/>
  <c r="EM3" i="15"/>
  <c r="EN3" i="15"/>
  <c r="EO3" i="15"/>
  <c r="EQ3" i="15"/>
  <c r="ET3" i="15"/>
  <c r="EX3" i="15"/>
  <c r="EY3" i="15"/>
  <c r="FA3" i="15"/>
  <c r="FC3" i="15"/>
  <c r="A5" i="15"/>
  <c r="B2" i="15"/>
  <c r="C2" i="15"/>
  <c r="D2" i="15"/>
  <c r="E2" i="15"/>
  <c r="F2" i="15"/>
  <c r="G2" i="15"/>
  <c r="H2" i="15"/>
  <c r="J2" i="15"/>
  <c r="AI2" i="15" s="1"/>
  <c r="K2" i="15"/>
  <c r="L2" i="15" s="1"/>
  <c r="M2" i="15"/>
  <c r="N2" i="15"/>
  <c r="O2" i="15"/>
  <c r="Q2" i="15"/>
  <c r="R2" i="15"/>
  <c r="W2" i="15"/>
  <c r="X2" i="15"/>
  <c r="Y2" i="15"/>
  <c r="Z2" i="15"/>
  <c r="AA2" i="15"/>
  <c r="AB2" i="15" s="1"/>
  <c r="AD2" i="15"/>
  <c r="EB2" i="15" s="1"/>
  <c r="AH2" i="15"/>
  <c r="AJ2" i="15"/>
  <c r="AL2" i="15"/>
  <c r="AN2" i="15"/>
  <c r="AQ2" i="15"/>
  <c r="AR2" i="15"/>
  <c r="AS2" i="15"/>
  <c r="AT2" i="15"/>
  <c r="AV2" i="15"/>
  <c r="AY2" i="15"/>
  <c r="AZ2" i="15"/>
  <c r="BC2" i="15"/>
  <c r="BD2" i="15"/>
  <c r="BE2" i="15"/>
  <c r="BG2" i="15"/>
  <c r="BI2" i="15"/>
  <c r="BK2" i="15"/>
  <c r="BL2" i="15"/>
  <c r="BP2" i="15"/>
  <c r="BQ2" i="15"/>
  <c r="BS2" i="15"/>
  <c r="BV2" i="15"/>
  <c r="BX2" i="15"/>
  <c r="BZ2" i="15"/>
  <c r="CD2" i="15"/>
  <c r="CE2" i="15"/>
  <c r="CF2" i="15"/>
  <c r="CH2" i="15"/>
  <c r="CJ2" i="15"/>
  <c r="CM2" i="15"/>
  <c r="CO2" i="15"/>
  <c r="CS2" i="15"/>
  <c r="CV2" i="15"/>
  <c r="CX2" i="15"/>
  <c r="DD2" i="15"/>
  <c r="DG2" i="15"/>
  <c r="DH2" i="15" s="1"/>
  <c r="DI2" i="15"/>
  <c r="DL2" i="15"/>
  <c r="DK2" i="15" s="1"/>
  <c r="DM2" i="15"/>
  <c r="DO2" i="15"/>
  <c r="DR2" i="15"/>
  <c r="DT2" i="15"/>
  <c r="DV2" i="15"/>
  <c r="DW2" i="15"/>
  <c r="DY2" i="15"/>
  <c r="DZ2" i="15"/>
  <c r="EC2" i="15"/>
  <c r="EE2" i="15"/>
  <c r="EH2" i="15"/>
  <c r="EJ2" i="15"/>
  <c r="EL2" i="15"/>
  <c r="EM2" i="15"/>
  <c r="EN2" i="15"/>
  <c r="EO2" i="15"/>
  <c r="EP2" i="15" s="1"/>
  <c r="EQ2" i="15"/>
  <c r="ET2" i="15"/>
  <c r="EV2" i="15" s="1"/>
  <c r="EX2" i="15"/>
  <c r="EY2" i="15"/>
  <c r="FA2" i="15"/>
  <c r="FC2" i="15"/>
  <c r="A6" i="15"/>
  <c r="B7" i="15"/>
  <c r="C7" i="15"/>
  <c r="D7" i="15"/>
  <c r="E7" i="15"/>
  <c r="F7" i="15"/>
  <c r="G7" i="15"/>
  <c r="H7" i="15"/>
  <c r="J7" i="15"/>
  <c r="BR7" i="15" s="1"/>
  <c r="K7" i="15"/>
  <c r="L7" i="15" s="1"/>
  <c r="M7" i="15"/>
  <c r="N7" i="15"/>
  <c r="O7" i="15"/>
  <c r="Q7" i="15"/>
  <c r="R7" i="15"/>
  <c r="W7" i="15"/>
  <c r="X7" i="15"/>
  <c r="Y7" i="15"/>
  <c r="Z7" i="15"/>
  <c r="AA7" i="15"/>
  <c r="AB7" i="15" s="1"/>
  <c r="AD7" i="15"/>
  <c r="AH7" i="15"/>
  <c r="AJ7" i="15"/>
  <c r="AL7" i="15"/>
  <c r="AM7" i="15"/>
  <c r="AN7" i="15"/>
  <c r="AQ7" i="15"/>
  <c r="AR7" i="15"/>
  <c r="AS7" i="15"/>
  <c r="AT7" i="15"/>
  <c r="AV7" i="15"/>
  <c r="AY7" i="15"/>
  <c r="AZ7" i="15"/>
  <c r="BC7" i="15"/>
  <c r="BD7" i="15"/>
  <c r="BE7" i="15"/>
  <c r="BI7" i="15"/>
  <c r="BK7" i="15"/>
  <c r="BL7" i="15"/>
  <c r="BP7" i="15"/>
  <c r="BQ7" i="15"/>
  <c r="BS7" i="15"/>
  <c r="BV7" i="15"/>
  <c r="BX7" i="15"/>
  <c r="BZ7" i="15"/>
  <c r="CD7" i="15"/>
  <c r="CE7" i="15"/>
  <c r="CF7" i="15"/>
  <c r="CG7" i="15" s="1"/>
  <c r="CH7" i="15"/>
  <c r="CJ7" i="15"/>
  <c r="CM7" i="15"/>
  <c r="CO7" i="15"/>
  <c r="CS7" i="15"/>
  <c r="CV7" i="15"/>
  <c r="CX7" i="15"/>
  <c r="DD7" i="15"/>
  <c r="DG7" i="15"/>
  <c r="DI7" i="15"/>
  <c r="DL7" i="15"/>
  <c r="DM7" i="15"/>
  <c r="DO7" i="15"/>
  <c r="DR7" i="15"/>
  <c r="DT7" i="15"/>
  <c r="DV7" i="15"/>
  <c r="DW7" i="15"/>
  <c r="DY7" i="15"/>
  <c r="DZ7" i="15"/>
  <c r="EC7" i="15"/>
  <c r="EE7" i="15"/>
  <c r="EH7" i="15"/>
  <c r="EJ7" i="15"/>
  <c r="EL7" i="15"/>
  <c r="EM7" i="15"/>
  <c r="EN7" i="15"/>
  <c r="EO7" i="15"/>
  <c r="EQ7" i="15"/>
  <c r="ET7" i="15"/>
  <c r="EX7" i="15"/>
  <c r="EY7" i="15"/>
  <c r="FA7" i="15"/>
  <c r="FC7" i="15"/>
  <c r="A7" i="15"/>
  <c r="B4" i="15"/>
  <c r="C4" i="15"/>
  <c r="D4" i="15"/>
  <c r="E4" i="15"/>
  <c r="F4" i="15"/>
  <c r="G4" i="15"/>
  <c r="H4" i="15"/>
  <c r="J4" i="15"/>
  <c r="AM4" i="15" s="1"/>
  <c r="K4" i="15"/>
  <c r="L4" i="15" s="1"/>
  <c r="M4" i="15"/>
  <c r="N4" i="15"/>
  <c r="O4" i="15"/>
  <c r="Q4" i="15"/>
  <c r="R4" i="15"/>
  <c r="W4" i="15"/>
  <c r="X4" i="15"/>
  <c r="Y4" i="15"/>
  <c r="Z4" i="15"/>
  <c r="AA4" i="15"/>
  <c r="AB4" i="15" s="1"/>
  <c r="AD4" i="15"/>
  <c r="EA4" i="15" s="1"/>
  <c r="AH4" i="15"/>
  <c r="AJ4" i="15"/>
  <c r="AL4" i="15"/>
  <c r="AN4" i="15"/>
  <c r="AQ4" i="15"/>
  <c r="AR4" i="15"/>
  <c r="AS4" i="15"/>
  <c r="AT4" i="15"/>
  <c r="AV4" i="15"/>
  <c r="AY4" i="15"/>
  <c r="AZ4" i="15"/>
  <c r="BC4" i="15"/>
  <c r="BD4" i="15"/>
  <c r="BE4" i="15"/>
  <c r="BI4" i="15"/>
  <c r="BK4" i="15"/>
  <c r="BL4" i="15"/>
  <c r="BP4" i="15"/>
  <c r="BQ4" i="15"/>
  <c r="BS4" i="15"/>
  <c r="BV4" i="15"/>
  <c r="BX4" i="15"/>
  <c r="BZ4" i="15"/>
  <c r="CD4" i="15"/>
  <c r="CE4" i="15"/>
  <c r="CF4" i="15"/>
  <c r="CH4" i="15"/>
  <c r="CJ4" i="15"/>
  <c r="CM4" i="15"/>
  <c r="CO4" i="15"/>
  <c r="CS4" i="15"/>
  <c r="CV4" i="15"/>
  <c r="CX4" i="15"/>
  <c r="DD4" i="15"/>
  <c r="DG4" i="15"/>
  <c r="DI4" i="15"/>
  <c r="DL4" i="15"/>
  <c r="DM4" i="15"/>
  <c r="DO4" i="15"/>
  <c r="DR4" i="15"/>
  <c r="DT4" i="15"/>
  <c r="DV4" i="15"/>
  <c r="DW4" i="15"/>
  <c r="DY4" i="15"/>
  <c r="DZ4" i="15"/>
  <c r="EC4" i="15"/>
  <c r="EE4" i="15"/>
  <c r="EH4" i="15"/>
  <c r="EJ4" i="15"/>
  <c r="EL4" i="15"/>
  <c r="EM4" i="15"/>
  <c r="EN4" i="15"/>
  <c r="EO4" i="15"/>
  <c r="EQ4" i="15"/>
  <c r="ET4" i="15"/>
  <c r="EV4" i="15" s="1"/>
  <c r="EX4" i="15"/>
  <c r="EY4" i="15"/>
  <c r="FA4" i="15"/>
  <c r="FC4" i="15"/>
  <c r="A8" i="15"/>
  <c r="B10" i="15"/>
  <c r="C10" i="15"/>
  <c r="D10" i="15"/>
  <c r="E10" i="15"/>
  <c r="F10" i="15"/>
  <c r="G10" i="15"/>
  <c r="H10" i="15"/>
  <c r="J10" i="15"/>
  <c r="AI10" i="15" s="1"/>
  <c r="K10" i="15"/>
  <c r="L10" i="15" s="1"/>
  <c r="M10" i="15"/>
  <c r="N10" i="15"/>
  <c r="O10" i="15"/>
  <c r="Q10" i="15"/>
  <c r="R10" i="15"/>
  <c r="W10" i="15"/>
  <c r="X10" i="15"/>
  <c r="Y10" i="15"/>
  <c r="Z10" i="15"/>
  <c r="AA10" i="15"/>
  <c r="AB10" i="15" s="1"/>
  <c r="AD10" i="15"/>
  <c r="EA10" i="15" s="1"/>
  <c r="AH10" i="15"/>
  <c r="AJ10" i="15"/>
  <c r="AL10" i="15"/>
  <c r="AM10" i="15"/>
  <c r="AN10" i="15"/>
  <c r="AQ10" i="15"/>
  <c r="AR10" i="15"/>
  <c r="AS10" i="15"/>
  <c r="AT10" i="15"/>
  <c r="AV10" i="15"/>
  <c r="AY10" i="15"/>
  <c r="AZ10" i="15"/>
  <c r="BC10" i="15"/>
  <c r="BD10" i="15"/>
  <c r="BE10" i="15"/>
  <c r="BI10" i="15"/>
  <c r="BK10" i="15"/>
  <c r="BL10" i="15"/>
  <c r="BP10" i="15"/>
  <c r="BQ10" i="15"/>
  <c r="BS10" i="15"/>
  <c r="BV10" i="15"/>
  <c r="BX10" i="15"/>
  <c r="BZ10" i="15"/>
  <c r="CD10" i="15"/>
  <c r="CE10" i="15"/>
  <c r="CF10" i="15"/>
  <c r="CH10" i="15"/>
  <c r="CJ10" i="15"/>
  <c r="CM10" i="15"/>
  <c r="CO10" i="15"/>
  <c r="CS10" i="15"/>
  <c r="CV10" i="15"/>
  <c r="CX10" i="15"/>
  <c r="DD10" i="15"/>
  <c r="DG10" i="15"/>
  <c r="DH10" i="15" s="1"/>
  <c r="DI10" i="15"/>
  <c r="DL10" i="15"/>
  <c r="DM10" i="15"/>
  <c r="DO10" i="15"/>
  <c r="DR10" i="15"/>
  <c r="DT10" i="15"/>
  <c r="DV10" i="15"/>
  <c r="DW10" i="15"/>
  <c r="DY10" i="15"/>
  <c r="DZ10" i="15"/>
  <c r="EC10" i="15"/>
  <c r="EE10" i="15"/>
  <c r="EH10" i="15"/>
  <c r="EJ10" i="15"/>
  <c r="EL10" i="15"/>
  <c r="EM10" i="15"/>
  <c r="EN10" i="15"/>
  <c r="EO10" i="15"/>
  <c r="EQ10" i="15"/>
  <c r="ET10" i="15"/>
  <c r="EX10" i="15"/>
  <c r="EY10" i="15"/>
  <c r="FA10" i="15"/>
  <c r="FC10" i="15"/>
  <c r="A9" i="15"/>
  <c r="A10" i="15"/>
  <c r="B6" i="15"/>
  <c r="C6" i="15"/>
  <c r="D6" i="15"/>
  <c r="E6" i="15"/>
  <c r="F6" i="15"/>
  <c r="G6" i="15"/>
  <c r="H6" i="15"/>
  <c r="J6" i="15"/>
  <c r="K6" i="15"/>
  <c r="L6" i="15" s="1"/>
  <c r="M6" i="15"/>
  <c r="N6" i="15"/>
  <c r="O6" i="15"/>
  <c r="Q6" i="15"/>
  <c r="R6" i="15"/>
  <c r="W6" i="15"/>
  <c r="X6" i="15"/>
  <c r="Y6" i="15"/>
  <c r="Z6" i="15"/>
  <c r="AA6" i="15"/>
  <c r="BG6" i="15" s="1"/>
  <c r="AD6" i="15"/>
  <c r="EA6" i="15" s="1"/>
  <c r="AH6" i="15"/>
  <c r="AJ6" i="15"/>
  <c r="AL6" i="15"/>
  <c r="AN6" i="15"/>
  <c r="AQ6" i="15"/>
  <c r="AR6" i="15"/>
  <c r="AS6" i="15"/>
  <c r="AT6" i="15"/>
  <c r="AV6" i="15"/>
  <c r="AY6" i="15"/>
  <c r="AZ6" i="15"/>
  <c r="BC6" i="15"/>
  <c r="BD6" i="15"/>
  <c r="BE6" i="15"/>
  <c r="BI6" i="15"/>
  <c r="BK6" i="15"/>
  <c r="BL6" i="15"/>
  <c r="BP6" i="15"/>
  <c r="BQ6" i="15"/>
  <c r="BS6" i="15"/>
  <c r="BV6" i="15"/>
  <c r="BX6" i="15"/>
  <c r="BZ6" i="15"/>
  <c r="CD6" i="15"/>
  <c r="CE6" i="15"/>
  <c r="CF6" i="15"/>
  <c r="CH6" i="15"/>
  <c r="CJ6" i="15"/>
  <c r="CM6" i="15"/>
  <c r="CO6" i="15"/>
  <c r="CS6" i="15"/>
  <c r="CV6" i="15"/>
  <c r="CX6" i="15"/>
  <c r="DD6" i="15"/>
  <c r="DG6" i="15"/>
  <c r="DI6" i="15"/>
  <c r="DL6" i="15"/>
  <c r="DM6" i="15"/>
  <c r="DO6" i="15"/>
  <c r="DR6" i="15"/>
  <c r="DT6" i="15"/>
  <c r="DV6" i="15"/>
  <c r="DW6" i="15"/>
  <c r="DY6" i="15"/>
  <c r="DZ6" i="15"/>
  <c r="EC6" i="15"/>
  <c r="EE6" i="15"/>
  <c r="EH6" i="15"/>
  <c r="EJ6" i="15"/>
  <c r="EL6" i="15"/>
  <c r="EM6" i="15"/>
  <c r="EN6" i="15"/>
  <c r="EO6" i="15"/>
  <c r="EQ6" i="15"/>
  <c r="ET6" i="15"/>
  <c r="EX6" i="15"/>
  <c r="EY6" i="15"/>
  <c r="FA6" i="15"/>
  <c r="FC6" i="15"/>
  <c r="B5" i="15"/>
  <c r="C5" i="15"/>
  <c r="D5" i="15"/>
  <c r="E5" i="15"/>
  <c r="F5" i="15"/>
  <c r="G5" i="15"/>
  <c r="H5" i="15"/>
  <c r="J5" i="15"/>
  <c r="AI5" i="15" s="1"/>
  <c r="K5" i="15"/>
  <c r="L5" i="15" s="1"/>
  <c r="M5" i="15"/>
  <c r="N5" i="15"/>
  <c r="O5" i="15"/>
  <c r="Q5" i="15"/>
  <c r="R5" i="15"/>
  <c r="W5" i="15"/>
  <c r="X5" i="15"/>
  <c r="Y5" i="15"/>
  <c r="Z5" i="15"/>
  <c r="AA5" i="15"/>
  <c r="BG5" i="15" s="1"/>
  <c r="AD5" i="15"/>
  <c r="AH5" i="15"/>
  <c r="AJ5" i="15"/>
  <c r="AL5" i="15"/>
  <c r="AN5" i="15"/>
  <c r="AQ5" i="15"/>
  <c r="AR5" i="15"/>
  <c r="AS5" i="15"/>
  <c r="AT5" i="15"/>
  <c r="AV5" i="15"/>
  <c r="AY5" i="15"/>
  <c r="AZ5" i="15"/>
  <c r="BC5" i="15"/>
  <c r="BD5" i="15"/>
  <c r="BE5" i="15"/>
  <c r="BI5" i="15"/>
  <c r="BK5" i="15"/>
  <c r="BL5" i="15"/>
  <c r="BP5" i="15"/>
  <c r="BQ5" i="15"/>
  <c r="BS5" i="15"/>
  <c r="BV5" i="15"/>
  <c r="BX5" i="15"/>
  <c r="BZ5" i="15"/>
  <c r="CD5" i="15"/>
  <c r="CE5" i="15"/>
  <c r="CF5" i="15"/>
  <c r="CH5" i="15"/>
  <c r="CJ5" i="15"/>
  <c r="CM5" i="15"/>
  <c r="CO5" i="15"/>
  <c r="CS5" i="15"/>
  <c r="CV5" i="15"/>
  <c r="CX5" i="15"/>
  <c r="DD5" i="15"/>
  <c r="DG5" i="15"/>
  <c r="DI5" i="15"/>
  <c r="DL5" i="15"/>
  <c r="DM5" i="15"/>
  <c r="DO5" i="15"/>
  <c r="DR5" i="15"/>
  <c r="DT5" i="15"/>
  <c r="DV5" i="15"/>
  <c r="DW5" i="15"/>
  <c r="DY5" i="15"/>
  <c r="DZ5" i="15"/>
  <c r="EC5" i="15"/>
  <c r="EE5" i="15"/>
  <c r="EH5" i="15"/>
  <c r="EJ5" i="15"/>
  <c r="EL5" i="15"/>
  <c r="EM5" i="15"/>
  <c r="EN5" i="15"/>
  <c r="EO5" i="15"/>
  <c r="EQ5" i="15"/>
  <c r="ET5" i="15"/>
  <c r="EX5" i="15"/>
  <c r="EY5" i="15"/>
  <c r="FA5" i="15"/>
  <c r="FC5" i="15"/>
  <c r="A11" i="15"/>
  <c r="B9" i="15"/>
  <c r="C9" i="15"/>
  <c r="D9" i="15"/>
  <c r="E9" i="15"/>
  <c r="F9" i="15"/>
  <c r="G9" i="15"/>
  <c r="H9" i="15"/>
  <c r="J9" i="15"/>
  <c r="BR9" i="15" s="1"/>
  <c r="K9" i="15"/>
  <c r="L9" i="15" s="1"/>
  <c r="M9" i="15"/>
  <c r="N9" i="15"/>
  <c r="O9" i="15"/>
  <c r="Q9" i="15"/>
  <c r="R9" i="15"/>
  <c r="W9" i="15"/>
  <c r="X9" i="15"/>
  <c r="Y9" i="15"/>
  <c r="Z9" i="15"/>
  <c r="AA9" i="15"/>
  <c r="AB9" i="15" s="1"/>
  <c r="AD9" i="15"/>
  <c r="EA9" i="15" s="1"/>
  <c r="AH9" i="15"/>
  <c r="AJ9" i="15"/>
  <c r="AL9" i="15"/>
  <c r="AN9" i="15"/>
  <c r="AQ9" i="15"/>
  <c r="AR9" i="15"/>
  <c r="AS9" i="15"/>
  <c r="AT9" i="15"/>
  <c r="AV9" i="15"/>
  <c r="AY9" i="15"/>
  <c r="AZ9" i="15"/>
  <c r="BC9" i="15"/>
  <c r="BD9" i="15"/>
  <c r="BE9" i="15"/>
  <c r="BI9" i="15"/>
  <c r="BK9" i="15"/>
  <c r="BL9" i="15"/>
  <c r="BP9" i="15"/>
  <c r="BQ9" i="15"/>
  <c r="BS9" i="15"/>
  <c r="BV9" i="15"/>
  <c r="BX9" i="15"/>
  <c r="BZ9" i="15"/>
  <c r="CD9" i="15"/>
  <c r="CE9" i="15"/>
  <c r="CF9" i="15"/>
  <c r="CH9" i="15"/>
  <c r="CJ9" i="15"/>
  <c r="CM9" i="15"/>
  <c r="CO9" i="15"/>
  <c r="CS9" i="15"/>
  <c r="CV9" i="15"/>
  <c r="CX9" i="15"/>
  <c r="DD9" i="15"/>
  <c r="DG9" i="15"/>
  <c r="DI9" i="15"/>
  <c r="DL9" i="15"/>
  <c r="DM9" i="15"/>
  <c r="DO9" i="15"/>
  <c r="DR9" i="15"/>
  <c r="DT9" i="15"/>
  <c r="DV9" i="15"/>
  <c r="DW9" i="15"/>
  <c r="DY9" i="15"/>
  <c r="DZ9" i="15"/>
  <c r="EC9" i="15"/>
  <c r="EE9" i="15"/>
  <c r="EH9" i="15"/>
  <c r="EJ9" i="15"/>
  <c r="EL9" i="15"/>
  <c r="EM9" i="15"/>
  <c r="EN9" i="15"/>
  <c r="EO9" i="15"/>
  <c r="EQ9" i="15"/>
  <c r="ET9" i="15"/>
  <c r="EX9" i="15"/>
  <c r="EY9" i="15"/>
  <c r="FA9" i="15"/>
  <c r="FC9" i="15"/>
  <c r="A2" i="10"/>
  <c r="A3" i="10"/>
  <c r="A4" i="10"/>
  <c r="B3" i="10"/>
  <c r="C3" i="10"/>
  <c r="D3" i="10"/>
  <c r="E3" i="10"/>
  <c r="F3" i="10"/>
  <c r="G3" i="10"/>
  <c r="H3" i="10"/>
  <c r="I3" i="10"/>
  <c r="J3" i="10"/>
  <c r="L3" i="10"/>
  <c r="DP3" i="10" s="1"/>
  <c r="M3" i="10"/>
  <c r="N3" i="10" s="1"/>
  <c r="O3" i="10"/>
  <c r="P3" i="10"/>
  <c r="Q3" i="10"/>
  <c r="U3" i="10"/>
  <c r="V3" i="10" s="1"/>
  <c r="X3" i="10"/>
  <c r="Y3" i="10"/>
  <c r="AA3" i="10"/>
  <c r="AB3" i="10"/>
  <c r="AD3" i="10"/>
  <c r="AN3" i="10"/>
  <c r="AP3" i="10"/>
  <c r="AR3" i="10"/>
  <c r="AU3" i="10"/>
  <c r="AV3" i="10"/>
  <c r="AW3" i="10"/>
  <c r="AX3" i="10"/>
  <c r="BA3" i="10"/>
  <c r="BC3" i="10"/>
  <c r="BE3" i="10"/>
  <c r="BJ3" i="10"/>
  <c r="BL3" i="10"/>
  <c r="BN3" i="10"/>
  <c r="BP3" i="10"/>
  <c r="BR3" i="10"/>
  <c r="BT3" i="10"/>
  <c r="BU3" i="10"/>
  <c r="BV3" i="10"/>
  <c r="BW3" i="10"/>
  <c r="BX3" i="10"/>
  <c r="CD3" i="10"/>
  <c r="CE3" i="10"/>
  <c r="CF3" i="10"/>
  <c r="CJ3" i="10"/>
  <c r="DR3" i="10" s="1"/>
  <c r="CN3" i="10"/>
  <c r="CS3" i="10"/>
  <c r="CW3" i="10"/>
  <c r="CY3" i="10"/>
  <c r="DB3" i="10"/>
  <c r="DE3" i="10"/>
  <c r="EG3" i="10" s="1"/>
  <c r="DG3" i="10"/>
  <c r="DJ3" i="10"/>
  <c r="DL3" i="10"/>
  <c r="DN3" i="10"/>
  <c r="DQ3" i="10"/>
  <c r="DT3" i="10"/>
  <c r="DW3" i="10"/>
  <c r="EB3" i="10"/>
  <c r="ED3" i="10"/>
  <c r="EI3" i="10"/>
  <c r="EN3" i="10"/>
  <c r="EP3" i="10"/>
  <c r="EQ3" i="10"/>
  <c r="B2" i="10"/>
  <c r="C2" i="10"/>
  <c r="D2" i="10"/>
  <c r="E2" i="10"/>
  <c r="F2" i="10"/>
  <c r="G2" i="10"/>
  <c r="H2" i="10"/>
  <c r="I2" i="10"/>
  <c r="J2" i="10"/>
  <c r="L2" i="10"/>
  <c r="EA2" i="10" s="1"/>
  <c r="M2" i="10"/>
  <c r="N2" i="10" s="1"/>
  <c r="O2" i="10"/>
  <c r="P2" i="10"/>
  <c r="Q2" i="10"/>
  <c r="U2" i="10"/>
  <c r="V2" i="10" s="1"/>
  <c r="X2" i="10"/>
  <c r="Y2" i="10"/>
  <c r="AA2" i="10"/>
  <c r="AB2" i="10"/>
  <c r="AD2" i="10"/>
  <c r="AN2" i="10"/>
  <c r="AP2" i="10"/>
  <c r="AR2" i="10"/>
  <c r="AU2" i="10"/>
  <c r="AV2" i="10"/>
  <c r="AW2" i="10"/>
  <c r="AC2" i="10" s="1"/>
  <c r="AX2" i="10"/>
  <c r="BA2" i="10"/>
  <c r="BC2" i="10"/>
  <c r="BE2" i="10"/>
  <c r="BJ2" i="10"/>
  <c r="BL2" i="10"/>
  <c r="BN2" i="10"/>
  <c r="BP2" i="10"/>
  <c r="BR2" i="10"/>
  <c r="BT2" i="10"/>
  <c r="BU2" i="10"/>
  <c r="BV2" i="10"/>
  <c r="BW2" i="10"/>
  <c r="BX2" i="10"/>
  <c r="CD2" i="10"/>
  <c r="CE2" i="10"/>
  <c r="CF2" i="10"/>
  <c r="CJ2" i="10"/>
  <c r="CH2" i="10" s="1"/>
  <c r="CN2" i="10"/>
  <c r="CU2" i="10" s="1"/>
  <c r="CS2" i="10"/>
  <c r="CW2" i="10"/>
  <c r="CY2" i="10"/>
  <c r="DB2" i="10"/>
  <c r="DE2" i="10"/>
  <c r="EG2" i="10" s="1"/>
  <c r="DG2" i="10"/>
  <c r="DJ2" i="10"/>
  <c r="DL2" i="10"/>
  <c r="DN2" i="10"/>
  <c r="DQ2" i="10"/>
  <c r="DT2" i="10"/>
  <c r="DW2" i="10"/>
  <c r="EB2" i="10"/>
  <c r="ED2" i="10"/>
  <c r="EI2" i="10"/>
  <c r="EN2" i="10"/>
  <c r="EP2" i="10"/>
  <c r="EQ2" i="10"/>
  <c r="B4" i="10"/>
  <c r="C4" i="10"/>
  <c r="D4" i="10"/>
  <c r="E4" i="10"/>
  <c r="F4" i="10"/>
  <c r="G4" i="10"/>
  <c r="H4" i="10"/>
  <c r="I4" i="10"/>
  <c r="J4" i="10"/>
  <c r="L4" i="10"/>
  <c r="M4" i="10"/>
  <c r="N4" i="10" s="1"/>
  <c r="O4" i="10"/>
  <c r="P4" i="10"/>
  <c r="Q4" i="10"/>
  <c r="U4" i="10"/>
  <c r="V4" i="10" s="1"/>
  <c r="X4" i="10"/>
  <c r="Y4" i="10"/>
  <c r="AA4" i="10"/>
  <c r="AB4" i="10"/>
  <c r="AD4" i="10"/>
  <c r="AN4" i="10"/>
  <c r="AP4" i="10"/>
  <c r="AR4" i="10"/>
  <c r="AU4" i="10"/>
  <c r="AV4" i="10"/>
  <c r="AW4" i="10"/>
  <c r="AC4" i="10" s="1"/>
  <c r="AX4" i="10"/>
  <c r="BA4" i="10"/>
  <c r="BC4" i="10"/>
  <c r="BE4" i="10"/>
  <c r="BJ4" i="10"/>
  <c r="BL4" i="10"/>
  <c r="BN4" i="10"/>
  <c r="BP4" i="10"/>
  <c r="BR4" i="10"/>
  <c r="BT4" i="10"/>
  <c r="BU4" i="10"/>
  <c r="BV4" i="10"/>
  <c r="BW4" i="10"/>
  <c r="BX4" i="10"/>
  <c r="CD4" i="10"/>
  <c r="CE4" i="10"/>
  <c r="CF4" i="10"/>
  <c r="CJ4" i="10"/>
  <c r="CH4" i="10" s="1"/>
  <c r="CN4" i="10"/>
  <c r="DY4" i="10" s="1"/>
  <c r="CS4" i="10"/>
  <c r="CW4" i="10"/>
  <c r="CY4" i="10"/>
  <c r="DB4" i="10"/>
  <c r="DE4" i="10"/>
  <c r="EG4" i="10" s="1"/>
  <c r="DG4" i="10"/>
  <c r="DJ4" i="10"/>
  <c r="DL4" i="10"/>
  <c r="DN4" i="10"/>
  <c r="DD4" i="10" s="1"/>
  <c r="DQ4" i="10"/>
  <c r="DT4" i="10"/>
  <c r="DW4" i="10"/>
  <c r="EB4" i="10"/>
  <c r="ED4" i="10"/>
  <c r="EI4" i="10"/>
  <c r="EN4" i="10"/>
  <c r="EP4" i="10"/>
  <c r="EQ4" i="10"/>
  <c r="B9" i="6"/>
  <c r="C9" i="6"/>
  <c r="D9" i="6"/>
  <c r="E9" i="6"/>
  <c r="F9" i="6"/>
  <c r="G9" i="6"/>
  <c r="H9" i="6"/>
  <c r="I9" i="6"/>
  <c r="K9" i="6"/>
  <c r="L9" i="6"/>
  <c r="M9" i="6" s="1"/>
  <c r="N9" i="6"/>
  <c r="O9" i="6"/>
  <c r="P9" i="6"/>
  <c r="S9" i="6"/>
  <c r="U9" i="6"/>
  <c r="W9" i="6"/>
  <c r="Y9" i="6"/>
  <c r="AC9" i="6"/>
  <c r="AD9" i="6"/>
  <c r="AG9" i="6"/>
  <c r="AI9" i="6"/>
  <c r="AK9" i="6"/>
  <c r="AN9" i="6"/>
  <c r="AP9" i="6"/>
  <c r="AR9" i="6"/>
  <c r="AS9" i="6" s="1"/>
  <c r="AU9" i="6"/>
  <c r="AW9" i="6"/>
  <c r="AZ9" i="6"/>
  <c r="CU9" i="6" s="1"/>
  <c r="BB9" i="6"/>
  <c r="BC9" i="6"/>
  <c r="BG9" i="6" s="1"/>
  <c r="BE9" i="6"/>
  <c r="BH9" i="6"/>
  <c r="BJ9" i="6"/>
  <c r="BM9" i="6"/>
  <c r="BO9" i="6"/>
  <c r="BP9" i="6"/>
  <c r="BQ9" i="6"/>
  <c r="BR9" i="6" s="1"/>
  <c r="BU9" i="6"/>
  <c r="BW9" i="6"/>
  <c r="BY9" i="6"/>
  <c r="CC9" i="6"/>
  <c r="CD9" i="6" s="1"/>
  <c r="CE9" i="6"/>
  <c r="CG9" i="6"/>
  <c r="CI9" i="6"/>
  <c r="CL9" i="6"/>
  <c r="CN9" i="6"/>
  <c r="CQ9" i="6"/>
  <c r="CS9" i="6"/>
  <c r="CY9" i="6"/>
  <c r="DC9" i="6"/>
  <c r="DD9" i="6"/>
  <c r="DF9" i="6"/>
  <c r="DG9" i="6"/>
  <c r="A2" i="6"/>
  <c r="A3" i="6"/>
  <c r="A4" i="6"/>
  <c r="A5" i="6"/>
  <c r="B2" i="6"/>
  <c r="C2" i="6"/>
  <c r="D2" i="6"/>
  <c r="E2" i="6"/>
  <c r="F2" i="6"/>
  <c r="G2" i="6"/>
  <c r="H2" i="6"/>
  <c r="I2" i="6"/>
  <c r="K2" i="6"/>
  <c r="L2" i="6"/>
  <c r="M2" i="6" s="1"/>
  <c r="N2" i="6"/>
  <c r="O2" i="6"/>
  <c r="P2" i="6"/>
  <c r="S2" i="6"/>
  <c r="U2" i="6"/>
  <c r="W2" i="6"/>
  <c r="Y2" i="6"/>
  <c r="AC2" i="6"/>
  <c r="AD2" i="6"/>
  <c r="AG2" i="6"/>
  <c r="CA2" i="6" s="1"/>
  <c r="AI2" i="6"/>
  <c r="AK2" i="6"/>
  <c r="AN2" i="6"/>
  <c r="AP2" i="6"/>
  <c r="AR2" i="6"/>
  <c r="AU2" i="6"/>
  <c r="AW2" i="6"/>
  <c r="AZ2" i="6"/>
  <c r="BB2" i="6"/>
  <c r="BC2" i="6"/>
  <c r="BG2" i="6" s="1"/>
  <c r="BE2" i="6"/>
  <c r="BH2" i="6"/>
  <c r="BJ2" i="6"/>
  <c r="BM2" i="6"/>
  <c r="BO2" i="6"/>
  <c r="BP2" i="6"/>
  <c r="BQ2" i="6"/>
  <c r="BR2" i="6" s="1"/>
  <c r="BU2" i="6"/>
  <c r="BW2" i="6"/>
  <c r="BY2" i="6"/>
  <c r="CC2" i="6"/>
  <c r="CE2" i="6"/>
  <c r="CG2" i="6"/>
  <c r="CI2" i="6"/>
  <c r="CL2" i="6"/>
  <c r="CN2" i="6"/>
  <c r="CQ2" i="6"/>
  <c r="CS2" i="6"/>
  <c r="CY2" i="6"/>
  <c r="DA2" i="6" s="1"/>
  <c r="DC2" i="6"/>
  <c r="DD2" i="6"/>
  <c r="DF2" i="6"/>
  <c r="DG2" i="6"/>
  <c r="B6" i="6"/>
  <c r="C6" i="6"/>
  <c r="D6" i="6"/>
  <c r="E6" i="6"/>
  <c r="F6" i="6"/>
  <c r="G6" i="6"/>
  <c r="H6" i="6"/>
  <c r="I6" i="6"/>
  <c r="K6" i="6"/>
  <c r="L6" i="6"/>
  <c r="M6" i="6" s="1"/>
  <c r="N6" i="6"/>
  <c r="O6" i="6"/>
  <c r="P6" i="6"/>
  <c r="S6" i="6"/>
  <c r="U6" i="6"/>
  <c r="W6" i="6"/>
  <c r="Y6" i="6"/>
  <c r="AC6" i="6"/>
  <c r="AD6" i="6"/>
  <c r="AG6" i="6"/>
  <c r="CA6" i="6" s="1"/>
  <c r="AI6" i="6"/>
  <c r="AK6" i="6"/>
  <c r="AN6" i="6"/>
  <c r="AP6" i="6"/>
  <c r="AR6" i="6"/>
  <c r="AU6" i="6"/>
  <c r="AW6" i="6"/>
  <c r="AZ6" i="6"/>
  <c r="CU6" i="6" s="1"/>
  <c r="BB6" i="6"/>
  <c r="BC6" i="6"/>
  <c r="BE6" i="6"/>
  <c r="BH6" i="6"/>
  <c r="BJ6" i="6"/>
  <c r="BM6" i="6"/>
  <c r="BO6" i="6"/>
  <c r="BP6" i="6"/>
  <c r="BQ6" i="6"/>
  <c r="BR6" i="6" s="1"/>
  <c r="BU6" i="6"/>
  <c r="BW6" i="6"/>
  <c r="BY6" i="6"/>
  <c r="CC6" i="6"/>
  <c r="CE6" i="6"/>
  <c r="CG6" i="6"/>
  <c r="CI6" i="6"/>
  <c r="CL6" i="6"/>
  <c r="CN6" i="6"/>
  <c r="CQ6" i="6"/>
  <c r="CS6" i="6"/>
  <c r="CY6" i="6"/>
  <c r="DC6" i="6"/>
  <c r="DD6" i="6"/>
  <c r="DF6" i="6"/>
  <c r="DG6" i="6"/>
  <c r="A2" i="16"/>
  <c r="A3" i="16"/>
  <c r="A4" i="16"/>
  <c r="M11" i="15"/>
  <c r="E9" i="2"/>
  <c r="F9" i="2"/>
  <c r="G9" i="2"/>
  <c r="H9" i="2"/>
  <c r="I9" i="2"/>
  <c r="J9" i="2"/>
  <c r="L9" i="2"/>
  <c r="CL9" i="2" s="1"/>
  <c r="M9" i="2"/>
  <c r="N9" i="2" s="1"/>
  <c r="O9" i="2"/>
  <c r="P9" i="2"/>
  <c r="Q9" i="2"/>
  <c r="S9" i="2"/>
  <c r="T9" i="2" s="1"/>
  <c r="V9" i="2"/>
  <c r="X9" i="2"/>
  <c r="AA9" i="2"/>
  <c r="AB9" i="2"/>
  <c r="AC9" i="2"/>
  <c r="AD9" i="2"/>
  <c r="AE9" i="2"/>
  <c r="AZ9" i="2"/>
  <c r="AN9" i="2"/>
  <c r="AQ9" i="2"/>
  <c r="BS9" i="2" s="1"/>
  <c r="AW9" i="2"/>
  <c r="AX9" i="2"/>
  <c r="BN9" i="2"/>
  <c r="BP9" i="2"/>
  <c r="BQ9" i="2"/>
  <c r="BT9" i="2"/>
  <c r="BU9" i="2"/>
  <c r="BX9" i="2"/>
  <c r="CF9" i="2" s="1"/>
  <c r="BZ9" i="2"/>
  <c r="CB9" i="2"/>
  <c r="CE9" i="2"/>
  <c r="CG9" i="2"/>
  <c r="CI9" i="2"/>
  <c r="CJ9" i="2"/>
  <c r="CK9" i="2"/>
  <c r="CM9" i="2"/>
  <c r="CO9" i="2"/>
  <c r="CQ9" i="2"/>
  <c r="DA9" i="2"/>
  <c r="DC9" i="2"/>
  <c r="DE9" i="2"/>
  <c r="DG9" i="2"/>
  <c r="DI9" i="2"/>
  <c r="DJ9" i="2"/>
  <c r="DM9" i="2"/>
  <c r="DN9" i="2"/>
  <c r="A4" i="11"/>
  <c r="A5" i="11"/>
  <c r="A6" i="11"/>
  <c r="B9" i="11"/>
  <c r="C9" i="11"/>
  <c r="D9" i="11"/>
  <c r="E9" i="11"/>
  <c r="F9" i="11"/>
  <c r="G9" i="11"/>
  <c r="H9" i="11"/>
  <c r="I9" i="11"/>
  <c r="J9" i="11"/>
  <c r="L9" i="11"/>
  <c r="BR9" i="11" s="1"/>
  <c r="M9" i="11"/>
  <c r="N9" i="11" s="1"/>
  <c r="O9" i="11"/>
  <c r="P9" i="11"/>
  <c r="Q9" i="11"/>
  <c r="S9" i="11"/>
  <c r="U9" i="11"/>
  <c r="V9" i="11"/>
  <c r="Y9" i="11"/>
  <c r="AA9" i="11"/>
  <c r="AB9" i="11"/>
  <c r="AC9" i="11"/>
  <c r="AE9" i="11"/>
  <c r="AF9" i="11"/>
  <c r="AI9" i="11"/>
  <c r="AK9" i="11"/>
  <c r="AN9" i="11"/>
  <c r="AP9" i="11"/>
  <c r="AS9" i="11"/>
  <c r="AT9" i="11" s="1"/>
  <c r="AU9" i="11"/>
  <c r="AV9" i="11"/>
  <c r="BA9" i="11"/>
  <c r="BB9" i="11"/>
  <c r="BD9" i="11"/>
  <c r="BG9" i="11"/>
  <c r="BI9" i="11"/>
  <c r="BK9" i="11"/>
  <c r="BL9" i="11"/>
  <c r="BO9" i="11"/>
  <c r="BP9" i="11"/>
  <c r="BQ9" i="11"/>
  <c r="BS9" i="11"/>
  <c r="BU9" i="11"/>
  <c r="BX9" i="11"/>
  <c r="BZ9" i="11"/>
  <c r="CE9" i="11"/>
  <c r="CF9" i="11" s="1"/>
  <c r="CG9" i="11"/>
  <c r="CI9" i="11"/>
  <c r="CK9" i="11"/>
  <c r="CS9" i="11"/>
  <c r="CT9" i="11" s="1"/>
  <c r="CU9" i="11"/>
  <c r="CW9" i="11"/>
  <c r="DB9" i="11"/>
  <c r="DD9" i="11"/>
  <c r="DE9" i="11"/>
  <c r="A7" i="11"/>
  <c r="B10" i="11"/>
  <c r="C10" i="11"/>
  <c r="D10" i="11"/>
  <c r="E10" i="11"/>
  <c r="F10" i="11"/>
  <c r="G10" i="11"/>
  <c r="H10" i="11"/>
  <c r="I10" i="11"/>
  <c r="J10" i="11"/>
  <c r="L10" i="11"/>
  <c r="M10" i="11"/>
  <c r="N10" i="11" s="1"/>
  <c r="O10" i="11"/>
  <c r="P10" i="11"/>
  <c r="Q10" i="11"/>
  <c r="S10" i="11"/>
  <c r="U10" i="11"/>
  <c r="V10" i="11"/>
  <c r="Y10" i="11"/>
  <c r="AA10" i="11"/>
  <c r="AB10" i="11"/>
  <c r="AC10" i="11"/>
  <c r="AE10" i="11"/>
  <c r="AF10" i="11"/>
  <c r="AI10" i="11"/>
  <c r="AK10" i="11"/>
  <c r="AN10" i="11"/>
  <c r="AP10" i="11"/>
  <c r="AS10" i="11"/>
  <c r="AT10" i="11" s="1"/>
  <c r="AU10" i="11"/>
  <c r="AV10" i="11"/>
  <c r="BA10" i="11"/>
  <c r="BB10" i="11"/>
  <c r="BD10" i="11"/>
  <c r="BG10" i="11"/>
  <c r="BI10" i="11"/>
  <c r="BK10" i="11"/>
  <c r="BL10" i="11"/>
  <c r="BO10" i="11"/>
  <c r="BQ10" i="11"/>
  <c r="BS10" i="11"/>
  <c r="BW10" i="11" s="1"/>
  <c r="BU10" i="11"/>
  <c r="BX10" i="11"/>
  <c r="BZ10" i="11"/>
  <c r="CE10" i="11"/>
  <c r="CF10" i="11" s="1"/>
  <c r="CG10" i="11"/>
  <c r="CI10" i="11"/>
  <c r="CK10" i="11"/>
  <c r="CS10" i="11"/>
  <c r="CT10" i="11" s="1"/>
  <c r="CU10" i="11"/>
  <c r="CW10" i="11"/>
  <c r="CY10" i="11" s="1"/>
  <c r="DB10" i="11"/>
  <c r="DD10" i="11"/>
  <c r="DE10" i="11"/>
  <c r="A8" i="11"/>
  <c r="A9" i="11"/>
  <c r="A10" i="11"/>
  <c r="A11" i="11"/>
  <c r="B6" i="11"/>
  <c r="C6" i="11"/>
  <c r="D6" i="11"/>
  <c r="E6" i="11"/>
  <c r="F6" i="11"/>
  <c r="G6" i="11"/>
  <c r="H6" i="11"/>
  <c r="I6" i="11"/>
  <c r="J6" i="11"/>
  <c r="L6" i="11"/>
  <c r="M6" i="11"/>
  <c r="N6" i="11" s="1"/>
  <c r="O6" i="11"/>
  <c r="P6" i="11"/>
  <c r="Q6" i="11"/>
  <c r="S6" i="11"/>
  <c r="U6" i="11"/>
  <c r="V6" i="11"/>
  <c r="Y6" i="11"/>
  <c r="AA6" i="11"/>
  <c r="AB6" i="11"/>
  <c r="AC6" i="11"/>
  <c r="AE6" i="11"/>
  <c r="AF6" i="11"/>
  <c r="AI6" i="11"/>
  <c r="AK6" i="11"/>
  <c r="AN6" i="11"/>
  <c r="AP6" i="11"/>
  <c r="AS6" i="11"/>
  <c r="AT6" i="11" s="1"/>
  <c r="AU6" i="11"/>
  <c r="AV6" i="11"/>
  <c r="BA6" i="11"/>
  <c r="BB6" i="11"/>
  <c r="BD6" i="11"/>
  <c r="BG6" i="11"/>
  <c r="BI6" i="11"/>
  <c r="BK6" i="11"/>
  <c r="BL6" i="11"/>
  <c r="BO6" i="11"/>
  <c r="BQ6" i="11"/>
  <c r="BS6" i="11"/>
  <c r="BU6" i="11"/>
  <c r="BX6" i="11"/>
  <c r="BZ6" i="11"/>
  <c r="CE6" i="11"/>
  <c r="CF6" i="11" s="1"/>
  <c r="CG6" i="11"/>
  <c r="CH6" i="11" s="1"/>
  <c r="CI6" i="11"/>
  <c r="CK6" i="11"/>
  <c r="CS6" i="11"/>
  <c r="CT6" i="11" s="1"/>
  <c r="CU6" i="11"/>
  <c r="CW6" i="11"/>
  <c r="DA6" i="11" s="1"/>
  <c r="DB6" i="11"/>
  <c r="DD6" i="11"/>
  <c r="DE6" i="11"/>
  <c r="B2" i="11"/>
  <c r="C2" i="11"/>
  <c r="D2" i="11"/>
  <c r="E2" i="11"/>
  <c r="F2" i="11"/>
  <c r="G2" i="11"/>
  <c r="H2" i="11"/>
  <c r="I2" i="11"/>
  <c r="J2" i="11"/>
  <c r="L2" i="11"/>
  <c r="CB2" i="11" s="1"/>
  <c r="CC2" i="11" s="1"/>
  <c r="M2" i="11"/>
  <c r="N2" i="11" s="1"/>
  <c r="O2" i="11"/>
  <c r="P2" i="11"/>
  <c r="Q2" i="11"/>
  <c r="S2" i="11"/>
  <c r="U2" i="11"/>
  <c r="V2" i="11"/>
  <c r="Y2" i="11"/>
  <c r="AA2" i="11"/>
  <c r="AB2" i="11"/>
  <c r="AC2" i="11"/>
  <c r="AE2" i="11"/>
  <c r="AF2" i="11"/>
  <c r="AI2" i="11"/>
  <c r="AK2" i="11"/>
  <c r="AN2" i="11"/>
  <c r="AO2" i="11" s="1"/>
  <c r="AP2" i="11"/>
  <c r="AS2" i="11"/>
  <c r="AT2" i="11" s="1"/>
  <c r="AU2" i="11"/>
  <c r="AV2" i="11"/>
  <c r="BA2" i="11"/>
  <c r="BB2" i="11"/>
  <c r="BD2" i="11"/>
  <c r="BG2" i="11"/>
  <c r="BI2" i="11"/>
  <c r="BK2" i="11"/>
  <c r="BL2" i="11"/>
  <c r="BO2" i="11"/>
  <c r="BQ2" i="11"/>
  <c r="BS2" i="11"/>
  <c r="BU2" i="11"/>
  <c r="BX2" i="11"/>
  <c r="BZ2" i="11"/>
  <c r="CE2" i="11"/>
  <c r="CF2" i="11" s="1"/>
  <c r="CG2" i="11"/>
  <c r="CI2" i="11"/>
  <c r="CK2" i="11"/>
  <c r="CS2" i="11"/>
  <c r="CT2" i="11" s="1"/>
  <c r="CU2" i="11"/>
  <c r="CW2" i="11"/>
  <c r="CY2" i="11" s="1"/>
  <c r="DB2" i="11"/>
  <c r="DD2" i="11"/>
  <c r="DE2" i="11"/>
  <c r="B3" i="11"/>
  <c r="C3" i="11"/>
  <c r="D3" i="11"/>
  <c r="E3" i="11"/>
  <c r="F3" i="11"/>
  <c r="G3" i="11"/>
  <c r="H3" i="11"/>
  <c r="I3" i="11"/>
  <c r="J3" i="11"/>
  <c r="L3" i="11"/>
  <c r="M3" i="11"/>
  <c r="N3" i="11" s="1"/>
  <c r="O3" i="11"/>
  <c r="P3" i="11"/>
  <c r="Q3" i="11"/>
  <c r="S3" i="11"/>
  <c r="U3" i="11"/>
  <c r="V3" i="11"/>
  <c r="Y3" i="11"/>
  <c r="AA3" i="11"/>
  <c r="AB3" i="11"/>
  <c r="AC3" i="11"/>
  <c r="AE3" i="11"/>
  <c r="AF3" i="11"/>
  <c r="AI3" i="11"/>
  <c r="AK3" i="11"/>
  <c r="AN3" i="11"/>
  <c r="AO3" i="11" s="1"/>
  <c r="AP3" i="11"/>
  <c r="AS3" i="11"/>
  <c r="AT3" i="11" s="1"/>
  <c r="AU3" i="11"/>
  <c r="AV3" i="11"/>
  <c r="BA3" i="11"/>
  <c r="BB3" i="11"/>
  <c r="BD3" i="11"/>
  <c r="BG3" i="11"/>
  <c r="BI3" i="11"/>
  <c r="BK3" i="11"/>
  <c r="BL3" i="11"/>
  <c r="BO3" i="11"/>
  <c r="BQ3" i="11"/>
  <c r="BS3" i="11"/>
  <c r="BU3" i="11"/>
  <c r="BX3" i="11"/>
  <c r="BZ3" i="11"/>
  <c r="CE3" i="11"/>
  <c r="CF3" i="11" s="1"/>
  <c r="CG3" i="11"/>
  <c r="CI3" i="11"/>
  <c r="CK3" i="11"/>
  <c r="CS3" i="11"/>
  <c r="CT3" i="11" s="1"/>
  <c r="CU3" i="11"/>
  <c r="CW3" i="11"/>
  <c r="CY3" i="11" s="1"/>
  <c r="DB3" i="11"/>
  <c r="DD3" i="11"/>
  <c r="DE3" i="11"/>
  <c r="B11" i="11"/>
  <c r="C11" i="11"/>
  <c r="D11" i="11"/>
  <c r="E11" i="11"/>
  <c r="F11" i="11"/>
  <c r="G11" i="11"/>
  <c r="H11" i="11"/>
  <c r="I11" i="11"/>
  <c r="J11" i="11"/>
  <c r="L11" i="11"/>
  <c r="CB11" i="11" s="1"/>
  <c r="CC11" i="11" s="1"/>
  <c r="M11" i="11"/>
  <c r="N11" i="11" s="1"/>
  <c r="O11" i="11"/>
  <c r="P11" i="11"/>
  <c r="Q11" i="11"/>
  <c r="S11" i="11"/>
  <c r="U11" i="11"/>
  <c r="V11" i="11"/>
  <c r="Y11" i="11"/>
  <c r="AA11" i="11"/>
  <c r="AB11" i="11"/>
  <c r="AC11" i="11"/>
  <c r="AE11" i="11"/>
  <c r="AF11" i="11"/>
  <c r="AI11" i="11"/>
  <c r="AK11" i="11"/>
  <c r="AN11" i="11"/>
  <c r="AP11" i="11"/>
  <c r="AQ11" i="11" s="1"/>
  <c r="AS11" i="11"/>
  <c r="AT11" i="11" s="1"/>
  <c r="AU11" i="11"/>
  <c r="AV11" i="11"/>
  <c r="BA11" i="11"/>
  <c r="BB11" i="11"/>
  <c r="BD11" i="11"/>
  <c r="BG11" i="11"/>
  <c r="BI11" i="11"/>
  <c r="BK11" i="11"/>
  <c r="BL11" i="11"/>
  <c r="BO11" i="11"/>
  <c r="BQ11" i="11"/>
  <c r="BR11" i="11" s="1"/>
  <c r="BS11" i="11"/>
  <c r="BU11" i="11"/>
  <c r="BX11" i="11"/>
  <c r="BZ11" i="11"/>
  <c r="CA11" i="11" s="1"/>
  <c r="CE11" i="11"/>
  <c r="CF11" i="11" s="1"/>
  <c r="CG11" i="11"/>
  <c r="CI11" i="11"/>
  <c r="CK11" i="11"/>
  <c r="CS11" i="11"/>
  <c r="CT11" i="11" s="1"/>
  <c r="CU11" i="11"/>
  <c r="CW11" i="11"/>
  <c r="CY11" i="11" s="1"/>
  <c r="DB11" i="11"/>
  <c r="DD11" i="11"/>
  <c r="DE11" i="11"/>
  <c r="B5" i="11"/>
  <c r="C5" i="11"/>
  <c r="D5" i="11"/>
  <c r="E5" i="11"/>
  <c r="F5" i="11"/>
  <c r="G5" i="11"/>
  <c r="H5" i="11"/>
  <c r="I5" i="11"/>
  <c r="J5" i="11"/>
  <c r="L5" i="11"/>
  <c r="M5" i="11"/>
  <c r="N5" i="11" s="1"/>
  <c r="O5" i="11"/>
  <c r="P5" i="11"/>
  <c r="Q5" i="11"/>
  <c r="S5" i="11"/>
  <c r="U5" i="11"/>
  <c r="V5" i="11"/>
  <c r="Y5" i="11"/>
  <c r="AA5" i="11"/>
  <c r="AB5" i="11"/>
  <c r="AC5" i="11"/>
  <c r="AE5" i="11"/>
  <c r="AF5" i="11"/>
  <c r="AI5" i="11"/>
  <c r="AK5" i="11"/>
  <c r="AN5" i="11"/>
  <c r="AP5" i="11"/>
  <c r="AS5" i="11"/>
  <c r="AT5" i="11" s="1"/>
  <c r="AU5" i="11"/>
  <c r="AV5" i="11"/>
  <c r="BA5" i="11"/>
  <c r="BB5" i="11"/>
  <c r="BD5" i="11"/>
  <c r="BG5" i="11"/>
  <c r="BI5" i="11"/>
  <c r="BK5" i="11"/>
  <c r="BL5" i="11"/>
  <c r="BO5" i="11"/>
  <c r="BQ5" i="11"/>
  <c r="BS5" i="11"/>
  <c r="BU5" i="11"/>
  <c r="BX5" i="11"/>
  <c r="BZ5" i="11"/>
  <c r="CE5" i="11"/>
  <c r="CF5" i="11" s="1"/>
  <c r="CG5" i="11"/>
  <c r="CI5" i="11"/>
  <c r="CK5" i="11"/>
  <c r="CS5" i="11"/>
  <c r="CT5" i="11" s="1"/>
  <c r="CU5" i="11"/>
  <c r="CW5" i="11"/>
  <c r="DA5" i="11" s="1"/>
  <c r="DB5" i="11"/>
  <c r="DD5" i="11"/>
  <c r="DE5" i="11"/>
  <c r="B8" i="11"/>
  <c r="C8" i="11"/>
  <c r="D8" i="11"/>
  <c r="E8" i="11"/>
  <c r="F8" i="11"/>
  <c r="G8" i="11"/>
  <c r="H8" i="11"/>
  <c r="I8" i="11"/>
  <c r="J8" i="11"/>
  <c r="L8" i="11"/>
  <c r="CD8" i="11" s="1"/>
  <c r="M8" i="11"/>
  <c r="N8" i="11" s="1"/>
  <c r="O8" i="11"/>
  <c r="P8" i="11"/>
  <c r="Q8" i="11"/>
  <c r="S8" i="11"/>
  <c r="U8" i="11"/>
  <c r="V8" i="11"/>
  <c r="Y8" i="11"/>
  <c r="AA8" i="11"/>
  <c r="AB8" i="11"/>
  <c r="AC8" i="11"/>
  <c r="AE8" i="11"/>
  <c r="AF8" i="11"/>
  <c r="AI8" i="11"/>
  <c r="AK8" i="11"/>
  <c r="AN8" i="11"/>
  <c r="AP8" i="11"/>
  <c r="AS8" i="11"/>
  <c r="AT8" i="11" s="1"/>
  <c r="AU8" i="11"/>
  <c r="AV8" i="11"/>
  <c r="BA8" i="11"/>
  <c r="BB8" i="11"/>
  <c r="BD8" i="11"/>
  <c r="BG8" i="11"/>
  <c r="BI8" i="11"/>
  <c r="BK8" i="11"/>
  <c r="BL8" i="11"/>
  <c r="BO8" i="11"/>
  <c r="BQ8" i="11"/>
  <c r="BS8" i="11"/>
  <c r="BU8" i="11"/>
  <c r="BX8" i="11"/>
  <c r="BZ8" i="11"/>
  <c r="CE8" i="11"/>
  <c r="CF8" i="11" s="1"/>
  <c r="CG8" i="11"/>
  <c r="CI8" i="11"/>
  <c r="CK8" i="11"/>
  <c r="CS8" i="11"/>
  <c r="CT8" i="11" s="1"/>
  <c r="CU8" i="11"/>
  <c r="CW8" i="11"/>
  <c r="CZ8" i="11" s="1"/>
  <c r="DB8" i="11"/>
  <c r="DD8" i="11"/>
  <c r="DE8" i="11"/>
  <c r="B7" i="11"/>
  <c r="C7" i="11"/>
  <c r="D7" i="11"/>
  <c r="E7" i="11"/>
  <c r="F7" i="11"/>
  <c r="G7" i="11"/>
  <c r="H7" i="11"/>
  <c r="I7" i="11"/>
  <c r="J7" i="11"/>
  <c r="L7" i="11"/>
  <c r="M7" i="11"/>
  <c r="N7" i="11" s="1"/>
  <c r="O7" i="11"/>
  <c r="P7" i="11"/>
  <c r="Q7" i="11"/>
  <c r="S7" i="11"/>
  <c r="U7" i="11"/>
  <c r="V7" i="11"/>
  <c r="Y7" i="11"/>
  <c r="AA7" i="11"/>
  <c r="AB7" i="11"/>
  <c r="AC7" i="11"/>
  <c r="AE7" i="11"/>
  <c r="AF7" i="11"/>
  <c r="AI7" i="11"/>
  <c r="AK7" i="11"/>
  <c r="AN7" i="11"/>
  <c r="AP7" i="11"/>
  <c r="AS7" i="11"/>
  <c r="AT7" i="11" s="1"/>
  <c r="AU7" i="11"/>
  <c r="AV7" i="11"/>
  <c r="BA7" i="11"/>
  <c r="BB7" i="11"/>
  <c r="BD7" i="11"/>
  <c r="BG7" i="11"/>
  <c r="BI7" i="11"/>
  <c r="BK7" i="11"/>
  <c r="BL7" i="11"/>
  <c r="BO7" i="11"/>
  <c r="BQ7" i="11"/>
  <c r="BS7" i="11"/>
  <c r="BU7" i="11"/>
  <c r="BX7" i="11"/>
  <c r="BY7" i="11" s="1"/>
  <c r="BZ7" i="11"/>
  <c r="CE7" i="11"/>
  <c r="CF7" i="11" s="1"/>
  <c r="CG7" i="11"/>
  <c r="CI7" i="11"/>
  <c r="CJ7" i="11" s="1"/>
  <c r="CK7" i="11"/>
  <c r="CS7" i="11"/>
  <c r="CT7" i="11" s="1"/>
  <c r="CU7" i="11"/>
  <c r="CW7" i="11"/>
  <c r="CZ7" i="11" s="1"/>
  <c r="DB7" i="11"/>
  <c r="DD7" i="11"/>
  <c r="DE7" i="11"/>
  <c r="E10" i="17"/>
  <c r="F10" i="17"/>
  <c r="G10" i="17"/>
  <c r="H10" i="17"/>
  <c r="I10" i="17"/>
  <c r="J10" i="17"/>
  <c r="L10" i="17"/>
  <c r="M10" i="17"/>
  <c r="N10" i="17" s="1"/>
  <c r="P10" i="17"/>
  <c r="Q10" i="17"/>
  <c r="X10" i="17"/>
  <c r="Z10" i="17"/>
  <c r="AC10" i="17"/>
  <c r="AE10" i="17"/>
  <c r="AH10" i="17"/>
  <c r="AK10" i="17"/>
  <c r="AO10" i="17"/>
  <c r="AQ10" i="17"/>
  <c r="AS10" i="17"/>
  <c r="BB10" i="17"/>
  <c r="BC10" i="17"/>
  <c r="BD10" i="17"/>
  <c r="BE10" i="17"/>
  <c r="BO10" i="17" s="1"/>
  <c r="BP10" i="17"/>
  <c r="BI10" i="17" s="1"/>
  <c r="BR10" i="17"/>
  <c r="BK10" i="17" s="1"/>
  <c r="BT10" i="17"/>
  <c r="BU10" i="17"/>
  <c r="BV10" i="17"/>
  <c r="BX10" i="17"/>
  <c r="CA10" i="17"/>
  <c r="CC10" i="17"/>
  <c r="CD10" i="17"/>
  <c r="CF10" i="17"/>
  <c r="CH10" i="17"/>
  <c r="CK10" i="17"/>
  <c r="CL10" i="17"/>
  <c r="CN10" i="17"/>
  <c r="CO10" i="17"/>
  <c r="CP10" i="17"/>
  <c r="CQ10" i="17"/>
  <c r="CT10" i="17"/>
  <c r="EH8" i="15"/>
  <c r="EH11" i="15"/>
  <c r="EL11" i="15"/>
  <c r="EL8" i="15"/>
  <c r="EJ11" i="15"/>
  <c r="EJ8" i="15"/>
  <c r="EE11" i="15"/>
  <c r="EE8" i="15"/>
  <c r="EC11" i="15"/>
  <c r="EC8" i="15"/>
  <c r="EQ11" i="15"/>
  <c r="EQ8" i="15"/>
  <c r="EO11" i="15"/>
  <c r="EO8" i="15"/>
  <c r="AP86" i="2" l="1"/>
  <c r="AS86" i="2"/>
  <c r="AT86" i="2" s="1"/>
  <c r="AP87" i="2"/>
  <c r="AS87" i="2"/>
  <c r="AT87" i="2" s="1"/>
  <c r="BC86" i="2"/>
  <c r="BC85" i="2"/>
  <c r="BC84" i="2"/>
  <c r="BO92" i="2"/>
  <c r="BC92" i="2" s="1"/>
  <c r="AO91" i="2"/>
  <c r="Y91" i="2"/>
  <c r="AU90" i="2"/>
  <c r="AK89" i="2"/>
  <c r="BG88" i="2"/>
  <c r="K88" i="2"/>
  <c r="BS86" i="2"/>
  <c r="BY85" i="2"/>
  <c r="BL84" i="2"/>
  <c r="CD81" i="2"/>
  <c r="AK81" i="2"/>
  <c r="BA81" i="2"/>
  <c r="CZ81" i="2"/>
  <c r="U79" i="2"/>
  <c r="Y78" i="2"/>
  <c r="AU73" i="2"/>
  <c r="CT73" i="2"/>
  <c r="CU73" i="2" s="1"/>
  <c r="CV73" i="2"/>
  <c r="CW73" i="2" s="1"/>
  <c r="BB73" i="2"/>
  <c r="BR73" i="2"/>
  <c r="BS73" i="2"/>
  <c r="R72" i="2"/>
  <c r="AP68" i="2"/>
  <c r="AS57" i="2"/>
  <c r="AT57" i="2" s="1"/>
  <c r="AP57" i="2"/>
  <c r="K84" i="2"/>
  <c r="K81" i="2"/>
  <c r="BB72" i="2"/>
  <c r="BO72" i="2"/>
  <c r="Z71" i="2"/>
  <c r="Y71" i="2"/>
  <c r="BR66" i="2"/>
  <c r="AR66" i="2"/>
  <c r="CX66" i="2" s="1"/>
  <c r="AU66" i="2"/>
  <c r="BS66" i="2"/>
  <c r="CT66" i="2"/>
  <c r="CU66" i="2" s="1"/>
  <c r="R65" i="2"/>
  <c r="AK65" i="2"/>
  <c r="AM65" i="2"/>
  <c r="AP61" i="2"/>
  <c r="AS61" i="2"/>
  <c r="AT61" i="2" s="1"/>
  <c r="BY90" i="2"/>
  <c r="AS90" i="2"/>
  <c r="AT90" i="2" s="1"/>
  <c r="BO89" i="2"/>
  <c r="BC89" i="2" s="1"/>
  <c r="AO88" i="2"/>
  <c r="K85" i="2"/>
  <c r="AS84" i="2"/>
  <c r="AT84" i="2" s="1"/>
  <c r="BO80" i="2"/>
  <c r="CR67" i="2"/>
  <c r="K64" i="2"/>
  <c r="BB61" i="2"/>
  <c r="BO61" i="2"/>
  <c r="BC61" i="2" s="1"/>
  <c r="BV61" i="2"/>
  <c r="BW61" i="2" s="1"/>
  <c r="AV61" i="2"/>
  <c r="AR84" i="2"/>
  <c r="CX84" i="2" s="1"/>
  <c r="CT84" i="2"/>
  <c r="CU84" i="2" s="1"/>
  <c r="CT78" i="2"/>
  <c r="CU78" i="2" s="1"/>
  <c r="CV78" i="2"/>
  <c r="CW78" i="2" s="1"/>
  <c r="BR78" i="2"/>
  <c r="BS78" i="2"/>
  <c r="AU78" i="2"/>
  <c r="BV71" i="2"/>
  <c r="BW71" i="2" s="1"/>
  <c r="AV71" i="2"/>
  <c r="CX71" i="2"/>
  <c r="AO71" i="2"/>
  <c r="K90" i="2"/>
  <c r="BY87" i="2"/>
  <c r="AO85" i="2"/>
  <c r="BG84" i="2"/>
  <c r="R83" i="2"/>
  <c r="AR82" i="2"/>
  <c r="CX82" i="2" s="1"/>
  <c r="CT82" i="2"/>
  <c r="CU82" i="2" s="1"/>
  <c r="BH79" i="2"/>
  <c r="BE79" i="2"/>
  <c r="K77" i="2"/>
  <c r="CR75" i="2"/>
  <c r="CA73" i="2"/>
  <c r="K79" i="2"/>
  <c r="CC73" i="2"/>
  <c r="CD73" i="2"/>
  <c r="BO73" i="2"/>
  <c r="BC73" i="2" s="1"/>
  <c r="DK73" i="2"/>
  <c r="BA73" i="2"/>
  <c r="K80" i="2"/>
  <c r="AL73" i="2"/>
  <c r="AM73" i="2"/>
  <c r="CY73" i="2"/>
  <c r="K75" i="2"/>
  <c r="CZ73" i="2"/>
  <c r="Y73" i="2"/>
  <c r="BE73" i="2"/>
  <c r="CL73" i="2"/>
  <c r="K76" i="2"/>
  <c r="DB90" i="2"/>
  <c r="CL90" i="2"/>
  <c r="AP90" i="2"/>
  <c r="CX88" i="2"/>
  <c r="BB88" i="2"/>
  <c r="AV78" i="2"/>
  <c r="BV78" i="2"/>
  <c r="BW78" i="2" s="1"/>
  <c r="K73" i="2"/>
  <c r="BE90" i="2"/>
  <c r="Y90" i="2"/>
  <c r="AK88" i="2"/>
  <c r="U88" i="2"/>
  <c r="K87" i="2"/>
  <c r="BS85" i="2"/>
  <c r="AM85" i="2"/>
  <c r="AH83" i="2"/>
  <c r="BL81" i="2"/>
  <c r="AR81" i="2"/>
  <c r="CX81" i="2" s="1"/>
  <c r="BB79" i="2"/>
  <c r="BH78" i="2"/>
  <c r="AK78" i="2"/>
  <c r="Z74" i="2"/>
  <c r="W74" i="2"/>
  <c r="BJ73" i="2"/>
  <c r="BC68" i="2"/>
  <c r="CZ90" i="2"/>
  <c r="DL88" i="2"/>
  <c r="CV88" i="2"/>
  <c r="CW88" i="2" s="1"/>
  <c r="CF88" i="2"/>
  <c r="DB87" i="2"/>
  <c r="CL87" i="2"/>
  <c r="AV86" i="2"/>
  <c r="BR85" i="2"/>
  <c r="BB85" i="2"/>
  <c r="AM84" i="2"/>
  <c r="AM82" i="2"/>
  <c r="CA81" i="2"/>
  <c r="BJ81" i="2"/>
  <c r="CT81" i="2"/>
  <c r="CU81" i="2" s="1"/>
  <c r="CV81" i="2"/>
  <c r="CW81" i="2" s="1"/>
  <c r="Y81" i="2"/>
  <c r="T80" i="2"/>
  <c r="U80" i="2"/>
  <c r="CR79" i="2"/>
  <c r="CS79" i="2"/>
  <c r="DF78" i="2"/>
  <c r="T69" i="2"/>
  <c r="AP60" i="2"/>
  <c r="AS60" i="2"/>
  <c r="AT60" i="2" s="1"/>
  <c r="BG92" i="2"/>
  <c r="K92" i="2"/>
  <c r="CS91" i="2"/>
  <c r="CY90" i="2"/>
  <c r="BS90" i="2"/>
  <c r="AM90" i="2"/>
  <c r="AS89" i="2"/>
  <c r="AT89" i="2" s="1"/>
  <c r="AI88" i="2"/>
  <c r="CH88" i="2" s="1"/>
  <c r="AU86" i="2"/>
  <c r="AK85" i="2"/>
  <c r="U85" i="2"/>
  <c r="U84" i="2"/>
  <c r="BH81" i="2"/>
  <c r="AM80" i="2"/>
  <c r="R80" i="2"/>
  <c r="CH78" i="2"/>
  <c r="BG73" i="2"/>
  <c r="BB69" i="2"/>
  <c r="CV66" i="2"/>
  <c r="CW66" i="2" s="1"/>
  <c r="CL92" i="2"/>
  <c r="AV91" i="2"/>
  <c r="BR90" i="2"/>
  <c r="BH89" i="2"/>
  <c r="CZ87" i="2"/>
  <c r="CV85" i="2"/>
  <c r="CW85" i="2" s="1"/>
  <c r="BS84" i="2"/>
  <c r="AK84" i="2"/>
  <c r="K83" i="2"/>
  <c r="AK82" i="2"/>
  <c r="BY81" i="2"/>
  <c r="CA78" i="2"/>
  <c r="DL73" i="2"/>
  <c r="BH68" i="2"/>
  <c r="BG68" i="2"/>
  <c r="AK90" i="2"/>
  <c r="U90" i="2"/>
  <c r="K89" i="2"/>
  <c r="CS88" i="2"/>
  <c r="CY87" i="2"/>
  <c r="BS87" i="2"/>
  <c r="BC87" i="2"/>
  <c r="AM87" i="2"/>
  <c r="AI85" i="2"/>
  <c r="CH85" i="2" s="1"/>
  <c r="BR84" i="2"/>
  <c r="CR81" i="2"/>
  <c r="CH80" i="2"/>
  <c r="BY78" i="2"/>
  <c r="CC78" i="2"/>
  <c r="CD78" i="2"/>
  <c r="BO78" i="2"/>
  <c r="BC78" i="2" s="1"/>
  <c r="DK78" i="2"/>
  <c r="W78" i="2"/>
  <c r="CY78" i="2"/>
  <c r="CL78" i="2"/>
  <c r="BH76" i="2"/>
  <c r="BG76" i="2"/>
  <c r="BH71" i="2"/>
  <c r="BE71" i="2"/>
  <c r="DL90" i="2"/>
  <c r="CV90" i="2"/>
  <c r="CW90" i="2" s="1"/>
  <c r="Z89" i="2"/>
  <c r="BR87" i="2"/>
  <c r="BB87" i="2"/>
  <c r="CT85" i="2"/>
  <c r="CU85" i="2" s="1"/>
  <c r="DL81" i="2"/>
  <c r="CP81" i="2"/>
  <c r="BE81" i="2"/>
  <c r="T81" i="2"/>
  <c r="U81" i="2"/>
  <c r="BY80" i="2"/>
  <c r="K78" i="2"/>
  <c r="BR77" i="2"/>
  <c r="BS77" i="2"/>
  <c r="AR77" i="2"/>
  <c r="CX77" i="2" s="1"/>
  <c r="AU77" i="2"/>
  <c r="CT77" i="2"/>
  <c r="CU77" i="2" s="1"/>
  <c r="AH76" i="2"/>
  <c r="AY72" i="2"/>
  <c r="BL67" i="2"/>
  <c r="BC64" i="2"/>
  <c r="U58" i="2"/>
  <c r="T58" i="2"/>
  <c r="DK90" i="2"/>
  <c r="BO90" i="2"/>
  <c r="BC90" i="2" s="1"/>
  <c r="AK87" i="2"/>
  <c r="K86" i="2"/>
  <c r="BB83" i="2"/>
  <c r="DK81" i="2"/>
  <c r="CN81" i="2"/>
  <c r="BC81" i="2" s="1"/>
  <c r="AL81" i="2"/>
  <c r="BC77" i="2"/>
  <c r="BC75" i="2"/>
  <c r="DH73" i="2"/>
  <c r="CF73" i="2"/>
  <c r="BY73" i="2"/>
  <c r="R67" i="2"/>
  <c r="AK67" i="2"/>
  <c r="AM67" i="2"/>
  <c r="BH91" i="2"/>
  <c r="CD90" i="2"/>
  <c r="BV86" i="2"/>
  <c r="BW86" i="2" s="1"/>
  <c r="Z86" i="2"/>
  <c r="AH84" i="2"/>
  <c r="CT83" i="2"/>
  <c r="CU83" i="2" s="1"/>
  <c r="BR83" i="2"/>
  <c r="AR83" i="2"/>
  <c r="CX83" i="2" s="1"/>
  <c r="BR82" i="2"/>
  <c r="AH82" i="2"/>
  <c r="R81" i="2"/>
  <c r="BA80" i="2"/>
  <c r="CZ80" i="2"/>
  <c r="CL80" i="2"/>
  <c r="BG80" i="2"/>
  <c r="Z79" i="2"/>
  <c r="Y79" i="2"/>
  <c r="BB77" i="2"/>
  <c r="R75" i="2"/>
  <c r="AK75" i="2"/>
  <c r="AM75" i="2"/>
  <c r="DF73" i="2"/>
  <c r="U63" i="2"/>
  <c r="T63" i="2"/>
  <c r="K91" i="2"/>
  <c r="AI87" i="2"/>
  <c r="CH87" i="2" s="1"/>
  <c r="CV84" i="2"/>
  <c r="CW84" i="2" s="1"/>
  <c r="CL81" i="2"/>
  <c r="BB81" i="2"/>
  <c r="CR78" i="2"/>
  <c r="AL77" i="2"/>
  <c r="AM77" i="2"/>
  <c r="R77" i="2"/>
  <c r="W73" i="2"/>
  <c r="AM63" i="2"/>
  <c r="AL63" i="2"/>
  <c r="AP53" i="2"/>
  <c r="AS53" i="2"/>
  <c r="AT53" i="2" s="1"/>
  <c r="DH90" i="2"/>
  <c r="CR90" i="2"/>
  <c r="BV79" i="2"/>
  <c r="BW79" i="2" s="1"/>
  <c r="AV79" i="2"/>
  <c r="AO79" i="2"/>
  <c r="AH75" i="2"/>
  <c r="AI75" i="2"/>
  <c r="CH75" i="2" s="1"/>
  <c r="AR73" i="2"/>
  <c r="CX73" i="2" s="1"/>
  <c r="AH67" i="2"/>
  <c r="AI67" i="2"/>
  <c r="CH67" i="2" s="1"/>
  <c r="T61" i="2"/>
  <c r="U61" i="2"/>
  <c r="AM74" i="2"/>
  <c r="AS73" i="2"/>
  <c r="AT73" i="2" s="1"/>
  <c r="AU70" i="2"/>
  <c r="AK69" i="2"/>
  <c r="K68" i="2"/>
  <c r="BB66" i="2"/>
  <c r="BJ54" i="2"/>
  <c r="CH54" i="2"/>
  <c r="AK54" i="2"/>
  <c r="AV47" i="2"/>
  <c r="BV47" i="2"/>
  <c r="BW47" i="2" s="1"/>
  <c r="AO47" i="2"/>
  <c r="CR60" i="2"/>
  <c r="CS60" i="2"/>
  <c r="BB71" i="2"/>
  <c r="AH65" i="2"/>
  <c r="R63" i="2"/>
  <c r="AL58" i="2"/>
  <c r="AM58" i="2"/>
  <c r="CA54" i="2"/>
  <c r="BL54" i="2"/>
  <c r="CR54" i="2"/>
  <c r="CD54" i="2"/>
  <c r="DL54" i="2"/>
  <c r="AL54" i="2"/>
  <c r="W54" i="2"/>
  <c r="AM54" i="2"/>
  <c r="BC54" i="2"/>
  <c r="CY54" i="2"/>
  <c r="CZ54" i="2"/>
  <c r="CS50" i="2"/>
  <c r="CR50" i="2"/>
  <c r="CY45" i="2"/>
  <c r="CZ45" i="2"/>
  <c r="Y45" i="2"/>
  <c r="BE45" i="2"/>
  <c r="CL45" i="2"/>
  <c r="BG45" i="2"/>
  <c r="CD45" i="2"/>
  <c r="BO45" i="2"/>
  <c r="BC45" i="2" s="1"/>
  <c r="BL45" i="2"/>
  <c r="K60" i="2"/>
  <c r="K63" i="2"/>
  <c r="U45" i="2"/>
  <c r="AR45" i="2"/>
  <c r="CX45" i="2" s="1"/>
  <c r="DD45" i="2"/>
  <c r="K58" i="2"/>
  <c r="K61" i="2"/>
  <c r="CN45" i="2"/>
  <c r="K56" i="2"/>
  <c r="DK45" i="2"/>
  <c r="CR45" i="2"/>
  <c r="AK45" i="2"/>
  <c r="K57" i="2"/>
  <c r="BG70" i="2"/>
  <c r="K70" i="2"/>
  <c r="AS64" i="2"/>
  <c r="AT64" i="2" s="1"/>
  <c r="AK61" i="2"/>
  <c r="AM61" i="2"/>
  <c r="BB59" i="2"/>
  <c r="DH54" i="2"/>
  <c r="CC54" i="2"/>
  <c r="BE54" i="2"/>
  <c r="K54" i="2"/>
  <c r="BB53" i="2"/>
  <c r="BO53" i="2"/>
  <c r="Z52" i="2"/>
  <c r="Y52" i="2"/>
  <c r="AS46" i="2"/>
  <c r="AT46" i="2" s="1"/>
  <c r="AP46" i="2"/>
  <c r="CV79" i="2"/>
  <c r="CW79" i="2" s="1"/>
  <c r="AV77" i="2"/>
  <c r="BR76" i="2"/>
  <c r="BB76" i="2"/>
  <c r="BH75" i="2"/>
  <c r="AR75" i="2"/>
  <c r="CX75" i="2" s="1"/>
  <c r="CT74" i="2"/>
  <c r="CU74" i="2" s="1"/>
  <c r="CL70" i="2"/>
  <c r="BV70" i="2"/>
  <c r="BW70" i="2" s="1"/>
  <c r="Z70" i="2"/>
  <c r="BB68" i="2"/>
  <c r="BH67" i="2"/>
  <c r="CT64" i="2"/>
  <c r="CU64" i="2" s="1"/>
  <c r="CV64" i="2"/>
  <c r="CW64" i="2" s="1"/>
  <c r="AR64" i="2"/>
  <c r="CX64" i="2" s="1"/>
  <c r="AH63" i="2"/>
  <c r="CT59" i="2"/>
  <c r="CU59" i="2" s="1"/>
  <c r="BR59" i="2"/>
  <c r="BS59" i="2"/>
  <c r="BG58" i="2"/>
  <c r="BH58" i="2"/>
  <c r="DF54" i="2"/>
  <c r="Z50" i="2"/>
  <c r="CD49" i="2"/>
  <c r="AK49" i="2"/>
  <c r="BE49" i="2"/>
  <c r="CP49" i="2"/>
  <c r="AM49" i="2"/>
  <c r="DK49" i="2"/>
  <c r="BG49" i="2"/>
  <c r="BY49" i="2"/>
  <c r="W49" i="2"/>
  <c r="Y49" i="2"/>
  <c r="BJ49" i="2"/>
  <c r="CC49" i="2"/>
  <c r="CY49" i="2"/>
  <c r="CZ49" i="2"/>
  <c r="BO49" i="2"/>
  <c r="BC49" i="2"/>
  <c r="R46" i="2"/>
  <c r="AK46" i="2"/>
  <c r="AM46" i="2"/>
  <c r="DL45" i="2"/>
  <c r="CS74" i="2"/>
  <c r="BY72" i="2"/>
  <c r="AS72" i="2"/>
  <c r="AT72" i="2" s="1"/>
  <c r="AO70" i="2"/>
  <c r="AU69" i="2"/>
  <c r="K67" i="2"/>
  <c r="K65" i="2"/>
  <c r="BG64" i="2"/>
  <c r="CZ63" i="2"/>
  <c r="CL63" i="2"/>
  <c r="CD63" i="2"/>
  <c r="BB62" i="2"/>
  <c r="AU62" i="2"/>
  <c r="CV62" i="2"/>
  <c r="CW62" i="2" s="1"/>
  <c r="BR62" i="2"/>
  <c r="BL59" i="2"/>
  <c r="AP59" i="2"/>
  <c r="AV57" i="2"/>
  <c r="W56" i="2"/>
  <c r="Z56" i="2"/>
  <c r="CF54" i="2"/>
  <c r="BY54" i="2"/>
  <c r="BA54" i="2"/>
  <c r="BV52" i="2"/>
  <c r="BW52" i="2" s="1"/>
  <c r="AV52" i="2"/>
  <c r="CX52" i="2"/>
  <c r="AO52" i="2"/>
  <c r="AR50" i="2"/>
  <c r="CX50" i="2" s="1"/>
  <c r="AU50" i="2"/>
  <c r="CT50" i="2"/>
  <c r="CU50" i="2" s="1"/>
  <c r="CV50" i="2"/>
  <c r="CW50" i="2" s="1"/>
  <c r="BR50" i="2"/>
  <c r="BB50" i="2"/>
  <c r="BS50" i="2"/>
  <c r="CZ70" i="2"/>
  <c r="AP50" i="2"/>
  <c r="AS50" i="2"/>
  <c r="AT50" i="2" s="1"/>
  <c r="BG47" i="2"/>
  <c r="BH47" i="2"/>
  <c r="AU44" i="2"/>
  <c r="CV44" i="2"/>
  <c r="CW44" i="2" s="1"/>
  <c r="BR44" i="2"/>
  <c r="BS44" i="2"/>
  <c r="CT44" i="2"/>
  <c r="CU44" i="2" s="1"/>
  <c r="AR44" i="2"/>
  <c r="CX44" i="2" s="1"/>
  <c r="AM78" i="2"/>
  <c r="AS77" i="2"/>
  <c r="AT77" i="2" s="1"/>
  <c r="AU74" i="2"/>
  <c r="AK73" i="2"/>
  <c r="U73" i="2"/>
  <c r="BG72" i="2"/>
  <c r="K72" i="2"/>
  <c r="CS71" i="2"/>
  <c r="CC71" i="2"/>
  <c r="CY70" i="2"/>
  <c r="BS70" i="2"/>
  <c r="BC70" i="2"/>
  <c r="AM70" i="2"/>
  <c r="W70" i="2"/>
  <c r="AS69" i="2"/>
  <c r="AT69" i="2" s="1"/>
  <c r="AI68" i="2"/>
  <c r="CH68" i="2" s="1"/>
  <c r="BE67" i="2"/>
  <c r="Y67" i="2"/>
  <c r="CY63" i="2"/>
  <c r="T62" i="2"/>
  <c r="U62" i="2"/>
  <c r="DH59" i="2"/>
  <c r="DH45" i="2"/>
  <c r="CC45" i="2"/>
  <c r="CZ83" i="2"/>
  <c r="AL78" i="2"/>
  <c r="CT76" i="2"/>
  <c r="CU76" i="2" s="1"/>
  <c r="CZ75" i="2"/>
  <c r="CL72" i="2"/>
  <c r="BR70" i="2"/>
  <c r="AR69" i="2"/>
  <c r="CX69" i="2" s="1"/>
  <c r="CT68" i="2"/>
  <c r="CU68" i="2" s="1"/>
  <c r="CZ67" i="2"/>
  <c r="AS65" i="2"/>
  <c r="AT65" i="2" s="1"/>
  <c r="CC63" i="2"/>
  <c r="AU63" i="2"/>
  <c r="R56" i="2"/>
  <c r="AK56" i="2"/>
  <c r="AM56" i="2"/>
  <c r="CA45" i="2"/>
  <c r="BA70" i="2"/>
  <c r="AK70" i="2"/>
  <c r="U70" i="2"/>
  <c r="K69" i="2"/>
  <c r="AR65" i="2"/>
  <c r="CT65" i="2"/>
  <c r="CU65" i="2" s="1"/>
  <c r="BR65" i="2"/>
  <c r="CC59" i="2"/>
  <c r="CD59" i="2"/>
  <c r="BO59" i="2"/>
  <c r="BC59" i="2" s="1"/>
  <c r="DK59" i="2"/>
  <c r="U59" i="2"/>
  <c r="AK59" i="2"/>
  <c r="W59" i="2"/>
  <c r="CY59" i="2"/>
  <c r="CZ59" i="2"/>
  <c r="Y59" i="2"/>
  <c r="BE59" i="2"/>
  <c r="CL59" i="2"/>
  <c r="AR54" i="2"/>
  <c r="CX54" i="2" s="1"/>
  <c r="Y54" i="2"/>
  <c r="DL49" i="2"/>
  <c r="BR75" i="2"/>
  <c r="CZ72" i="2"/>
  <c r="CV70" i="2"/>
  <c r="CW70" i="2" s="1"/>
  <c r="BR67" i="2"/>
  <c r="CV65" i="2"/>
  <c r="CW65" i="2" s="1"/>
  <c r="BB65" i="2"/>
  <c r="BS64" i="2"/>
  <c r="CA63" i="2"/>
  <c r="BJ63" i="2"/>
  <c r="AR63" i="2"/>
  <c r="Y63" i="2"/>
  <c r="DD59" i="2"/>
  <c r="CA59" i="2"/>
  <c r="K59" i="2"/>
  <c r="CR56" i="2"/>
  <c r="CP54" i="2"/>
  <c r="AU54" i="2"/>
  <c r="CT54" i="2"/>
  <c r="CU54" i="2" s="1"/>
  <c r="CV54" i="2"/>
  <c r="CW54" i="2" s="1"/>
  <c r="BR54" i="2"/>
  <c r="BS54" i="2"/>
  <c r="AY53" i="2"/>
  <c r="BH52" i="2"/>
  <c r="BE52" i="2"/>
  <c r="AL48" i="2"/>
  <c r="AM48" i="2"/>
  <c r="BA45" i="2"/>
  <c r="BO44" i="2"/>
  <c r="BC44" i="2" s="1"/>
  <c r="BB44" i="2"/>
  <c r="K74" i="2"/>
  <c r="CS73" i="2"/>
  <c r="CY72" i="2"/>
  <c r="BC72" i="2"/>
  <c r="AM72" i="2"/>
  <c r="W72" i="2"/>
  <c r="DK70" i="2"/>
  <c r="BO70" i="2"/>
  <c r="AU68" i="2"/>
  <c r="U67" i="2"/>
  <c r="BR64" i="2"/>
  <c r="CU63" i="2"/>
  <c r="CN54" i="2"/>
  <c r="AP54" i="2"/>
  <c r="K51" i="2"/>
  <c r="BA49" i="2"/>
  <c r="CW45" i="2"/>
  <c r="BR80" i="2"/>
  <c r="CV75" i="2"/>
  <c r="CW75" i="2" s="1"/>
  <c r="CD70" i="2"/>
  <c r="DL67" i="2"/>
  <c r="CV67" i="2"/>
  <c r="CW67" i="2" s="1"/>
  <c r="CS65" i="2"/>
  <c r="R64" i="2"/>
  <c r="BY63" i="2"/>
  <c r="BG63" i="2"/>
  <c r="AP63" i="2"/>
  <c r="W63" i="2"/>
  <c r="Y61" i="2"/>
  <c r="DB59" i="2"/>
  <c r="BA59" i="2"/>
  <c r="R57" i="2"/>
  <c r="AK57" i="2"/>
  <c r="Z55" i="2"/>
  <c r="W55" i="2"/>
  <c r="BO54" i="2"/>
  <c r="AS54" i="2"/>
  <c r="AT54" i="2" s="1"/>
  <c r="CU45" i="2"/>
  <c r="Y42" i="2"/>
  <c r="Z42" i="2"/>
  <c r="CS78" i="2"/>
  <c r="U72" i="2"/>
  <c r="BG71" i="2"/>
  <c r="K71" i="2"/>
  <c r="CS70" i="2"/>
  <c r="BS69" i="2"/>
  <c r="DK67" i="2"/>
  <c r="BO67" i="2"/>
  <c r="BC67" i="2" s="1"/>
  <c r="BH65" i="2"/>
  <c r="U65" i="2"/>
  <c r="CR63" i="2"/>
  <c r="CT62" i="2"/>
  <c r="CU62" i="2" s="1"/>
  <c r="CA62" i="2"/>
  <c r="CC62" i="2"/>
  <c r="AK62" i="2"/>
  <c r="BA62" i="2"/>
  <c r="W62" i="2"/>
  <c r="AM62" i="2"/>
  <c r="BC62" i="2"/>
  <c r="CZ62" i="2"/>
  <c r="BV60" i="2"/>
  <c r="BW60" i="2" s="1"/>
  <c r="AV60" i="2"/>
  <c r="CV59" i="2"/>
  <c r="CW59" i="2" s="1"/>
  <c r="BH57" i="2"/>
  <c r="BG57" i="2"/>
  <c r="AH57" i="2"/>
  <c r="AI57" i="2"/>
  <c r="CH57" i="2" s="1"/>
  <c r="AH56" i="2"/>
  <c r="AI56" i="2"/>
  <c r="CH56" i="2" s="1"/>
  <c r="U55" i="2"/>
  <c r="CL54" i="2"/>
  <c r="DF49" i="2"/>
  <c r="CR48" i="2"/>
  <c r="CS48" i="2"/>
  <c r="BO66" i="2"/>
  <c r="BC66" i="2" s="1"/>
  <c r="AH64" i="2"/>
  <c r="CP63" i="2"/>
  <c r="BE63" i="2"/>
  <c r="CR62" i="2"/>
  <c r="K62" i="2"/>
  <c r="CX61" i="2"/>
  <c r="CR59" i="2"/>
  <c r="CS59" i="2"/>
  <c r="BO58" i="2"/>
  <c r="AL45" i="2"/>
  <c r="CY55" i="2"/>
  <c r="AM55" i="2"/>
  <c r="DH49" i="2"/>
  <c r="BJ45" i="2"/>
  <c r="BH43" i="2"/>
  <c r="CW41" i="2"/>
  <c r="BO35" i="2"/>
  <c r="BB35" i="2"/>
  <c r="AH45" i="2"/>
  <c r="AI45" i="2"/>
  <c r="CH45" i="2" s="1"/>
  <c r="AS44" i="2"/>
  <c r="AT44" i="2" s="1"/>
  <c r="BL41" i="2"/>
  <c r="CR41" i="2"/>
  <c r="DH41" i="2"/>
  <c r="CC41" i="2"/>
  <c r="CD41" i="2"/>
  <c r="BO41" i="2"/>
  <c r="BC41" i="2" s="1"/>
  <c r="DK41" i="2"/>
  <c r="DL41" i="2"/>
  <c r="AL41" i="2"/>
  <c r="W41" i="2"/>
  <c r="AM41" i="2"/>
  <c r="CY41" i="2"/>
  <c r="CZ41" i="2"/>
  <c r="CL41" i="2"/>
  <c r="BG41" i="2"/>
  <c r="AV39" i="2"/>
  <c r="CX39" i="2"/>
  <c r="AO39" i="2"/>
  <c r="AO34" i="2"/>
  <c r="BV34" i="2"/>
  <c r="BW34" i="2" s="1"/>
  <c r="AV34" i="2"/>
  <c r="BY45" i="2"/>
  <c r="BC42" i="2"/>
  <c r="AO42" i="2"/>
  <c r="BV42" i="2"/>
  <c r="BW42" i="2" s="1"/>
  <c r="AV42" i="2"/>
  <c r="CN41" i="2"/>
  <c r="BC34" i="2"/>
  <c r="BB33" i="2"/>
  <c r="BO33" i="2"/>
  <c r="CV60" i="2"/>
  <c r="CW60" i="2" s="1"/>
  <c r="BV59" i="2"/>
  <c r="BW59" i="2" s="1"/>
  <c r="BR57" i="2"/>
  <c r="AR56" i="2"/>
  <c r="CX56" i="2" s="1"/>
  <c r="CD55" i="2"/>
  <c r="CF52" i="2"/>
  <c r="CL51" i="2"/>
  <c r="BV51" i="2"/>
  <c r="BW51" i="2" s="1"/>
  <c r="AO51" i="2"/>
  <c r="K49" i="2"/>
  <c r="CS47" i="2"/>
  <c r="CT43" i="2"/>
  <c r="CU43" i="2" s="1"/>
  <c r="CF43" i="2"/>
  <c r="BY43" i="2"/>
  <c r="AY43" i="2"/>
  <c r="BB40" i="2"/>
  <c r="BO40" i="2"/>
  <c r="BC40" i="2" s="1"/>
  <c r="AU58" i="2"/>
  <c r="CS55" i="2"/>
  <c r="CC55" i="2"/>
  <c r="BE51" i="2"/>
  <c r="W51" i="2"/>
  <c r="BB46" i="2"/>
  <c r="AH46" i="2"/>
  <c r="AI46" i="2"/>
  <c r="CH46" i="2" s="1"/>
  <c r="CP45" i="2"/>
  <c r="BJ41" i="2"/>
  <c r="CV57" i="2"/>
  <c r="CW57" i="2" s="1"/>
  <c r="DH55" i="2"/>
  <c r="CR55" i="2"/>
  <c r="BL55" i="2"/>
  <c r="BC55" i="2" s="1"/>
  <c r="BB54" i="2"/>
  <c r="BH53" i="2"/>
  <c r="CZ51" i="2"/>
  <c r="AM51" i="2"/>
  <c r="AS49" i="2"/>
  <c r="AT49" i="2" s="1"/>
  <c r="K46" i="2"/>
  <c r="R38" i="2"/>
  <c r="AK38" i="2"/>
  <c r="AM38" i="2"/>
  <c r="BG61" i="2"/>
  <c r="AM59" i="2"/>
  <c r="CA55" i="2"/>
  <c r="U54" i="2"/>
  <c r="K53" i="2"/>
  <c r="CS52" i="2"/>
  <c r="CY51" i="2"/>
  <c r="BS51" i="2"/>
  <c r="BC51" i="2"/>
  <c r="AK51" i="2"/>
  <c r="U51" i="2"/>
  <c r="AI50" i="2"/>
  <c r="CH50" i="2" s="1"/>
  <c r="BL49" i="2"/>
  <c r="K47" i="2"/>
  <c r="BJ36" i="2"/>
  <c r="CP36" i="2"/>
  <c r="DF36" i="2"/>
  <c r="CA36" i="2"/>
  <c r="CC36" i="2"/>
  <c r="K45" i="2"/>
  <c r="CD36" i="2"/>
  <c r="K48" i="2"/>
  <c r="U36" i="2"/>
  <c r="AK36" i="2"/>
  <c r="BA36" i="2"/>
  <c r="BC36" i="2" s="1"/>
  <c r="AL36" i="2"/>
  <c r="AM36" i="2"/>
  <c r="CY36" i="2"/>
  <c r="CZ36" i="2"/>
  <c r="Y36" i="2"/>
  <c r="BE36" i="2"/>
  <c r="K41" i="2"/>
  <c r="K33" i="2"/>
  <c r="AP36" i="2"/>
  <c r="CL36" i="2"/>
  <c r="DB36" i="2"/>
  <c r="BC16" i="2"/>
  <c r="CL61" i="2"/>
  <c r="AL59" i="2"/>
  <c r="AR58" i="2"/>
  <c r="CX58" i="2" s="1"/>
  <c r="CT57" i="2"/>
  <c r="CU57" i="2" s="1"/>
  <c r="CL53" i="2"/>
  <c r="BV53" i="2"/>
  <c r="BW53" i="2" s="1"/>
  <c r="Z53" i="2"/>
  <c r="BR51" i="2"/>
  <c r="BA51" i="2"/>
  <c r="AU49" i="2"/>
  <c r="CT49" i="2"/>
  <c r="CU49" i="2" s="1"/>
  <c r="BR49" i="2"/>
  <c r="BY44" i="2"/>
  <c r="CF44" i="2"/>
  <c r="CV43" i="2"/>
  <c r="CW43" i="2" s="1"/>
  <c r="BR43" i="2"/>
  <c r="BS43" i="2"/>
  <c r="AU43" i="2"/>
  <c r="BG39" i="2"/>
  <c r="BH39" i="2"/>
  <c r="BS56" i="2"/>
  <c r="CV49" i="2"/>
  <c r="CW49" i="2" s="1"/>
  <c r="BB48" i="2"/>
  <c r="DF45" i="2"/>
  <c r="W45" i="2"/>
  <c r="Z45" i="2"/>
  <c r="AP43" i="2"/>
  <c r="AS43" i="2"/>
  <c r="AT43" i="2" s="1"/>
  <c r="AK43" i="2"/>
  <c r="AM43" i="2"/>
  <c r="BE41" i="2"/>
  <c r="Y41" i="2"/>
  <c r="CF31" i="2"/>
  <c r="BY31" i="2"/>
  <c r="CV51" i="2"/>
  <c r="CW51" i="2" s="1"/>
  <c r="CA49" i="2"/>
  <c r="BO43" i="2"/>
  <c r="BB43" i="2"/>
  <c r="DF41" i="2"/>
  <c r="BA41" i="2"/>
  <c r="AH38" i="2"/>
  <c r="AI38" i="2"/>
  <c r="CH38" i="2" s="1"/>
  <c r="AL31" i="2"/>
  <c r="AM31" i="2"/>
  <c r="Y24" i="2"/>
  <c r="Z24" i="2"/>
  <c r="CS62" i="2"/>
  <c r="AU57" i="2"/>
  <c r="U56" i="2"/>
  <c r="K55" i="2"/>
  <c r="CY53" i="2"/>
  <c r="BC53" i="2"/>
  <c r="AM53" i="2"/>
  <c r="AH43" i="2"/>
  <c r="CA41" i="2"/>
  <c r="BV39" i="2"/>
  <c r="BW39" i="2" s="1"/>
  <c r="DH36" i="2"/>
  <c r="BR61" i="2"/>
  <c r="CV56" i="2"/>
  <c r="CW56" i="2" s="1"/>
  <c r="CL55" i="2"/>
  <c r="CT51" i="2"/>
  <c r="CU51" i="2" s="1"/>
  <c r="CD51" i="2"/>
  <c r="BB51" i="2"/>
  <c r="AV50" i="2"/>
  <c r="CR49" i="2"/>
  <c r="DB45" i="2"/>
  <c r="AP45" i="2"/>
  <c r="U43" i="2"/>
  <c r="BA43" i="2"/>
  <c r="W43" i="2"/>
  <c r="BC43" i="2"/>
  <c r="CY43" i="2"/>
  <c r="CL43" i="2"/>
  <c r="CA43" i="2"/>
  <c r="BB42" i="2"/>
  <c r="DD41" i="2"/>
  <c r="CF41" i="2"/>
  <c r="BY41" i="2"/>
  <c r="U41" i="2"/>
  <c r="BC37" i="2"/>
  <c r="BY36" i="2"/>
  <c r="CF36" i="2"/>
  <c r="CH36" i="2"/>
  <c r="AP31" i="2"/>
  <c r="AS31" i="2"/>
  <c r="AT31" i="2" s="1"/>
  <c r="AI25" i="2"/>
  <c r="CH25" i="2" s="1"/>
  <c r="AH25" i="2"/>
  <c r="BS58" i="2"/>
  <c r="BE55" i="2"/>
  <c r="Y55" i="2"/>
  <c r="CW53" i="2"/>
  <c r="U53" i="2"/>
  <c r="BG52" i="2"/>
  <c r="K52" i="2"/>
  <c r="CS51" i="2"/>
  <c r="U49" i="2"/>
  <c r="CX47" i="2"/>
  <c r="Z47" i="2"/>
  <c r="CF45" i="2"/>
  <c r="CA44" i="2"/>
  <c r="CC44" i="2"/>
  <c r="CZ44" i="2"/>
  <c r="Y44" i="2"/>
  <c r="BE44" i="2"/>
  <c r="CH43" i="2"/>
  <c r="K43" i="2"/>
  <c r="DD36" i="2"/>
  <c r="AP35" i="2"/>
  <c r="AS35" i="2"/>
  <c r="AT35" i="2" s="1"/>
  <c r="K50" i="2"/>
  <c r="BV49" i="2"/>
  <c r="BW49" i="2" s="1"/>
  <c r="AL49" i="2"/>
  <c r="BG48" i="2"/>
  <c r="BH48" i="2"/>
  <c r="T48" i="2"/>
  <c r="CT46" i="2"/>
  <c r="CU46" i="2" s="1"/>
  <c r="CV46" i="2"/>
  <c r="CW46" i="2" s="1"/>
  <c r="BS46" i="2"/>
  <c r="AR46" i="2"/>
  <c r="CX46" i="2" s="1"/>
  <c r="AM45" i="2"/>
  <c r="R45" i="2"/>
  <c r="DK44" i="2"/>
  <c r="CL44" i="2"/>
  <c r="K44" i="2"/>
  <c r="BJ43" i="2"/>
  <c r="DB41" i="2"/>
  <c r="AR41" i="2"/>
  <c r="CX41" i="2" s="1"/>
  <c r="AR36" i="2"/>
  <c r="CX36" i="2" s="1"/>
  <c r="W36" i="2"/>
  <c r="CP32" i="2"/>
  <c r="CS32" i="2"/>
  <c r="K26" i="2"/>
  <c r="AK37" i="2"/>
  <c r="U37" i="2"/>
  <c r="K36" i="2"/>
  <c r="CS35" i="2"/>
  <c r="CZ33" i="2"/>
  <c r="CL33" i="2"/>
  <c r="BC32" i="2"/>
  <c r="CR31" i="2"/>
  <c r="R31" i="2"/>
  <c r="CS30" i="2"/>
  <c r="AY17" i="2"/>
  <c r="AO16" i="2"/>
  <c r="BV16" i="2"/>
  <c r="BW16" i="2" s="1"/>
  <c r="AV16" i="2"/>
  <c r="R12" i="2"/>
  <c r="AK12" i="2"/>
  <c r="AM12" i="2"/>
  <c r="CH31" i="2"/>
  <c r="K29" i="2"/>
  <c r="U42" i="2"/>
  <c r="CS40" i="2"/>
  <c r="AM39" i="2"/>
  <c r="DK37" i="2"/>
  <c r="CU37" i="2"/>
  <c r="BO37" i="2"/>
  <c r="AI37" i="2"/>
  <c r="CH37" i="2" s="1"/>
  <c r="CA35" i="2"/>
  <c r="AU35" i="2"/>
  <c r="AK34" i="2"/>
  <c r="DK31" i="2"/>
  <c r="BV29" i="2"/>
  <c r="BW29" i="2" s="1"/>
  <c r="BB28" i="2"/>
  <c r="AU28" i="2"/>
  <c r="AO24" i="2"/>
  <c r="BV24" i="2"/>
  <c r="BW24" i="2" s="1"/>
  <c r="AV24" i="2"/>
  <c r="CC23" i="2"/>
  <c r="CD23" i="2"/>
  <c r="BO23" i="2"/>
  <c r="BC23" i="2" s="1"/>
  <c r="DK23" i="2"/>
  <c r="U23" i="2"/>
  <c r="AK23" i="2"/>
  <c r="BA23" i="2"/>
  <c r="W23" i="2"/>
  <c r="AM23" i="2"/>
  <c r="CY23" i="2"/>
  <c r="CZ23" i="2"/>
  <c r="Y23" i="2"/>
  <c r="BE23" i="2"/>
  <c r="CL23" i="2"/>
  <c r="BG23" i="2"/>
  <c r="AU18" i="2"/>
  <c r="CT18" i="2"/>
  <c r="CU18" i="2" s="1"/>
  <c r="CV18" i="2"/>
  <c r="CW18" i="2" s="1"/>
  <c r="BB18" i="2"/>
  <c r="BR18" i="2"/>
  <c r="BS18" i="2"/>
  <c r="BV41" i="2"/>
  <c r="BW41" i="2" s="1"/>
  <c r="Z41" i="2"/>
  <c r="BB39" i="2"/>
  <c r="BH38" i="2"/>
  <c r="AR38" i="2"/>
  <c r="CX38" i="2" s="1"/>
  <c r="CD37" i="2"/>
  <c r="R37" i="2"/>
  <c r="CT33" i="2"/>
  <c r="CU33" i="2" s="1"/>
  <c r="AS33" i="2"/>
  <c r="AT33" i="2" s="1"/>
  <c r="BS32" i="2"/>
  <c r="AH31" i="2"/>
  <c r="BG21" i="2"/>
  <c r="BH21" i="2"/>
  <c r="AO41" i="2"/>
  <c r="AK39" i="2"/>
  <c r="K38" i="2"/>
  <c r="BS36" i="2"/>
  <c r="BY35" i="2"/>
  <c r="CS33" i="2"/>
  <c r="CD31" i="2"/>
  <c r="CL31" i="2"/>
  <c r="DL23" i="2"/>
  <c r="BO22" i="2"/>
  <c r="AS18" i="2"/>
  <c r="AT18" i="2" s="1"/>
  <c r="AH12" i="2"/>
  <c r="AI12" i="2"/>
  <c r="CH12" i="2" s="1"/>
  <c r="K13" i="2"/>
  <c r="CV33" i="2"/>
  <c r="CW33" i="2" s="1"/>
  <c r="BR33" i="2"/>
  <c r="K32" i="2"/>
  <c r="K31" i="2"/>
  <c r="CT28" i="2"/>
  <c r="CU28" i="2" s="1"/>
  <c r="CV28" i="2"/>
  <c r="CW28" i="2" s="1"/>
  <c r="BR28" i="2"/>
  <c r="AR28" i="2"/>
  <c r="CX28" i="2" s="1"/>
  <c r="AY25" i="2"/>
  <c r="R20" i="2"/>
  <c r="AK20" i="2"/>
  <c r="AM20" i="2"/>
  <c r="W19" i="2"/>
  <c r="Z19" i="2"/>
  <c r="BG35" i="2"/>
  <c r="K35" i="2"/>
  <c r="AH34" i="2"/>
  <c r="W33" i="2"/>
  <c r="AR29" i="2"/>
  <c r="AU29" i="2"/>
  <c r="CT29" i="2"/>
  <c r="CU29" i="2" s="1"/>
  <c r="CV29" i="2"/>
  <c r="CW29" i="2" s="1"/>
  <c r="BR29" i="2"/>
  <c r="BO17" i="2"/>
  <c r="BB17" i="2"/>
  <c r="BE16" i="2"/>
  <c r="BH16" i="2"/>
  <c r="CX13" i="2"/>
  <c r="BC13" i="2"/>
  <c r="BB49" i="2"/>
  <c r="AR48" i="2"/>
  <c r="CZ46" i="2"/>
  <c r="BV43" i="2"/>
  <c r="BW43" i="2" s="1"/>
  <c r="Z43" i="2"/>
  <c r="BR41" i="2"/>
  <c r="BB41" i="2"/>
  <c r="BH40" i="2"/>
  <c r="DF37" i="2"/>
  <c r="CP37" i="2"/>
  <c r="BJ37" i="2"/>
  <c r="CV36" i="2"/>
  <c r="CW36" i="2" s="1"/>
  <c r="DB35" i="2"/>
  <c r="CL35" i="2"/>
  <c r="BV35" i="2"/>
  <c r="BW35" i="2" s="1"/>
  <c r="Z35" i="2"/>
  <c r="CP33" i="2"/>
  <c r="AU32" i="2"/>
  <c r="K30" i="2"/>
  <c r="DH23" i="2"/>
  <c r="CA18" i="2"/>
  <c r="CC18" i="2"/>
  <c r="CD18" i="2"/>
  <c r="BO18" i="2"/>
  <c r="BC18" i="2" s="1"/>
  <c r="DK18" i="2"/>
  <c r="AK18" i="2"/>
  <c r="BA18" i="2"/>
  <c r="AL18" i="2"/>
  <c r="W18" i="2"/>
  <c r="AM18" i="2"/>
  <c r="CY18" i="2"/>
  <c r="CZ18" i="2"/>
  <c r="Y18" i="2"/>
  <c r="BE18" i="2"/>
  <c r="K21" i="2"/>
  <c r="AS45" i="2"/>
  <c r="AT45" i="2" s="1"/>
  <c r="AK41" i="2"/>
  <c r="K40" i="2"/>
  <c r="CY38" i="2"/>
  <c r="BS38" i="2"/>
  <c r="AS37" i="2"/>
  <c r="AT37" i="2" s="1"/>
  <c r="BE33" i="2"/>
  <c r="AM33" i="2"/>
  <c r="U33" i="2"/>
  <c r="AS32" i="2"/>
  <c r="AT32" i="2" s="1"/>
  <c r="AO29" i="2"/>
  <c r="AM28" i="2"/>
  <c r="R28" i="2"/>
  <c r="AK28" i="2"/>
  <c r="BE24" i="2"/>
  <c r="BH24" i="2"/>
  <c r="CA23" i="2"/>
  <c r="BJ18" i="2"/>
  <c r="K18" i="2"/>
  <c r="CR12" i="2"/>
  <c r="CZ35" i="2"/>
  <c r="K34" i="2"/>
  <c r="BL31" i="2"/>
  <c r="BC31" i="2" s="1"/>
  <c r="BB31" i="2"/>
  <c r="Y31" i="2"/>
  <c r="BB30" i="2"/>
  <c r="CP27" i="2"/>
  <c r="CS27" i="2"/>
  <c r="AU26" i="2"/>
  <c r="CT26" i="2"/>
  <c r="CU26" i="2" s="1"/>
  <c r="CV26" i="2"/>
  <c r="CW26" i="2" s="1"/>
  <c r="BR26" i="2"/>
  <c r="BS26" i="2"/>
  <c r="T26" i="2"/>
  <c r="U26" i="2"/>
  <c r="BY23" i="2"/>
  <c r="AH20" i="2"/>
  <c r="AI20" i="2"/>
  <c r="CH20" i="2" s="1"/>
  <c r="AK17" i="2"/>
  <c r="AM17" i="2"/>
  <c r="BB14" i="2"/>
  <c r="BA46" i="2"/>
  <c r="BC46" i="2" s="1"/>
  <c r="U46" i="2"/>
  <c r="CS44" i="2"/>
  <c r="AI41" i="2"/>
  <c r="CH41" i="2" s="1"/>
  <c r="BE40" i="2"/>
  <c r="Y40" i="2"/>
  <c r="BA38" i="2"/>
  <c r="U38" i="2"/>
  <c r="BG37" i="2"/>
  <c r="K37" i="2"/>
  <c r="CS36" i="2"/>
  <c r="CY35" i="2"/>
  <c r="BS35" i="2"/>
  <c r="BC35" i="2"/>
  <c r="AM35" i="2"/>
  <c r="W35" i="2"/>
  <c r="CV32" i="2"/>
  <c r="CW32" i="2" s="1"/>
  <c r="DB31" i="2"/>
  <c r="CC31" i="2"/>
  <c r="AM29" i="2"/>
  <c r="BO25" i="2"/>
  <c r="BC25" i="2" s="1"/>
  <c r="BB25" i="2"/>
  <c r="AP25" i="2"/>
  <c r="AS25" i="2"/>
  <c r="AT25" i="2" s="1"/>
  <c r="DD23" i="2"/>
  <c r="CX21" i="2"/>
  <c r="BG18" i="2"/>
  <c r="CT41" i="2"/>
  <c r="CU41" i="2" s="1"/>
  <c r="CZ40" i="2"/>
  <c r="CV38" i="2"/>
  <c r="CW38" i="2" s="1"/>
  <c r="CL37" i="2"/>
  <c r="BR35" i="2"/>
  <c r="BH34" i="2"/>
  <c r="BS33" i="2"/>
  <c r="BA33" i="2"/>
  <c r="BC33" i="2" s="1"/>
  <c r="CH33" i="2"/>
  <c r="AL33" i="2"/>
  <c r="BV32" i="2"/>
  <c r="BW32" i="2" s="1"/>
  <c r="AV32" i="2"/>
  <c r="CZ31" i="2"/>
  <c r="CT31" i="2"/>
  <c r="CU31" i="2" s="1"/>
  <c r="CV31" i="2"/>
  <c r="CW31" i="2" s="1"/>
  <c r="BR31" i="2"/>
  <c r="W31" i="2"/>
  <c r="BR30" i="2"/>
  <c r="AR30" i="2"/>
  <c r="CX30" i="2" s="1"/>
  <c r="AH28" i="2"/>
  <c r="AI28" i="2"/>
  <c r="CH28" i="2" s="1"/>
  <c r="AS26" i="2"/>
  <c r="AT26" i="2" s="1"/>
  <c r="AK25" i="2"/>
  <c r="AM25" i="2"/>
  <c r="K42" i="2"/>
  <c r="CY40" i="2"/>
  <c r="AM40" i="2"/>
  <c r="DK38" i="2"/>
  <c r="BO38" i="2"/>
  <c r="BC38" i="2" s="1"/>
  <c r="BE37" i="2"/>
  <c r="Y37" i="2"/>
  <c r="U35" i="2"/>
  <c r="CT32" i="2"/>
  <c r="CU32" i="2" s="1"/>
  <c r="AM32" i="2"/>
  <c r="CY31" i="2"/>
  <c r="DB23" i="2"/>
  <c r="AO21" i="2"/>
  <c r="DH18" i="2"/>
  <c r="BG13" i="2"/>
  <c r="BH13" i="2"/>
  <c r="CZ37" i="2"/>
  <c r="DD33" i="2"/>
  <c r="BH32" i="2"/>
  <c r="BG31" i="2"/>
  <c r="AV31" i="2"/>
  <c r="BV31" i="2"/>
  <c r="BW31" i="2" s="1"/>
  <c r="U31" i="2"/>
  <c r="K28" i="2"/>
  <c r="CR23" i="2"/>
  <c r="AR23" i="2"/>
  <c r="CX23" i="2" s="1"/>
  <c r="DF18" i="2"/>
  <c r="K39" i="2"/>
  <c r="CY37" i="2"/>
  <c r="AM30" i="2"/>
  <c r="BH29" i="2"/>
  <c r="BS28" i="2"/>
  <c r="CH26" i="2"/>
  <c r="CA26" i="2"/>
  <c r="CC26" i="2"/>
  <c r="CD26" i="2"/>
  <c r="AK26" i="2"/>
  <c r="BA26" i="2"/>
  <c r="BC26" i="2" s="1"/>
  <c r="AL26" i="2"/>
  <c r="W26" i="2"/>
  <c r="AM26" i="2"/>
  <c r="CY26" i="2"/>
  <c r="CZ26" i="2"/>
  <c r="Y26" i="2"/>
  <c r="BY18" i="2"/>
  <c r="CF18" i="2"/>
  <c r="Y16" i="2"/>
  <c r="Z16" i="2"/>
  <c r="K23" i="2"/>
  <c r="BG15" i="2"/>
  <c r="K15" i="2"/>
  <c r="BB29" i="2"/>
  <c r="CT27" i="2"/>
  <c r="CU27" i="2" s="1"/>
  <c r="BV23" i="2"/>
  <c r="BW23" i="2" s="1"/>
  <c r="BR21" i="2"/>
  <c r="AR20" i="2"/>
  <c r="CX20" i="2" s="1"/>
  <c r="CL15" i="2"/>
  <c r="AR12" i="2"/>
  <c r="CX12" i="2" s="1"/>
  <c r="K20" i="2"/>
  <c r="BE15" i="2"/>
  <c r="Y15" i="2"/>
  <c r="K12" i="2"/>
  <c r="BB26" i="2"/>
  <c r="AR25" i="2"/>
  <c r="CX25" i="2" s="1"/>
  <c r="CV21" i="2"/>
  <c r="CW21" i="2" s="1"/>
  <c r="CZ15" i="2"/>
  <c r="DB12" i="2"/>
  <c r="CL12" i="2"/>
  <c r="AP12" i="2"/>
  <c r="K25" i="2"/>
  <c r="CS24" i="2"/>
  <c r="BS23" i="2"/>
  <c r="AS22" i="2"/>
  <c r="AT22" i="2" s="1"/>
  <c r="Y20" i="2"/>
  <c r="U18" i="2"/>
  <c r="BG17" i="2"/>
  <c r="K17" i="2"/>
  <c r="CS16" i="2"/>
  <c r="CY15" i="2"/>
  <c r="BS15" i="2"/>
  <c r="AM15" i="2"/>
  <c r="W15" i="2"/>
  <c r="BE12" i="2"/>
  <c r="Y12" i="2"/>
  <c r="CZ28" i="2"/>
  <c r="CL25" i="2"/>
  <c r="BR23" i="2"/>
  <c r="AL23" i="2"/>
  <c r="AR22" i="2"/>
  <c r="CX22" i="2" s="1"/>
  <c r="CT21" i="2"/>
  <c r="CU21" i="2" s="1"/>
  <c r="CZ20" i="2"/>
  <c r="CL17" i="2"/>
  <c r="BR15" i="2"/>
  <c r="BB15" i="2"/>
  <c r="AL15" i="2"/>
  <c r="AR14" i="2"/>
  <c r="CX14" i="2" s="1"/>
  <c r="CZ12" i="2"/>
  <c r="K22" i="2"/>
  <c r="BS20" i="2"/>
  <c r="BA15" i="2"/>
  <c r="AK15" i="2"/>
  <c r="U15" i="2"/>
  <c r="K14" i="2"/>
  <c r="CY12" i="2"/>
  <c r="BS12" i="2"/>
  <c r="CZ25" i="2"/>
  <c r="CV23" i="2"/>
  <c r="CW23" i="2" s="1"/>
  <c r="BR20" i="2"/>
  <c r="CZ17" i="2"/>
  <c r="CV15" i="2"/>
  <c r="CW15" i="2" s="1"/>
  <c r="BR12" i="2"/>
  <c r="AL12" i="2"/>
  <c r="U28" i="2"/>
  <c r="K27" i="2"/>
  <c r="CS26" i="2"/>
  <c r="BS25" i="2"/>
  <c r="W25" i="2"/>
  <c r="AU21" i="2"/>
  <c r="BA20" i="2"/>
  <c r="U20" i="2"/>
  <c r="K19" i="2"/>
  <c r="CS18" i="2"/>
  <c r="CY17" i="2"/>
  <c r="BS17" i="2"/>
  <c r="BC17" i="2"/>
  <c r="W17" i="2"/>
  <c r="DK15" i="2"/>
  <c r="BO15" i="2"/>
  <c r="BC15" i="2" s="1"/>
  <c r="BA12" i="2"/>
  <c r="U12" i="2"/>
  <c r="BR25" i="2"/>
  <c r="CT23" i="2"/>
  <c r="CU23" i="2" s="1"/>
  <c r="CV20" i="2"/>
  <c r="CW20" i="2" s="1"/>
  <c r="BR17" i="2"/>
  <c r="CT15" i="2"/>
  <c r="CU15" i="2" s="1"/>
  <c r="CD15" i="2"/>
  <c r="CZ14" i="2"/>
  <c r="CV12" i="2"/>
  <c r="CW12" i="2" s="1"/>
  <c r="U25" i="2"/>
  <c r="K24" i="2"/>
  <c r="CS23" i="2"/>
  <c r="BS22" i="2"/>
  <c r="DK20" i="2"/>
  <c r="BO20" i="2"/>
  <c r="BC20" i="2" s="1"/>
  <c r="U17" i="2"/>
  <c r="K16" i="2"/>
  <c r="CS15" i="2"/>
  <c r="CC15" i="2"/>
  <c r="CY14" i="2"/>
  <c r="BS14" i="2"/>
  <c r="AM14" i="2"/>
  <c r="BO12" i="2"/>
  <c r="BC12" i="2" s="1"/>
  <c r="CD12" i="2"/>
  <c r="BE3" i="2"/>
  <c r="Z5" i="2"/>
  <c r="AY8" i="2"/>
  <c r="DD2" i="2"/>
  <c r="DB2" i="2"/>
  <c r="CR2" i="2"/>
  <c r="CP2" i="2"/>
  <c r="CN2" i="2"/>
  <c r="BJ2" i="2"/>
  <c r="Y2" i="2"/>
  <c r="Z3" i="2"/>
  <c r="AK2" i="2"/>
  <c r="DF4" i="2"/>
  <c r="DD3" i="2"/>
  <c r="CA8" i="2"/>
  <c r="CC6" i="2"/>
  <c r="CT10" i="2"/>
  <c r="CU10" i="2" s="1"/>
  <c r="AR5" i="2"/>
  <c r="AM5" i="2"/>
  <c r="CN8" i="2"/>
  <c r="BJ8" i="2"/>
  <c r="Z8" i="2"/>
  <c r="CR4" i="2"/>
  <c r="AU3" i="2"/>
  <c r="CY8" i="2"/>
  <c r="BL3" i="2"/>
  <c r="CR8" i="2"/>
  <c r="BO8" i="2"/>
  <c r="BG2" i="2"/>
  <c r="W2" i="2"/>
  <c r="DH4" i="2"/>
  <c r="CV10" i="2"/>
  <c r="CW10" i="2" s="1"/>
  <c r="BR10" i="2"/>
  <c r="CH10" i="2"/>
  <c r="U2" i="2"/>
  <c r="BA8" i="2"/>
  <c r="CC3" i="2"/>
  <c r="DF2" i="2"/>
  <c r="AL8" i="2"/>
  <c r="CN4" i="2"/>
  <c r="BJ4" i="2"/>
  <c r="DK2" i="2"/>
  <c r="DL8" i="2"/>
  <c r="AK8" i="2"/>
  <c r="BH4" i="2"/>
  <c r="CT8" i="2"/>
  <c r="CU8" i="2" s="1"/>
  <c r="U3" i="2"/>
  <c r="BS3" i="2"/>
  <c r="AO4" i="2"/>
  <c r="AP4" i="2" s="1"/>
  <c r="BA10" i="2"/>
  <c r="CT3" i="2"/>
  <c r="CU3" i="2" s="1"/>
  <c r="AU8" i="2"/>
  <c r="CS4" i="2"/>
  <c r="BA5" i="2"/>
  <c r="BR3" i="2"/>
  <c r="CD5" i="2"/>
  <c r="BB10" i="2"/>
  <c r="BV2" i="2"/>
  <c r="BW2" i="2" s="1"/>
  <c r="CS8" i="2"/>
  <c r="CL3" i="2"/>
  <c r="AH3" i="2"/>
  <c r="AO2" i="2"/>
  <c r="AP2" i="2" s="1"/>
  <c r="DK4" i="2"/>
  <c r="Y10" i="2"/>
  <c r="DB5" i="2"/>
  <c r="AY4" i="2"/>
  <c r="CZ5" i="2"/>
  <c r="BG6" i="2"/>
  <c r="AV4" i="2"/>
  <c r="DL10" i="2"/>
  <c r="AH2" i="2"/>
  <c r="DK10" i="2"/>
  <c r="BJ3" i="2"/>
  <c r="U6" i="2"/>
  <c r="BG3" i="2"/>
  <c r="CA3" i="2"/>
  <c r="BL5" i="2"/>
  <c r="CC8" i="2"/>
  <c r="CY4" i="2"/>
  <c r="BH2" i="2"/>
  <c r="BS3" i="6"/>
  <c r="AI5" i="17"/>
  <c r="BF7" i="17"/>
  <c r="BJ3" i="17"/>
  <c r="CJ3" i="17"/>
  <c r="BL5" i="17"/>
  <c r="BJ10" i="17"/>
  <c r="BJ2" i="17"/>
  <c r="BJ9" i="17"/>
  <c r="BJ7" i="17"/>
  <c r="AF4" i="17"/>
  <c r="AM5" i="17"/>
  <c r="CM5" i="17"/>
  <c r="BJ6" i="17"/>
  <c r="BJ8" i="17"/>
  <c r="BJ4" i="17"/>
  <c r="BL11" i="17"/>
  <c r="BM11" i="17"/>
  <c r="BJ5" i="17"/>
  <c r="BM5" i="17"/>
  <c r="BM2" i="17"/>
  <c r="BL2" i="17"/>
  <c r="BL9" i="17"/>
  <c r="BM9" i="17"/>
  <c r="BM7" i="17"/>
  <c r="BL7" i="17"/>
  <c r="BM10" i="17"/>
  <c r="BL10" i="17"/>
  <c r="BL6" i="17"/>
  <c r="BM6" i="17"/>
  <c r="BL3" i="17"/>
  <c r="BM3" i="17"/>
  <c r="BM8" i="17"/>
  <c r="BL8" i="17"/>
  <c r="BM4" i="17"/>
  <c r="BL4" i="17"/>
  <c r="BY7" i="17"/>
  <c r="AF7" i="17"/>
  <c r="AD7" i="17"/>
  <c r="AN5" i="17"/>
  <c r="CM8" i="17"/>
  <c r="AA7" i="17"/>
  <c r="CR5" i="17"/>
  <c r="AM4" i="17"/>
  <c r="AB8" i="17"/>
  <c r="CJ8" i="17"/>
  <c r="V5" i="17"/>
  <c r="BS7" i="17"/>
  <c r="S3" i="17"/>
  <c r="T3" i="17" s="1"/>
  <c r="AT4" i="17"/>
  <c r="Y7" i="17"/>
  <c r="AI4" i="17"/>
  <c r="AD4" i="17"/>
  <c r="AF3" i="17"/>
  <c r="BW8" i="17"/>
  <c r="CG5" i="17"/>
  <c r="AT5" i="17"/>
  <c r="BQ4" i="17"/>
  <c r="AT7" i="17"/>
  <c r="S8" i="17"/>
  <c r="T8" i="17" s="1"/>
  <c r="S4" i="17"/>
  <c r="W4" i="17" s="1"/>
  <c r="R4" i="17"/>
  <c r="AL4" i="17" s="1"/>
  <c r="O7" i="17"/>
  <c r="BZ8" i="17"/>
  <c r="AJ3" i="17"/>
  <c r="CE7" i="17"/>
  <c r="AR7" i="17"/>
  <c r="AR5" i="17"/>
  <c r="CB7" i="17"/>
  <c r="CE5" i="17"/>
  <c r="CB5" i="17"/>
  <c r="AI7" i="17"/>
  <c r="BW7" i="17"/>
  <c r="AF5" i="17"/>
  <c r="CM3" i="17"/>
  <c r="AV5" i="17"/>
  <c r="AY5" i="17" s="1"/>
  <c r="AV8" i="17"/>
  <c r="AY8" i="17" s="1"/>
  <c r="CG3" i="17"/>
  <c r="AA4" i="17"/>
  <c r="AN8" i="17"/>
  <c r="CR7" i="17"/>
  <c r="AB4" i="17"/>
  <c r="AM8" i="17"/>
  <c r="CB3" i="17"/>
  <c r="AM3" i="17"/>
  <c r="AB7" i="17"/>
  <c r="BW5" i="17"/>
  <c r="AW4" i="17"/>
  <c r="BY8" i="17"/>
  <c r="BZ3" i="17"/>
  <c r="AF8" i="17"/>
  <c r="CR8" i="17"/>
  <c r="BW3" i="17"/>
  <c r="CJ7" i="17"/>
  <c r="AG5" i="17"/>
  <c r="CI7" i="17"/>
  <c r="AW7" i="17"/>
  <c r="BQ5" i="17"/>
  <c r="AW8" i="17"/>
  <c r="AW3" i="17"/>
  <c r="CG7" i="17"/>
  <c r="CM4" i="17"/>
  <c r="R8" i="17"/>
  <c r="AL8" i="17" s="1"/>
  <c r="Y3" i="17"/>
  <c r="BF5" i="17"/>
  <c r="AD5" i="17"/>
  <c r="V3" i="17"/>
  <c r="AB5" i="17"/>
  <c r="CJ4" i="17"/>
  <c r="AR4" i="17"/>
  <c r="CI5" i="17"/>
  <c r="AR8" i="17"/>
  <c r="AG7" i="17"/>
  <c r="BO5" i="17"/>
  <c r="AI3" i="17"/>
  <c r="K3" i="17"/>
  <c r="CR4" i="17"/>
  <c r="AI8" i="17"/>
  <c r="CJ5" i="17"/>
  <c r="CS7" i="17"/>
  <c r="AJ8" i="17"/>
  <c r="BQ3" i="17"/>
  <c r="CS8" i="17"/>
  <c r="V4" i="17"/>
  <c r="BQ8" i="17"/>
  <c r="AG8" i="17"/>
  <c r="CI3" i="17"/>
  <c r="BF3" i="17"/>
  <c r="AD3" i="17"/>
  <c r="AA3" i="17"/>
  <c r="AV4" i="17"/>
  <c r="AY4" i="17" s="1"/>
  <c r="CI8" i="17"/>
  <c r="AD8" i="17"/>
  <c r="CE3" i="17"/>
  <c r="AN7" i="17"/>
  <c r="U5" i="17"/>
  <c r="CG8" i="17"/>
  <c r="AM7" i="17"/>
  <c r="O5" i="17"/>
  <c r="CE4" i="17"/>
  <c r="AA8" i="17"/>
  <c r="AT3" i="17"/>
  <c r="CB4" i="17"/>
  <c r="CE8" i="17"/>
  <c r="Y8" i="17"/>
  <c r="AR3" i="17"/>
  <c r="R3" i="17"/>
  <c r="AL3" i="17" s="1"/>
  <c r="AJ7" i="17"/>
  <c r="BG5" i="17"/>
  <c r="BH5" i="17" s="1"/>
  <c r="AJ5" i="17"/>
  <c r="AN4" i="17"/>
  <c r="CB8" i="17"/>
  <c r="AP3" i="17"/>
  <c r="U3" i="17"/>
  <c r="BY4" i="17"/>
  <c r="AT8" i="17"/>
  <c r="AX8" i="17" s="1"/>
  <c r="V8" i="17"/>
  <c r="CR3" i="17"/>
  <c r="BY3" i="17"/>
  <c r="CM7" i="17"/>
  <c r="BQ7" i="17"/>
  <c r="BA7" i="17"/>
  <c r="BA5" i="17"/>
  <c r="AG4" i="17"/>
  <c r="BG8" i="17"/>
  <c r="BH8" i="17" s="1"/>
  <c r="K8" i="17"/>
  <c r="AN3" i="17"/>
  <c r="V7" i="17"/>
  <c r="S5" i="17"/>
  <c r="T5" i="17" s="1"/>
  <c r="CG4" i="17"/>
  <c r="BF8" i="17"/>
  <c r="AP8" i="17"/>
  <c r="U7" i="17"/>
  <c r="BS5" i="17"/>
  <c r="R5" i="17"/>
  <c r="AL5" i="17" s="1"/>
  <c r="O4" i="17"/>
  <c r="AW5" i="17"/>
  <c r="BO4" i="17"/>
  <c r="BA3" i="17"/>
  <c r="S7" i="17"/>
  <c r="T7" i="17" s="1"/>
  <c r="R7" i="17"/>
  <c r="AL7" i="17" s="1"/>
  <c r="BG4" i="17"/>
  <c r="BH4" i="17" s="1"/>
  <c r="K4" i="17"/>
  <c r="BA8" i="17"/>
  <c r="U8" i="17"/>
  <c r="BS3" i="17"/>
  <c r="AV7" i="17"/>
  <c r="AY7" i="17" s="1"/>
  <c r="BF4" i="17"/>
  <c r="AP4" i="17"/>
  <c r="CS5" i="17"/>
  <c r="CS4" i="17"/>
  <c r="BZ4" i="17"/>
  <c r="Y4" i="17"/>
  <c r="AV3" i="17"/>
  <c r="AY3" i="17" s="1"/>
  <c r="BO7" i="17"/>
  <c r="K5" i="17"/>
  <c r="BS8" i="17"/>
  <c r="O3" i="17"/>
  <c r="AP5" i="17"/>
  <c r="BO3" i="17"/>
  <c r="BZ5" i="17"/>
  <c r="BG7" i="17"/>
  <c r="BH7" i="17" s="1"/>
  <c r="K7" i="17"/>
  <c r="BY5" i="17"/>
  <c r="BA4" i="17"/>
  <c r="U4" i="17"/>
  <c r="O8" i="17"/>
  <c r="CS3" i="17"/>
  <c r="AB3" i="17"/>
  <c r="AP7" i="17"/>
  <c r="BN7" i="17" s="1"/>
  <c r="AJ4" i="17"/>
  <c r="BG3" i="17"/>
  <c r="BH3" i="17" s="1"/>
  <c r="BW4" i="17"/>
  <c r="AX4" i="17" s="1"/>
  <c r="CI4" i="17"/>
  <c r="BS4" i="17"/>
  <c r="U5" i="2"/>
  <c r="AM8" i="2"/>
  <c r="BO10" i="2"/>
  <c r="AH10" i="2"/>
  <c r="CH6" i="2"/>
  <c r="CR6" i="2"/>
  <c r="BL8" i="2"/>
  <c r="AH8" i="2"/>
  <c r="BL10" i="2"/>
  <c r="R5" i="2"/>
  <c r="BJ10" i="2"/>
  <c r="DK8" i="2"/>
  <c r="DF10" i="2"/>
  <c r="CD10" i="2"/>
  <c r="BG10" i="2"/>
  <c r="CS2" i="2"/>
  <c r="BL4" i="2"/>
  <c r="DD10" i="2"/>
  <c r="CC10" i="2"/>
  <c r="BE10" i="2"/>
  <c r="CZ3" i="2"/>
  <c r="BH8" i="2"/>
  <c r="DL4" i="2"/>
  <c r="DB10" i="2"/>
  <c r="CY3" i="2"/>
  <c r="AL3" i="2"/>
  <c r="BH6" i="2"/>
  <c r="DF8" i="2"/>
  <c r="BB8" i="2"/>
  <c r="CA10" i="2"/>
  <c r="BJ5" i="2"/>
  <c r="BG4" i="2"/>
  <c r="CC4" i="2"/>
  <c r="BY10" i="2"/>
  <c r="DK6" i="2"/>
  <c r="BE6" i="2"/>
  <c r="CZ8" i="2"/>
  <c r="BY8" i="2"/>
  <c r="CA4" i="2"/>
  <c r="BE4" i="2"/>
  <c r="U10" i="2"/>
  <c r="CS10" i="2"/>
  <c r="BE2" i="2"/>
  <c r="Z2" i="2"/>
  <c r="U8" i="2"/>
  <c r="BA4" i="2"/>
  <c r="AK10" i="2"/>
  <c r="CA2" i="2"/>
  <c r="BA2" i="2"/>
  <c r="CC5" i="2"/>
  <c r="AY5" i="2"/>
  <c r="Y5" i="2"/>
  <c r="BY6" i="2"/>
  <c r="R6" i="2"/>
  <c r="BR8" i="2"/>
  <c r="AO8" i="2"/>
  <c r="AS8" i="2" s="1"/>
  <c r="AT8" i="2" s="1"/>
  <c r="R8" i="2"/>
  <c r="DD4" i="2"/>
  <c r="Z4" i="2"/>
  <c r="CL10" i="2"/>
  <c r="CH3" i="2"/>
  <c r="DH2" i="2"/>
  <c r="W5" i="2"/>
  <c r="BO5" i="2"/>
  <c r="BB5" i="2"/>
  <c r="BA6" i="2"/>
  <c r="W6" i="2"/>
  <c r="CY6" i="2"/>
  <c r="CV6" i="2"/>
  <c r="CW6" i="2" s="1"/>
  <c r="BS6" i="2"/>
  <c r="BV3" i="2"/>
  <c r="BW3" i="2" s="1"/>
  <c r="AO3" i="2"/>
  <c r="AV3" i="2"/>
  <c r="BR6" i="2"/>
  <c r="AO6" i="2"/>
  <c r="AS6" i="2" s="1"/>
  <c r="AT6" i="2" s="1"/>
  <c r="AV6" i="2"/>
  <c r="AO10" i="2"/>
  <c r="AP10" i="2" s="1"/>
  <c r="AV10" i="2"/>
  <c r="BV10" i="2"/>
  <c r="BW10" i="2" s="1"/>
  <c r="R10" i="2"/>
  <c r="AL10" i="2"/>
  <c r="CL6" i="2"/>
  <c r="AK6" i="2"/>
  <c r="AM6" i="2"/>
  <c r="CN6" i="2"/>
  <c r="CP6" i="2"/>
  <c r="CD6" i="2"/>
  <c r="AH6" i="2"/>
  <c r="BL6" i="2"/>
  <c r="DB6" i="2"/>
  <c r="BJ6" i="2"/>
  <c r="DB3" i="2"/>
  <c r="CD3" i="2"/>
  <c r="AK3" i="2"/>
  <c r="BY4" i="2"/>
  <c r="AM10" i="2"/>
  <c r="BY2" i="2"/>
  <c r="AO5" i="2"/>
  <c r="BH3" i="2"/>
  <c r="CF8" i="2"/>
  <c r="CH8" i="2"/>
  <c r="CR3" i="2"/>
  <c r="BY3" i="2"/>
  <c r="BA3" i="2"/>
  <c r="AY2" i="2"/>
  <c r="CV5" i="2"/>
  <c r="CW5" i="2" s="1"/>
  <c r="CA5" i="2"/>
  <c r="AK5" i="2"/>
  <c r="CS6" i="2"/>
  <c r="AY6" i="2"/>
  <c r="W4" i="2"/>
  <c r="CR10" i="2"/>
  <c r="CP3" i="2"/>
  <c r="AY3" i="2"/>
  <c r="T2" i="2"/>
  <c r="CT5" i="2"/>
  <c r="CU5" i="2" s="1"/>
  <c r="Y6" i="2"/>
  <c r="CP10" i="2"/>
  <c r="DL3" i="2"/>
  <c r="CN3" i="2"/>
  <c r="CR5" i="2"/>
  <c r="BY5" i="2"/>
  <c r="DL6" i="2"/>
  <c r="CV8" i="2"/>
  <c r="CW8" i="2" s="1"/>
  <c r="CN10" i="2"/>
  <c r="DK3" i="2"/>
  <c r="Y3" i="2"/>
  <c r="R2" i="2"/>
  <c r="DL5" i="2"/>
  <c r="CS5" i="2"/>
  <c r="AH5" i="2"/>
  <c r="BB2" i="2"/>
  <c r="BV5" i="2"/>
  <c r="BW5" i="2" s="1"/>
  <c r="AY10" i="2"/>
  <c r="DH3" i="2"/>
  <c r="W3" i="2"/>
  <c r="AR3" i="2"/>
  <c r="CX3" i="2" s="1"/>
  <c r="DH5" i="2"/>
  <c r="DH6" i="2"/>
  <c r="BO6" i="2"/>
  <c r="DF3" i="2"/>
  <c r="CW3" i="2"/>
  <c r="BS5" i="2"/>
  <c r="DF6" i="2"/>
  <c r="CP8" i="2"/>
  <c r="AV8" i="2"/>
  <c r="DH10" i="2"/>
  <c r="R3" i="2"/>
  <c r="DF5" i="2"/>
  <c r="BR5" i="2"/>
  <c r="BB6" i="2"/>
  <c r="AL6" i="2"/>
  <c r="CT6" i="2"/>
  <c r="CU6" i="2" s="1"/>
  <c r="AU6" i="2"/>
  <c r="AR6" i="2"/>
  <c r="DD6" i="2"/>
  <c r="BV6" i="2"/>
  <c r="BW6" i="2" s="1"/>
  <c r="Z6" i="2"/>
  <c r="CD8" i="2"/>
  <c r="BG5" i="2"/>
  <c r="BH5" i="2"/>
  <c r="DH8" i="2"/>
  <c r="CT4" i="2"/>
  <c r="CU4" i="2" s="1"/>
  <c r="CV4" i="2"/>
  <c r="CW4" i="2" s="1"/>
  <c r="BR4" i="2"/>
  <c r="BS4" i="2"/>
  <c r="AR4" i="2"/>
  <c r="CX4" i="2" s="1"/>
  <c r="R4" i="2"/>
  <c r="AK4" i="2"/>
  <c r="AM4" i="2"/>
  <c r="AR8" i="2"/>
  <c r="CX8" i="2" s="1"/>
  <c r="BG8" i="2"/>
  <c r="Y8" i="2"/>
  <c r="BB4" i="2"/>
  <c r="DD8" i="2"/>
  <c r="BE8" i="2"/>
  <c r="W8" i="2"/>
  <c r="W10" i="2"/>
  <c r="Z10" i="2"/>
  <c r="BO3" i="2"/>
  <c r="BB3" i="2"/>
  <c r="AH4" i="2"/>
  <c r="AI4" i="2"/>
  <c r="CH4" i="2" s="1"/>
  <c r="DB8" i="2"/>
  <c r="CS3" i="2"/>
  <c r="AR2" i="2"/>
  <c r="CX2" i="2" s="1"/>
  <c r="CL2" i="2"/>
  <c r="CX5" i="2"/>
  <c r="CL4" i="2"/>
  <c r="CZ2" i="2"/>
  <c r="Y4" i="2"/>
  <c r="AU10" i="2"/>
  <c r="CY2" i="2"/>
  <c r="BS2" i="2"/>
  <c r="AM2" i="2"/>
  <c r="AI5" i="2"/>
  <c r="CH5" i="2" s="1"/>
  <c r="CZ4" i="2"/>
  <c r="CH2" i="2"/>
  <c r="BR2" i="2"/>
  <c r="AL2" i="2"/>
  <c r="AL4" i="2"/>
  <c r="BH10" i="2"/>
  <c r="AR10" i="2"/>
  <c r="CX10" i="2" s="1"/>
  <c r="DL2" i="2"/>
  <c r="CV2" i="2"/>
  <c r="CW2" i="2" s="1"/>
  <c r="U4" i="2"/>
  <c r="AM3" i="2"/>
  <c r="BO2" i="2"/>
  <c r="CT2" i="2"/>
  <c r="CU2" i="2" s="1"/>
  <c r="CD2" i="2"/>
  <c r="CC2" i="2"/>
  <c r="CZ10" i="2"/>
  <c r="BL2" i="2"/>
  <c r="CY10" i="2"/>
  <c r="BI2" i="10"/>
  <c r="AI6" i="17"/>
  <c r="V9" i="17"/>
  <c r="CR9" i="17"/>
  <c r="BQ6" i="17"/>
  <c r="BF6" i="17"/>
  <c r="U6" i="17"/>
  <c r="CI9" i="17"/>
  <c r="AR6" i="17"/>
  <c r="CE6" i="17"/>
  <c r="CB6" i="17"/>
  <c r="CB9" i="17"/>
  <c r="BZ6" i="17"/>
  <c r="BZ9" i="17"/>
  <c r="AI9" i="17"/>
  <c r="BW6" i="17"/>
  <c r="AD6" i="17"/>
  <c r="AA6" i="17"/>
  <c r="AT9" i="17"/>
  <c r="AP9" i="17"/>
  <c r="AB6" i="17"/>
  <c r="CG9" i="17"/>
  <c r="AF9" i="17"/>
  <c r="AD9" i="17"/>
  <c r="CM6" i="17"/>
  <c r="V6" i="17"/>
  <c r="Y9" i="17"/>
  <c r="CJ6" i="17"/>
  <c r="BQ9" i="17"/>
  <c r="CG6" i="17"/>
  <c r="AT6" i="17"/>
  <c r="O9" i="17"/>
  <c r="CR6" i="17"/>
  <c r="S9" i="17"/>
  <c r="T9" i="17" s="1"/>
  <c r="AM6" i="17"/>
  <c r="O6" i="17"/>
  <c r="AM9" i="17"/>
  <c r="U9" i="17"/>
  <c r="AJ6" i="17"/>
  <c r="AW6" i="17"/>
  <c r="AN6" i="17"/>
  <c r="AG6" i="17"/>
  <c r="AJ9" i="17"/>
  <c r="BW9" i="17"/>
  <c r="CI6" i="17"/>
  <c r="AF6" i="17"/>
  <c r="CM9" i="17"/>
  <c r="AG9" i="17"/>
  <c r="CJ9" i="17"/>
  <c r="BA6" i="17"/>
  <c r="AV6" i="17"/>
  <c r="AY6" i="17" s="1"/>
  <c r="CE9" i="17"/>
  <c r="AB9" i="17"/>
  <c r="Y6" i="17"/>
  <c r="AA9" i="17"/>
  <c r="AV9" i="17"/>
  <c r="AY9" i="17" s="1"/>
  <c r="BG9" i="17"/>
  <c r="BH9" i="17" s="1"/>
  <c r="BS9" i="17"/>
  <c r="R9" i="17"/>
  <c r="AL9" i="17" s="1"/>
  <c r="AW9" i="17"/>
  <c r="S6" i="17"/>
  <c r="T6" i="17" s="1"/>
  <c r="BS6" i="17"/>
  <c r="R6" i="17"/>
  <c r="AL6" i="17" s="1"/>
  <c r="CS9" i="17"/>
  <c r="AR9" i="17"/>
  <c r="BO6" i="17"/>
  <c r="K9" i="17"/>
  <c r="BF9" i="17"/>
  <c r="CS6" i="17"/>
  <c r="BG6" i="17"/>
  <c r="BH6" i="17" s="1"/>
  <c r="K6" i="17"/>
  <c r="BY9" i="17"/>
  <c r="AN9" i="17"/>
  <c r="AP6" i="17"/>
  <c r="BY6" i="17"/>
  <c r="BA9" i="17"/>
  <c r="DJ3" i="15"/>
  <c r="BB9" i="2"/>
  <c r="AF4" i="6"/>
  <c r="AF8" i="6"/>
  <c r="CM8" i="6"/>
  <c r="DB10" i="6"/>
  <c r="AS5" i="6"/>
  <c r="V8" i="6"/>
  <c r="BT3" i="6"/>
  <c r="CF8" i="6"/>
  <c r="CV8" i="6"/>
  <c r="T8" i="6"/>
  <c r="CO11" i="6"/>
  <c r="CW10" i="6"/>
  <c r="CF4" i="6"/>
  <c r="Q4" i="6"/>
  <c r="R4" i="6" s="1"/>
  <c r="DE3" i="6"/>
  <c r="AH5" i="6"/>
  <c r="AX8" i="6"/>
  <c r="AM11" i="6"/>
  <c r="BZ4" i="6"/>
  <c r="AV4" i="6"/>
  <c r="AM3" i="6"/>
  <c r="AL5" i="6"/>
  <c r="CX11" i="6"/>
  <c r="AV7" i="6"/>
  <c r="CU5" i="6"/>
  <c r="CV5" i="6" s="1"/>
  <c r="BX8" i="6"/>
  <c r="AQ8" i="6"/>
  <c r="CH8" i="6"/>
  <c r="CJ8" i="6" s="1"/>
  <c r="CK8" i="6" s="1"/>
  <c r="AE5" i="6"/>
  <c r="BT8" i="6"/>
  <c r="Q10" i="6"/>
  <c r="R10" i="6" s="1"/>
  <c r="X3" i="6"/>
  <c r="DB8" i="6"/>
  <c r="AY10" i="6"/>
  <c r="DB4" i="6"/>
  <c r="AJ4" i="6"/>
  <c r="CP3" i="6"/>
  <c r="BV7" i="6"/>
  <c r="CZ8" i="6"/>
  <c r="AS10" i="6"/>
  <c r="CZ4" i="6"/>
  <c r="CB4" i="6"/>
  <c r="CH3" i="6"/>
  <c r="CJ3" i="6" s="1"/>
  <c r="CK3" i="6" s="1"/>
  <c r="BD3" i="6"/>
  <c r="BT7" i="6"/>
  <c r="CH5" i="6"/>
  <c r="CJ5" i="6" s="1"/>
  <c r="CK5" i="6" s="1"/>
  <c r="CV11" i="6"/>
  <c r="T11" i="6"/>
  <c r="BX10" i="6"/>
  <c r="AT10" i="6"/>
  <c r="CW4" i="6"/>
  <c r="BN4" i="6"/>
  <c r="AV9" i="6"/>
  <c r="AX10" i="6"/>
  <c r="BL3" i="6"/>
  <c r="AF3" i="6"/>
  <c r="CH7" i="6"/>
  <c r="CJ7" i="6" s="1"/>
  <c r="CK7" i="6" s="1"/>
  <c r="AM9" i="6"/>
  <c r="CZ11" i="6"/>
  <c r="AS11" i="6"/>
  <c r="BT10" i="6"/>
  <c r="BX7" i="6"/>
  <c r="AT7" i="6"/>
  <c r="Q7" i="6"/>
  <c r="R7" i="6" s="1"/>
  <c r="AQ9" i="6"/>
  <c r="BV8" i="6"/>
  <c r="CW11" i="6"/>
  <c r="AQ11" i="6"/>
  <c r="CZ10" i="6"/>
  <c r="CD3" i="6"/>
  <c r="CV3" i="6"/>
  <c r="DE7" i="6"/>
  <c r="AF9" i="6"/>
  <c r="CT11" i="6"/>
  <c r="AM10" i="6"/>
  <c r="AY3" i="6"/>
  <c r="CV10" i="6"/>
  <c r="BK10" i="6"/>
  <c r="CZ7" i="6"/>
  <c r="AO7" i="6"/>
  <c r="CT8" i="6"/>
  <c r="AJ8" i="6"/>
  <c r="CB11" i="6"/>
  <c r="BI10" i="6"/>
  <c r="AE10" i="6"/>
  <c r="AT3" i="6"/>
  <c r="CT7" i="6"/>
  <c r="AL7" i="6"/>
  <c r="V9" i="6"/>
  <c r="AH8" i="6"/>
  <c r="BI11" i="6"/>
  <c r="CO10" i="6"/>
  <c r="BN7" i="6"/>
  <c r="BK5" i="6"/>
  <c r="CO8" i="6"/>
  <c r="AE8" i="6"/>
  <c r="AE11" i="6"/>
  <c r="CM10" i="6"/>
  <c r="X10" i="6"/>
  <c r="CD4" i="6"/>
  <c r="DB3" i="6"/>
  <c r="BK7" i="6"/>
  <c r="AH7" i="6"/>
  <c r="CO5" i="6"/>
  <c r="BI5" i="6"/>
  <c r="AY8" i="6"/>
  <c r="BF11" i="6"/>
  <c r="Z11" i="6"/>
  <c r="CZ3" i="6"/>
  <c r="AE7" i="6"/>
  <c r="CM5" i="6"/>
  <c r="BF8" i="6"/>
  <c r="CH11" i="6"/>
  <c r="CJ11" i="6" s="1"/>
  <c r="CK11" i="6" s="1"/>
  <c r="BD11" i="6"/>
  <c r="X11" i="6"/>
  <c r="T10" i="6"/>
  <c r="BN3" i="6"/>
  <c r="Z5" i="6"/>
  <c r="AY5" i="6"/>
  <c r="BD8" i="6"/>
  <c r="Z8" i="6"/>
  <c r="V11" i="6"/>
  <c r="AQ4" i="6"/>
  <c r="CR3" i="6"/>
  <c r="BK3" i="6"/>
  <c r="CM7" i="6"/>
  <c r="BF7" i="6"/>
  <c r="DA8" i="6"/>
  <c r="AA8" i="6"/>
  <c r="AB8" i="6" s="1"/>
  <c r="DA11" i="6"/>
  <c r="AF11" i="6"/>
  <c r="AF7" i="6"/>
  <c r="Q5" i="6"/>
  <c r="R5" i="6" s="1"/>
  <c r="CW8" i="6"/>
  <c r="BR8" i="6"/>
  <c r="AQ10" i="6"/>
  <c r="AY4" i="6"/>
  <c r="AA3" i="6"/>
  <c r="AB3" i="6" s="1"/>
  <c r="CP7" i="6"/>
  <c r="BR7" i="6"/>
  <c r="AA7" i="6"/>
  <c r="AB7" i="6" s="1"/>
  <c r="AT11" i="6"/>
  <c r="CP10" i="6"/>
  <c r="BN10" i="6"/>
  <c r="AO10" i="6"/>
  <c r="CX5" i="6"/>
  <c r="BL5" i="6"/>
  <c r="CT4" i="6"/>
  <c r="Q8" i="6"/>
  <c r="R8" i="6" s="1"/>
  <c r="BL10" i="6"/>
  <c r="CB10" i="6"/>
  <c r="CM11" i="6"/>
  <c r="BK11" i="6"/>
  <c r="CF10" i="6"/>
  <c r="BL7" i="6"/>
  <c r="BF5" i="6"/>
  <c r="BI8" i="6"/>
  <c r="CD10" i="6"/>
  <c r="BF10" i="6"/>
  <c r="CO4" i="6"/>
  <c r="DA3" i="6"/>
  <c r="AQ3" i="6"/>
  <c r="BD5" i="6"/>
  <c r="BG8" i="6"/>
  <c r="AO8" i="6"/>
  <c r="BZ10" i="6"/>
  <c r="BD10" i="6"/>
  <c r="Z10" i="6"/>
  <c r="BL4" i="6"/>
  <c r="CB5" i="6"/>
  <c r="AJ11" i="6"/>
  <c r="BA4" i="6"/>
  <c r="CW3" i="6"/>
  <c r="BZ5" i="6"/>
  <c r="CW5" i="6"/>
  <c r="DE8" i="6"/>
  <c r="AH11" i="6"/>
  <c r="AV11" i="6"/>
  <c r="BV10" i="6"/>
  <c r="BA10" i="6"/>
  <c r="AH4" i="6"/>
  <c r="T3" i="6"/>
  <c r="DA7" i="6"/>
  <c r="CA7" i="6"/>
  <c r="CB7" i="6" s="1"/>
  <c r="T7" i="6"/>
  <c r="X5" i="6"/>
  <c r="CZ5" i="6"/>
  <c r="BV5" i="6"/>
  <c r="V5" i="6"/>
  <c r="BA11" i="6"/>
  <c r="AJ10" i="6"/>
  <c r="CT3" i="6"/>
  <c r="AX3" i="6"/>
  <c r="AH3" i="6"/>
  <c r="CR5" i="6"/>
  <c r="AV5" i="6"/>
  <c r="BA8" i="6"/>
  <c r="CT10" i="6"/>
  <c r="AH10" i="6"/>
  <c r="CR10" i="6"/>
  <c r="AV10" i="6"/>
  <c r="AF10" i="6"/>
  <c r="BK4" i="6"/>
  <c r="BZ3" i="6"/>
  <c r="CD8" i="6"/>
  <c r="BN8" i="6"/>
  <c r="CR11" i="6"/>
  <c r="BL11" i="6"/>
  <c r="CP4" i="6"/>
  <c r="AT4" i="6"/>
  <c r="AA5" i="6"/>
  <c r="AB5" i="6" s="1"/>
  <c r="CA3" i="6"/>
  <c r="CB3" i="6" s="1"/>
  <c r="J5" i="6"/>
  <c r="CR8" i="6"/>
  <c r="CB8" i="6"/>
  <c r="AV8" i="6"/>
  <c r="J7" i="6"/>
  <c r="BK8" i="6"/>
  <c r="AA4" i="6"/>
  <c r="AB4" i="6" s="1"/>
  <c r="BV3" i="6"/>
  <c r="BF3" i="6"/>
  <c r="Z3" i="6"/>
  <c r="J3" i="6"/>
  <c r="CP8" i="6"/>
  <c r="BZ8" i="6"/>
  <c r="AT8" i="6"/>
  <c r="AA10" i="6"/>
  <c r="AB10" i="6" s="1"/>
  <c r="J4" i="6"/>
  <c r="AO3" i="6"/>
  <c r="BD7" i="6"/>
  <c r="X7" i="6"/>
  <c r="BS5" i="6"/>
  <c r="BT5" i="6" s="1"/>
  <c r="AA11" i="6"/>
  <c r="AB11" i="6" s="1"/>
  <c r="J10" i="6"/>
  <c r="DA4" i="6"/>
  <c r="AM7" i="6"/>
  <c r="J11" i="6"/>
  <c r="BD4" i="6"/>
  <c r="X4" i="6"/>
  <c r="CX7" i="6"/>
  <c r="BS4" i="6"/>
  <c r="BT4" i="6" s="1"/>
  <c r="AM4" i="6"/>
  <c r="CX3" i="6"/>
  <c r="AL3" i="6"/>
  <c r="V3" i="6"/>
  <c r="CW7" i="6"/>
  <c r="BA7" i="6"/>
  <c r="CF5" i="6"/>
  <c r="AJ5" i="6"/>
  <c r="T5" i="6"/>
  <c r="J8" i="6"/>
  <c r="CX4" i="6"/>
  <c r="BA3" i="6"/>
  <c r="AJ7" i="6"/>
  <c r="BS11" i="6"/>
  <c r="BT11" i="6" s="1"/>
  <c r="CX10" i="6"/>
  <c r="CH10" i="6"/>
  <c r="CJ10" i="6" s="1"/>
  <c r="CK10" i="6" s="1"/>
  <c r="AL10" i="6"/>
  <c r="CF3" i="6"/>
  <c r="AJ3" i="6"/>
  <c r="AY7" i="6"/>
  <c r="CT5" i="6"/>
  <c r="CD5" i="6"/>
  <c r="BN5" i="6"/>
  <c r="AX5" i="6"/>
  <c r="CY11" i="16"/>
  <c r="AI2" i="16"/>
  <c r="CB3" i="16"/>
  <c r="AM3" i="16"/>
  <c r="DE3" i="16"/>
  <c r="BW3" i="16"/>
  <c r="DP5" i="16"/>
  <c r="DC3" i="16"/>
  <c r="AA8" i="16"/>
  <c r="DA3" i="16"/>
  <c r="BU3" i="16"/>
  <c r="AO5" i="16"/>
  <c r="BA7" i="16"/>
  <c r="T8" i="16"/>
  <c r="BR3" i="16"/>
  <c r="DG5" i="16"/>
  <c r="CB5" i="16"/>
  <c r="AZ4" i="16"/>
  <c r="DW7" i="16"/>
  <c r="EA11" i="16"/>
  <c r="DE5" i="16"/>
  <c r="BY5" i="16"/>
  <c r="AK5" i="16"/>
  <c r="EF8" i="16"/>
  <c r="CT3" i="16"/>
  <c r="BN3" i="16"/>
  <c r="AE3" i="16"/>
  <c r="DC5" i="16"/>
  <c r="CR3" i="16"/>
  <c r="BL3" i="16"/>
  <c r="DA5" i="16"/>
  <c r="Z11" i="16"/>
  <c r="EF3" i="16"/>
  <c r="BU5" i="16"/>
  <c r="CD7" i="16"/>
  <c r="AQ11" i="16"/>
  <c r="ED3" i="16"/>
  <c r="CO3" i="16"/>
  <c r="T3" i="16"/>
  <c r="CX5" i="16"/>
  <c r="AZ3" i="16"/>
  <c r="EG5" i="16"/>
  <c r="CV5" i="16"/>
  <c r="BR4" i="16"/>
  <c r="BW11" i="16"/>
  <c r="BZ11" i="16" s="1"/>
  <c r="AK11" i="16"/>
  <c r="AQ9" i="16"/>
  <c r="AR9" i="16" s="1"/>
  <c r="AP2" i="16"/>
  <c r="EA3" i="16"/>
  <c r="AX3" i="16"/>
  <c r="S3" i="16"/>
  <c r="EF5" i="16"/>
  <c r="Z5" i="16"/>
  <c r="ED5" i="16"/>
  <c r="CT5" i="16"/>
  <c r="CX4" i="16"/>
  <c r="DE9" i="16"/>
  <c r="AT3" i="16"/>
  <c r="DS3" i="16" s="1"/>
  <c r="DT3" i="16" s="1"/>
  <c r="BI5" i="16"/>
  <c r="T5" i="16"/>
  <c r="CO10" i="16"/>
  <c r="BI10" i="16"/>
  <c r="DG7" i="16"/>
  <c r="EA6" i="16"/>
  <c r="CJ6" i="16"/>
  <c r="BW7" i="16"/>
  <c r="DM6" i="16"/>
  <c r="DM11" i="16"/>
  <c r="CY8" i="16"/>
  <c r="AI8" i="16"/>
  <c r="DL2" i="16"/>
  <c r="BZ5" i="16"/>
  <c r="AK6" i="16"/>
  <c r="DL10" i="16"/>
  <c r="EG7" i="16"/>
  <c r="CX7" i="16"/>
  <c r="DR9" i="16"/>
  <c r="CM9" i="16"/>
  <c r="EG8" i="16"/>
  <c r="CX8" i="16"/>
  <c r="BR8" i="16"/>
  <c r="BY2" i="16"/>
  <c r="BZ2" i="16" s="1"/>
  <c r="AM7" i="16"/>
  <c r="EF7" i="16"/>
  <c r="CV7" i="16"/>
  <c r="DG10" i="16"/>
  <c r="BY10" i="16"/>
  <c r="AM10" i="16"/>
  <c r="CI4" i="16"/>
  <c r="S4" i="16"/>
  <c r="AE6" i="16"/>
  <c r="ED8" i="16"/>
  <c r="AE8" i="16"/>
  <c r="DE2" i="16"/>
  <c r="BR5" i="16"/>
  <c r="AK10" i="16"/>
  <c r="DQ4" i="16"/>
  <c r="CR7" i="16"/>
  <c r="BP6" i="16"/>
  <c r="CJ9" i="16"/>
  <c r="CR8" i="16"/>
  <c r="Z8" i="16"/>
  <c r="BS5" i="16"/>
  <c r="DC10" i="16"/>
  <c r="BW10" i="16"/>
  <c r="BS7" i="16"/>
  <c r="EA8" i="16"/>
  <c r="BI8" i="16"/>
  <c r="AB8" i="16"/>
  <c r="BR2" i="16"/>
  <c r="EA5" i="16"/>
  <c r="BN5" i="16"/>
  <c r="BL7" i="16"/>
  <c r="Z7" i="16"/>
  <c r="AK3" i="16"/>
  <c r="DW5" i="16"/>
  <c r="DX5" i="16" s="1"/>
  <c r="CR5" i="16"/>
  <c r="AE5" i="16"/>
  <c r="DR11" i="16"/>
  <c r="BY4" i="16"/>
  <c r="CO7" i="16"/>
  <c r="AZ8" i="16"/>
  <c r="BJ5" i="16"/>
  <c r="DP2" i="16"/>
  <c r="CV10" i="16"/>
  <c r="AM4" i="16"/>
  <c r="CR6" i="16"/>
  <c r="CR11" i="16"/>
  <c r="DL8" i="16"/>
  <c r="CI8" i="16"/>
  <c r="AX8" i="16"/>
  <c r="CT2" i="16"/>
  <c r="CO5" i="16"/>
  <c r="AO7" i="16"/>
  <c r="CB7" i="16"/>
  <c r="CT10" i="16"/>
  <c r="AK4" i="16"/>
  <c r="BI11" i="16"/>
  <c r="DJ8" i="16"/>
  <c r="S8" i="16"/>
  <c r="EF2" i="16"/>
  <c r="V5" i="16"/>
  <c r="DA7" i="16"/>
  <c r="EG10" i="16"/>
  <c r="BN10" i="16"/>
  <c r="Z10" i="16"/>
  <c r="DA4" i="16"/>
  <c r="DL7" i="16"/>
  <c r="CO6" i="16"/>
  <c r="AX6" i="16"/>
  <c r="CO11" i="16"/>
  <c r="W11" i="16"/>
  <c r="BB11" i="16" s="1"/>
  <c r="DM8" i="16"/>
  <c r="CJ8" i="16"/>
  <c r="BG5" i="16"/>
  <c r="W10" i="16"/>
  <c r="BB10" i="16" s="1"/>
  <c r="AI4" i="16"/>
  <c r="DJ7" i="16"/>
  <c r="CL6" i="16"/>
  <c r="DX11" i="16"/>
  <c r="DG8" i="16"/>
  <c r="CD8" i="16"/>
  <c r="S2" i="16"/>
  <c r="EG3" i="16"/>
  <c r="BP3" i="16"/>
  <c r="DJ5" i="16"/>
  <c r="CG5" i="16"/>
  <c r="BA5" i="16"/>
  <c r="CM10" i="16"/>
  <c r="CL10" i="16"/>
  <c r="BD6" i="16"/>
  <c r="BS11" i="16"/>
  <c r="AI11" i="16"/>
  <c r="AO4" i="16"/>
  <c r="CE7" i="16"/>
  <c r="V8" i="16"/>
  <c r="CE5" i="16"/>
  <c r="CJ10" i="16"/>
  <c r="AP7" i="16"/>
  <c r="DQ6" i="16"/>
  <c r="AA11" i="16"/>
  <c r="AB11" i="16" s="1"/>
  <c r="CB8" i="16"/>
  <c r="ED4" i="16"/>
  <c r="BP4" i="16"/>
  <c r="DP9" i="16"/>
  <c r="DX9" i="16"/>
  <c r="DA2" i="16"/>
  <c r="AK2" i="16"/>
  <c r="DH10" i="16"/>
  <c r="BN4" i="16"/>
  <c r="CT7" i="16"/>
  <c r="BU7" i="16"/>
  <c r="AK7" i="16"/>
  <c r="CB6" i="16"/>
  <c r="AQ6" i="16"/>
  <c r="AR6" i="16" s="1"/>
  <c r="DL9" i="16"/>
  <c r="BW8" i="16"/>
  <c r="AT8" i="16"/>
  <c r="DS8" i="16" s="1"/>
  <c r="DT8" i="16" s="1"/>
  <c r="BU2" i="16"/>
  <c r="CY3" i="16"/>
  <c r="BS3" i="16"/>
  <c r="AT5" i="16"/>
  <c r="DU5" i="16" s="1"/>
  <c r="S5" i="16"/>
  <c r="BL4" i="16"/>
  <c r="EA4" i="16"/>
  <c r="CL4" i="16"/>
  <c r="AI7" i="16"/>
  <c r="CE11" i="16"/>
  <c r="DG9" i="16"/>
  <c r="AM5" i="16"/>
  <c r="CJ4" i="16"/>
  <c r="AE4" i="16"/>
  <c r="BN2" i="16"/>
  <c r="BG4" i="16"/>
  <c r="DM9" i="16"/>
  <c r="AO9" i="16"/>
  <c r="BZ8" i="16"/>
  <c r="CR2" i="16"/>
  <c r="DL4" i="16"/>
  <c r="DX2" i="16"/>
  <c r="AE2" i="16"/>
  <c r="DJ4" i="16"/>
  <c r="CD4" i="16"/>
  <c r="Z4" i="16"/>
  <c r="AK9" i="16"/>
  <c r="DR2" i="16"/>
  <c r="CO2" i="16"/>
  <c r="BJ2" i="16"/>
  <c r="DL3" i="16"/>
  <c r="CI3" i="16"/>
  <c r="BI3" i="16"/>
  <c r="DL5" i="16"/>
  <c r="CL5" i="16"/>
  <c r="AI5" i="16"/>
  <c r="EF10" i="16"/>
  <c r="BP10" i="16"/>
  <c r="CE4" i="16"/>
  <c r="CL7" i="16"/>
  <c r="BD7" i="16"/>
  <c r="CV6" i="16"/>
  <c r="BU9" i="16"/>
  <c r="DP8" i="16"/>
  <c r="CO8" i="16"/>
  <c r="BL8" i="16"/>
  <c r="BI2" i="16"/>
  <c r="V2" i="16"/>
  <c r="CG3" i="16"/>
  <c r="BG3" i="16"/>
  <c r="CB4" i="16"/>
  <c r="AX4" i="16"/>
  <c r="T4" i="16"/>
  <c r="AA7" i="16"/>
  <c r="AB7" i="16" s="1"/>
  <c r="BI6" i="16"/>
  <c r="Z6" i="16"/>
  <c r="AI9" i="16"/>
  <c r="CL8" i="16"/>
  <c r="BJ8" i="16"/>
  <c r="DQ2" i="16"/>
  <c r="CL2" i="16"/>
  <c r="DJ3" i="16"/>
  <c r="BA3" i="16"/>
  <c r="Z3" i="16"/>
  <c r="CI5" i="16"/>
  <c r="BL5" i="16"/>
  <c r="BB6" i="16"/>
  <c r="BC6" i="16"/>
  <c r="BE6" i="16"/>
  <c r="BB3" i="16"/>
  <c r="BE3" i="16"/>
  <c r="X3" i="16"/>
  <c r="BC3" i="16"/>
  <c r="BB9" i="16"/>
  <c r="BE9" i="16"/>
  <c r="BC9" i="16"/>
  <c r="AR11" i="16"/>
  <c r="AS11" i="16"/>
  <c r="DP10" i="16"/>
  <c r="BS10" i="16"/>
  <c r="AQ10" i="16"/>
  <c r="EG4" i="16"/>
  <c r="BY7" i="16"/>
  <c r="BZ7" i="16" s="1"/>
  <c r="BE7" i="16"/>
  <c r="S7" i="16"/>
  <c r="BL6" i="16"/>
  <c r="DP11" i="16"/>
  <c r="CL11" i="16"/>
  <c r="BD9" i="16"/>
  <c r="AA9" i="16"/>
  <c r="AB9" i="16" s="1"/>
  <c r="AO2" i="16"/>
  <c r="DR3" i="16"/>
  <c r="CV3" i="16"/>
  <c r="CD5" i="16"/>
  <c r="BC7" i="16"/>
  <c r="DW6" i="16"/>
  <c r="DX6" i="16" s="1"/>
  <c r="W8" i="16"/>
  <c r="BC8" i="16" s="1"/>
  <c r="AM2" i="16"/>
  <c r="DM3" i="16"/>
  <c r="AZ7" i="16"/>
  <c r="DP6" i="16"/>
  <c r="DM5" i="16"/>
  <c r="DE10" i="16"/>
  <c r="AE7" i="16"/>
  <c r="DL6" i="16"/>
  <c r="BA11" i="16"/>
  <c r="BL2" i="16"/>
  <c r="DE7" i="16"/>
  <c r="BR7" i="16"/>
  <c r="AX7" i="16"/>
  <c r="DJ6" i="16"/>
  <c r="AZ6" i="16"/>
  <c r="AA3" i="16"/>
  <c r="AB3" i="16" s="1"/>
  <c r="DW4" i="16"/>
  <c r="DX4" i="16" s="1"/>
  <c r="CR4" i="16"/>
  <c r="BU4" i="16"/>
  <c r="AT4" i="16"/>
  <c r="DS4" i="16" s="1"/>
  <c r="DT4" i="16" s="1"/>
  <c r="V4" i="16"/>
  <c r="T6" i="16"/>
  <c r="BP8" i="16"/>
  <c r="AQ8" i="16"/>
  <c r="AR8" i="16" s="1"/>
  <c r="DM2" i="16"/>
  <c r="CI2" i="16"/>
  <c r="DH3" i="16"/>
  <c r="DP4" i="16"/>
  <c r="AQ4" i="16"/>
  <c r="AS4" i="16" s="1"/>
  <c r="ED7" i="16"/>
  <c r="DC7" i="16"/>
  <c r="BP7" i="16"/>
  <c r="DG6" i="16"/>
  <c r="DC8" i="16"/>
  <c r="CG8" i="16"/>
  <c r="BN8" i="16"/>
  <c r="AK8" i="16"/>
  <c r="DG2" i="16"/>
  <c r="CG2" i="16"/>
  <c r="CJ3" i="16"/>
  <c r="AP3" i="16"/>
  <c r="DH5" i="16"/>
  <c r="DA10" i="16"/>
  <c r="CD10" i="16"/>
  <c r="AE10" i="16"/>
  <c r="CO4" i="16"/>
  <c r="CI7" i="16"/>
  <c r="AT7" i="16"/>
  <c r="DU7" i="16" s="1"/>
  <c r="DV7" i="16" s="1"/>
  <c r="DE6" i="16"/>
  <c r="S6" i="16"/>
  <c r="DA8" i="16"/>
  <c r="BG2" i="16"/>
  <c r="CY10" i="16"/>
  <c r="AA10" i="16"/>
  <c r="AB10" i="16" s="1"/>
  <c r="EA7" i="16"/>
  <c r="CG7" i="16"/>
  <c r="BN7" i="16"/>
  <c r="AQ7" i="16"/>
  <c r="AS7" i="16" s="1"/>
  <c r="AT6" i="16"/>
  <c r="CE8" i="16"/>
  <c r="EG2" i="16"/>
  <c r="CD2" i="16"/>
  <c r="BZ10" i="16"/>
  <c r="DX7" i="16"/>
  <c r="X7" i="16"/>
  <c r="AP6" i="16"/>
  <c r="DC2" i="16"/>
  <c r="CB2" i="16"/>
  <c r="AX2" i="16"/>
  <c r="Z2" i="16"/>
  <c r="BP5" i="16"/>
  <c r="BI7" i="16"/>
  <c r="V7" i="16"/>
  <c r="ED2" i="16"/>
  <c r="CE3" i="16"/>
  <c r="AT10" i="16"/>
  <c r="DS10" i="16" s="1"/>
  <c r="DT10" i="16" s="1"/>
  <c r="DG4" i="16"/>
  <c r="CG4" i="16"/>
  <c r="BJ4" i="16"/>
  <c r="DP7" i="16"/>
  <c r="T7" i="16"/>
  <c r="EF6" i="16"/>
  <c r="CY6" i="16"/>
  <c r="BN6" i="16"/>
  <c r="DU11" i="16"/>
  <c r="DV11" i="16" s="1"/>
  <c r="CT8" i="16"/>
  <c r="BG8" i="16"/>
  <c r="CX2" i="16"/>
  <c r="T2" i="16"/>
  <c r="BZ3" i="16"/>
  <c r="EA10" i="16"/>
  <c r="BU10" i="16"/>
  <c r="T10" i="16"/>
  <c r="DE4" i="16"/>
  <c r="BI4" i="16"/>
  <c r="DM7" i="16"/>
  <c r="BG7" i="16"/>
  <c r="BS6" i="16"/>
  <c r="CM11" i="16"/>
  <c r="BD8" i="16"/>
  <c r="EA2" i="16"/>
  <c r="CX3" i="16"/>
  <c r="BD3" i="16"/>
  <c r="CT6" i="16"/>
  <c r="BA2" i="16"/>
  <c r="AZ2" i="16"/>
  <c r="CY4" i="16"/>
  <c r="BS4" i="16"/>
  <c r="AO3" i="16"/>
  <c r="K10" i="16"/>
  <c r="K3" i="16"/>
  <c r="K8" i="16"/>
  <c r="K2" i="16"/>
  <c r="K6" i="16"/>
  <c r="DR10" i="16"/>
  <c r="AP10" i="16"/>
  <c r="DM4" i="16"/>
  <c r="CY2" i="16"/>
  <c r="CV2" i="16"/>
  <c r="DQ10" i="16"/>
  <c r="AI6" i="16"/>
  <c r="AQ3" i="16"/>
  <c r="AX9" i="16"/>
  <c r="BN9" i="16"/>
  <c r="CD9" i="16"/>
  <c r="CT9" i="16"/>
  <c r="DJ9" i="16"/>
  <c r="S9" i="16"/>
  <c r="EA9" i="16"/>
  <c r="T9" i="16"/>
  <c r="CG9" i="16"/>
  <c r="V9" i="16"/>
  <c r="BR9" i="16"/>
  <c r="CX9" i="16"/>
  <c r="ED9" i="16"/>
  <c r="AM9" i="16"/>
  <c r="CI9" i="16"/>
  <c r="X9" i="16"/>
  <c r="EF9" i="16"/>
  <c r="DQ9" i="16"/>
  <c r="EG9" i="16"/>
  <c r="AT9" i="16"/>
  <c r="BJ9" i="16"/>
  <c r="AP8" i="16"/>
  <c r="AO8" i="16"/>
  <c r="DQ3" i="16"/>
  <c r="ED10" i="16"/>
  <c r="CX10" i="16"/>
  <c r="BR10" i="16"/>
  <c r="V10" i="16"/>
  <c r="K9" i="16"/>
  <c r="AM8" i="16"/>
  <c r="DP3" i="16"/>
  <c r="DM10" i="16"/>
  <c r="CG10" i="16"/>
  <c r="BA10" i="16"/>
  <c r="DH4" i="16"/>
  <c r="DH6" i="16"/>
  <c r="AS8" i="16"/>
  <c r="BS2" i="16"/>
  <c r="BP2" i="16"/>
  <c r="CD6" i="16"/>
  <c r="BL11" i="16"/>
  <c r="CE10" i="16"/>
  <c r="S10" i="16"/>
  <c r="AA4" i="16"/>
  <c r="AB4" i="16" s="1"/>
  <c r="K4" i="16"/>
  <c r="DC9" i="16"/>
  <c r="DJ2" i="16"/>
  <c r="BJ11" i="16"/>
  <c r="AX11" i="16"/>
  <c r="BN11" i="16"/>
  <c r="CD11" i="16"/>
  <c r="CT11" i="16"/>
  <c r="DJ11" i="16"/>
  <c r="S11" i="16"/>
  <c r="T11" i="16"/>
  <c r="AZ11" i="16"/>
  <c r="BP11" i="16"/>
  <c r="CV11" i="16"/>
  <c r="DL11" i="16"/>
  <c r="CG11" i="16"/>
  <c r="V11" i="16"/>
  <c r="BR11" i="16"/>
  <c r="CX11" i="16"/>
  <c r="ED11" i="16"/>
  <c r="AM11" i="16"/>
  <c r="CI11" i="16"/>
  <c r="AO11" i="16"/>
  <c r="BU11" i="16"/>
  <c r="DA11" i="16"/>
  <c r="CB9" i="16"/>
  <c r="AE9" i="16"/>
  <c r="DE11" i="16"/>
  <c r="BG11" i="16"/>
  <c r="K11" i="16"/>
  <c r="DA9" i="16"/>
  <c r="BY9" i="16"/>
  <c r="AZ9" i="16"/>
  <c r="CR10" i="16"/>
  <c r="CB10" i="16"/>
  <c r="BL10" i="16"/>
  <c r="DC4" i="16"/>
  <c r="BW4" i="16"/>
  <c r="BZ4" i="16" s="1"/>
  <c r="DQ7" i="16"/>
  <c r="DR4" i="16"/>
  <c r="W4" i="16"/>
  <c r="CJ7" i="16"/>
  <c r="K7" i="16"/>
  <c r="EG11" i="16"/>
  <c r="DC11" i="16"/>
  <c r="CV9" i="16"/>
  <c r="BW9" i="16"/>
  <c r="Z9" i="16"/>
  <c r="DR8" i="16"/>
  <c r="DQ8" i="16"/>
  <c r="CE2" i="16"/>
  <c r="BD4" i="16"/>
  <c r="DS6" i="16"/>
  <c r="DT6" i="16" s="1"/>
  <c r="DU6" i="16"/>
  <c r="EF11" i="16"/>
  <c r="CB11" i="16"/>
  <c r="AE11" i="16"/>
  <c r="BB8" i="16"/>
  <c r="CM3" i="16"/>
  <c r="DW3" i="16"/>
  <c r="DX3" i="16" s="1"/>
  <c r="CL3" i="16"/>
  <c r="AZ5" i="16"/>
  <c r="BJ6" i="16"/>
  <c r="DQ11" i="16"/>
  <c r="CL9" i="16"/>
  <c r="AP9" i="16"/>
  <c r="BA8" i="16"/>
  <c r="DH2" i="16"/>
  <c r="V3" i="16"/>
  <c r="BY6" i="16"/>
  <c r="X11" i="16"/>
  <c r="DC6" i="16"/>
  <c r="CM6" i="16"/>
  <c r="BW6" i="16"/>
  <c r="BG6" i="16"/>
  <c r="AA6" i="16"/>
  <c r="AB6" i="16" s="1"/>
  <c r="CY9" i="16"/>
  <c r="BS9" i="16"/>
  <c r="DU2" i="16"/>
  <c r="DR6" i="16"/>
  <c r="EG6" i="16"/>
  <c r="DA6" i="16"/>
  <c r="BU6" i="16"/>
  <c r="AO6" i="16"/>
  <c r="BA9" i="16"/>
  <c r="DH8" i="16"/>
  <c r="CM2" i="16"/>
  <c r="AQ2" i="16"/>
  <c r="AA2" i="16"/>
  <c r="AB2" i="16" s="1"/>
  <c r="X6" i="16"/>
  <c r="DW8" i="16"/>
  <c r="DX8" i="16" s="1"/>
  <c r="AQ5" i="16"/>
  <c r="AA5" i="16"/>
  <c r="AB5" i="16" s="1"/>
  <c r="K5" i="16"/>
  <c r="CI6" i="16"/>
  <c r="AM6" i="16"/>
  <c r="AP5" i="16"/>
  <c r="ED6" i="16"/>
  <c r="CX6" i="16"/>
  <c r="BR6" i="16"/>
  <c r="V6" i="16"/>
  <c r="DU8" i="16"/>
  <c r="CJ2" i="16"/>
  <c r="BD2" i="16"/>
  <c r="BJ3" i="16"/>
  <c r="DQ5" i="16"/>
  <c r="BA6" i="16"/>
  <c r="DH11" i="16"/>
  <c r="W2" i="16"/>
  <c r="CJ5" i="16"/>
  <c r="BD5" i="16"/>
  <c r="DH9" i="16"/>
  <c r="CM8" i="16"/>
  <c r="W5" i="16"/>
  <c r="O11" i="17"/>
  <c r="AP11" i="17"/>
  <c r="CI2" i="17"/>
  <c r="BZ2" i="17"/>
  <c r="AB2" i="17"/>
  <c r="V2" i="17"/>
  <c r="S11" i="17"/>
  <c r="T11" i="17" s="1"/>
  <c r="AG2" i="17"/>
  <c r="AJ2" i="17"/>
  <c r="AT11" i="17"/>
  <c r="CE11" i="17"/>
  <c r="AN2" i="17"/>
  <c r="AV11" i="17"/>
  <c r="AY11" i="17" s="1"/>
  <c r="CJ11" i="17"/>
  <c r="CB11" i="17"/>
  <c r="AV2" i="17"/>
  <c r="AY2" i="17" s="1"/>
  <c r="CJ2" i="17"/>
  <c r="BA2" i="17"/>
  <c r="AB11" i="17"/>
  <c r="CR2" i="17"/>
  <c r="BS2" i="17"/>
  <c r="CM2" i="17"/>
  <c r="BF2" i="17"/>
  <c r="AR11" i="17"/>
  <c r="BZ11" i="17"/>
  <c r="CE2" i="17"/>
  <c r="AR2" i="17"/>
  <c r="BY11" i="17"/>
  <c r="AI11" i="17"/>
  <c r="AI2" i="17"/>
  <c r="AD11" i="17"/>
  <c r="BY2" i="17"/>
  <c r="CR11" i="17"/>
  <c r="AF2" i="17"/>
  <c r="CG11" i="17"/>
  <c r="V11" i="17"/>
  <c r="Y2" i="17"/>
  <c r="CB2" i="17"/>
  <c r="AW2" i="17"/>
  <c r="S2" i="17"/>
  <c r="T2" i="17" s="1"/>
  <c r="R2" i="17"/>
  <c r="AL2" i="17" s="1"/>
  <c r="U2" i="17"/>
  <c r="AG11" i="17"/>
  <c r="AM2" i="17"/>
  <c r="O2" i="17"/>
  <c r="AW11" i="17"/>
  <c r="BW2" i="17"/>
  <c r="BQ11" i="17"/>
  <c r="AA11" i="17"/>
  <c r="CM11" i="17"/>
  <c r="CI11" i="17"/>
  <c r="Y11" i="17"/>
  <c r="BS11" i="17"/>
  <c r="AF11" i="17"/>
  <c r="BO11" i="17"/>
  <c r="K11" i="17"/>
  <c r="CG2" i="17"/>
  <c r="BQ2" i="17"/>
  <c r="AT2" i="17"/>
  <c r="AD2" i="17"/>
  <c r="CS11" i="17"/>
  <c r="BG11" i="17"/>
  <c r="BH11" i="17" s="1"/>
  <c r="BO2" i="17"/>
  <c r="BF11" i="17"/>
  <c r="AN11" i="17"/>
  <c r="AA2" i="17"/>
  <c r="K2" i="17"/>
  <c r="AM11" i="17"/>
  <c r="CS2" i="17"/>
  <c r="AP2" i="17"/>
  <c r="BG2" i="17"/>
  <c r="BH2" i="17" s="1"/>
  <c r="U11" i="17"/>
  <c r="BW11" i="17"/>
  <c r="AJ11" i="17"/>
  <c r="BA11" i="17"/>
  <c r="R11" i="17"/>
  <c r="AL11" i="17" s="1"/>
  <c r="BB7" i="2"/>
  <c r="DJ10" i="15"/>
  <c r="BT10" i="15"/>
  <c r="BM7" i="15"/>
  <c r="CY3" i="15"/>
  <c r="DK9" i="15"/>
  <c r="EU3" i="15"/>
  <c r="DS3" i="15"/>
  <c r="AU3" i="15"/>
  <c r="ER3" i="15"/>
  <c r="BY3" i="15"/>
  <c r="BW3" i="15"/>
  <c r="P3" i="15"/>
  <c r="CV9" i="2"/>
  <c r="CW9" i="2" s="1"/>
  <c r="CY9" i="2"/>
  <c r="DH9" i="15"/>
  <c r="BA7" i="2"/>
  <c r="W7" i="2"/>
  <c r="BJ7" i="2"/>
  <c r="BH11" i="2"/>
  <c r="AK7" i="2"/>
  <c r="DL7" i="2"/>
  <c r="CA7" i="2"/>
  <c r="DK7" i="2"/>
  <c r="BO7" i="2"/>
  <c r="Y7" i="2"/>
  <c r="BH7" i="2"/>
  <c r="R7" i="2"/>
  <c r="CS7" i="2"/>
  <c r="AL9" i="2"/>
  <c r="AM7" i="2"/>
  <c r="AK9" i="2"/>
  <c r="CC7" i="2"/>
  <c r="Z7" i="2"/>
  <c r="AL7" i="2"/>
  <c r="AH11" i="2"/>
  <c r="U7" i="2"/>
  <c r="AY7" i="2"/>
  <c r="AH7" i="2"/>
  <c r="BY7" i="2"/>
  <c r="AM9" i="2"/>
  <c r="CH7" i="2"/>
  <c r="DF7" i="2"/>
  <c r="DB7" i="2"/>
  <c r="CP7" i="2"/>
  <c r="AH9" i="2"/>
  <c r="BG7" i="2"/>
  <c r="CL7" i="2"/>
  <c r="BV7" i="2"/>
  <c r="BW7" i="2" s="1"/>
  <c r="AO7" i="2"/>
  <c r="BE7" i="2"/>
  <c r="DD7" i="2"/>
  <c r="CZ7" i="2"/>
  <c r="BS7" i="2"/>
  <c r="BR7" i="2"/>
  <c r="CV7" i="2"/>
  <c r="CW7" i="2" s="1"/>
  <c r="AR7" i="2"/>
  <c r="CX7" i="2" s="1"/>
  <c r="CT7" i="2"/>
  <c r="CU7" i="2" s="1"/>
  <c r="CD7" i="2"/>
  <c r="DH7" i="2"/>
  <c r="CR7" i="2"/>
  <c r="BL7" i="2"/>
  <c r="CN7" i="2"/>
  <c r="BJ9" i="2"/>
  <c r="BG9" i="2"/>
  <c r="BL9" i="2"/>
  <c r="BH9" i="2"/>
  <c r="BE9" i="2"/>
  <c r="EK10" i="15"/>
  <c r="DE10" i="15"/>
  <c r="EF10" i="15"/>
  <c r="AK2" i="15"/>
  <c r="BN3" i="15"/>
  <c r="BW10" i="15"/>
  <c r="BY4" i="15"/>
  <c r="CA2" i="15"/>
  <c r="BY9" i="15"/>
  <c r="CG2" i="15"/>
  <c r="CL3" i="15"/>
  <c r="BU6" i="15"/>
  <c r="CB10" i="15"/>
  <c r="CC10" i="15" s="1"/>
  <c r="CB2" i="15"/>
  <c r="CC2" i="15" s="1"/>
  <c r="CQ5" i="15"/>
  <c r="CR5" i="15" s="1"/>
  <c r="BT6" i="15"/>
  <c r="CG5" i="15"/>
  <c r="CY10" i="15"/>
  <c r="DX9" i="15"/>
  <c r="EZ9" i="15"/>
  <c r="BJ10" i="15"/>
  <c r="AU9" i="15"/>
  <c r="FB10" i="15"/>
  <c r="CP10" i="15"/>
  <c r="CW2" i="15"/>
  <c r="EU9" i="15"/>
  <c r="CN10" i="15"/>
  <c r="ER10" i="15"/>
  <c r="AK9" i="15"/>
  <c r="DE5" i="15"/>
  <c r="AU10" i="15"/>
  <c r="DU4" i="15"/>
  <c r="FB3" i="15"/>
  <c r="EP10" i="15"/>
  <c r="DN10" i="15"/>
  <c r="DU2" i="15"/>
  <c r="EI9" i="15"/>
  <c r="CW9" i="15"/>
  <c r="DK10" i="15"/>
  <c r="BB4" i="15"/>
  <c r="CL2" i="15"/>
  <c r="DB6" i="15"/>
  <c r="CN5" i="15"/>
  <c r="FB5" i="15"/>
  <c r="BB5" i="15"/>
  <c r="CL6" i="15"/>
  <c r="EI10" i="15"/>
  <c r="BN10" i="15"/>
  <c r="EZ5" i="15"/>
  <c r="DU5" i="15"/>
  <c r="U5" i="15"/>
  <c r="T6" i="15"/>
  <c r="CB5" i="15"/>
  <c r="CC5" i="15" s="1"/>
  <c r="DX10" i="15"/>
  <c r="EI3" i="15"/>
  <c r="CW3" i="15"/>
  <c r="CT5" i="15"/>
  <c r="BU5" i="15"/>
  <c r="AM5" i="15"/>
  <c r="AP4" i="15"/>
  <c r="CP5" i="15"/>
  <c r="AK5" i="15"/>
  <c r="BM5" i="15"/>
  <c r="AP6" i="15"/>
  <c r="CW7" i="15"/>
  <c r="BJ5" i="15"/>
  <c r="AE5" i="15"/>
  <c r="EF7" i="15"/>
  <c r="CK5" i="15"/>
  <c r="DS5" i="15"/>
  <c r="CI5" i="15"/>
  <c r="BM6" i="15"/>
  <c r="BM2" i="15"/>
  <c r="ER5" i="15"/>
  <c r="ES10" i="15"/>
  <c r="BA4" i="15"/>
  <c r="CL7" i="15"/>
  <c r="AP9" i="15"/>
  <c r="EP5" i="15"/>
  <c r="DN5" i="15"/>
  <c r="DE9" i="15"/>
  <c r="DK5" i="15"/>
  <c r="V10" i="15"/>
  <c r="FB2" i="15"/>
  <c r="DJ5" i="15"/>
  <c r="AW5" i="15"/>
  <c r="BY10" i="15"/>
  <c r="AX4" i="15"/>
  <c r="AX7" i="15"/>
  <c r="DX2" i="15"/>
  <c r="DH5" i="15"/>
  <c r="AU5" i="15"/>
  <c r="EG9" i="15"/>
  <c r="CK3" i="15"/>
  <c r="EI5" i="15"/>
  <c r="BW5" i="15"/>
  <c r="EF5" i="15"/>
  <c r="CI3" i="15"/>
  <c r="ED5" i="15"/>
  <c r="BT5" i="15"/>
  <c r="AO5" i="15"/>
  <c r="DU3" i="15"/>
  <c r="ED7" i="15"/>
  <c r="BO5" i="15"/>
  <c r="S10" i="15"/>
  <c r="BF10" i="15" s="1"/>
  <c r="CY7" i="15"/>
  <c r="BB2" i="15"/>
  <c r="CZ6" i="15"/>
  <c r="DS4" i="15"/>
  <c r="FB7" i="15"/>
  <c r="CQ7" i="15"/>
  <c r="CR7" i="15" s="1"/>
  <c r="AK7" i="15"/>
  <c r="ER4" i="15"/>
  <c r="CA4" i="15"/>
  <c r="U4" i="15"/>
  <c r="CP7" i="15"/>
  <c r="AI7" i="15"/>
  <c r="EG6" i="15"/>
  <c r="EP4" i="15"/>
  <c r="EZ7" i="15"/>
  <c r="DX7" i="15"/>
  <c r="CN7" i="15"/>
  <c r="CP6" i="15"/>
  <c r="DB10" i="15"/>
  <c r="AP10" i="15"/>
  <c r="DK4" i="15"/>
  <c r="EW7" i="15"/>
  <c r="DP7" i="15"/>
  <c r="DQ7" i="15" s="1"/>
  <c r="CT7" i="15"/>
  <c r="CT9" i="15"/>
  <c r="CN6" i="15"/>
  <c r="AK10" i="15"/>
  <c r="BW4" i="15"/>
  <c r="EU7" i="15"/>
  <c r="DU7" i="15"/>
  <c r="CI7" i="15"/>
  <c r="ER7" i="15"/>
  <c r="DS7" i="15"/>
  <c r="EG5" i="15"/>
  <c r="BU4" i="15"/>
  <c r="AO4" i="15"/>
  <c r="EP7" i="15"/>
  <c r="DN7" i="15"/>
  <c r="AW7" i="15"/>
  <c r="AK4" i="15"/>
  <c r="DK7" i="15"/>
  <c r="CA7" i="15"/>
  <c r="EW9" i="15"/>
  <c r="EB5" i="15"/>
  <c r="P5" i="15"/>
  <c r="EU6" i="15"/>
  <c r="CI10" i="15"/>
  <c r="ED4" i="15"/>
  <c r="CT4" i="15"/>
  <c r="DJ7" i="15"/>
  <c r="BY7" i="15"/>
  <c r="AU7" i="15"/>
  <c r="U7" i="15"/>
  <c r="DS10" i="15"/>
  <c r="BB10" i="15"/>
  <c r="EK7" i="15"/>
  <c r="DH7" i="15"/>
  <c r="BW7" i="15"/>
  <c r="DK6" i="15"/>
  <c r="BY6" i="15"/>
  <c r="DP10" i="15"/>
  <c r="DQ10" i="15" s="1"/>
  <c r="BT7" i="15"/>
  <c r="DN9" i="15"/>
  <c r="CA9" i="15"/>
  <c r="AP5" i="15"/>
  <c r="BW6" i="15"/>
  <c r="AW10" i="15"/>
  <c r="FB4" i="15"/>
  <c r="CL4" i="15"/>
  <c r="EI7" i="15"/>
  <c r="DE7" i="15"/>
  <c r="P7" i="15"/>
  <c r="AX6" i="15"/>
  <c r="AP2" i="15"/>
  <c r="EK9" i="15"/>
  <c r="DJ9" i="15"/>
  <c r="AW9" i="15"/>
  <c r="BG10" i="15"/>
  <c r="CG10" i="15"/>
  <c r="AE10" i="15"/>
  <c r="CB4" i="15"/>
  <c r="CC4" i="15" s="1"/>
  <c r="BW9" i="15"/>
  <c r="T9" i="15"/>
  <c r="FB6" i="15"/>
  <c r="S4" i="15"/>
  <c r="BF4" i="15" s="1"/>
  <c r="ED9" i="15"/>
  <c r="CY9" i="15"/>
  <c r="BT9" i="15"/>
  <c r="EI6" i="15"/>
  <c r="EZ10" i="15"/>
  <c r="ED10" i="15"/>
  <c r="DE4" i="15"/>
  <c r="BR4" i="15"/>
  <c r="P4" i="15"/>
  <c r="CZ9" i="15"/>
  <c r="P9" i="15"/>
  <c r="EW5" i="15"/>
  <c r="CY5" i="15"/>
  <c r="BY5" i="15"/>
  <c r="BA5" i="15"/>
  <c r="EW10" i="15"/>
  <c r="EB10" i="15"/>
  <c r="CA10" i="15"/>
  <c r="CP3" i="15"/>
  <c r="AM9" i="15"/>
  <c r="EU5" i="15"/>
  <c r="CW5" i="15"/>
  <c r="BJ6" i="15"/>
  <c r="EU10" i="15"/>
  <c r="BA10" i="15"/>
  <c r="CW4" i="15"/>
  <c r="AO7" i="15"/>
  <c r="DX3" i="15"/>
  <c r="CN3" i="15"/>
  <c r="BJ3" i="15"/>
  <c r="AK3" i="15"/>
  <c r="CK7" i="15"/>
  <c r="AX2" i="15"/>
  <c r="EZ3" i="15"/>
  <c r="BM9" i="15"/>
  <c r="BM4" i="15"/>
  <c r="EV9" i="15"/>
  <c r="CP9" i="15"/>
  <c r="BJ9" i="15"/>
  <c r="U10" i="15"/>
  <c r="BG9" i="15"/>
  <c r="AI9" i="15"/>
  <c r="BG4" i="15"/>
  <c r="ES9" i="15"/>
  <c r="CK9" i="15"/>
  <c r="DP5" i="15"/>
  <c r="DQ5" i="15" s="1"/>
  <c r="S5" i="15"/>
  <c r="BF5" i="15" s="1"/>
  <c r="EZ6" i="15"/>
  <c r="DU6" i="15"/>
  <c r="T10" i="15"/>
  <c r="EZ4" i="15"/>
  <c r="DX4" i="15"/>
  <c r="EP3" i="15"/>
  <c r="DN3" i="15"/>
  <c r="CG3" i="15"/>
  <c r="BA3" i="15"/>
  <c r="DS9" i="15"/>
  <c r="CI9" i="15"/>
  <c r="EK5" i="15"/>
  <c r="CL5" i="15"/>
  <c r="EW6" i="15"/>
  <c r="DS6" i="15"/>
  <c r="S6" i="15"/>
  <c r="BF6" i="15" s="1"/>
  <c r="CQ10" i="15"/>
  <c r="CR10" i="15" s="1"/>
  <c r="AO10" i="15"/>
  <c r="CG4" i="15"/>
  <c r="BA7" i="15"/>
  <c r="BU2" i="15"/>
  <c r="DK3" i="15"/>
  <c r="S3" i="15"/>
  <c r="BF3" i="15" s="1"/>
  <c r="CG9" i="15"/>
  <c r="FB9" i="15"/>
  <c r="EF9" i="15"/>
  <c r="AB5" i="15"/>
  <c r="BH5" i="15" s="1"/>
  <c r="BJ4" i="15"/>
  <c r="AE7" i="15"/>
  <c r="ER2" i="15"/>
  <c r="AM2" i="15"/>
  <c r="EK4" i="15"/>
  <c r="DP4" i="15"/>
  <c r="DQ4" i="15" s="1"/>
  <c r="CQ4" i="15"/>
  <c r="BU7" i="15"/>
  <c r="CQ2" i="15"/>
  <c r="CU2" i="15" s="1"/>
  <c r="AE2" i="15"/>
  <c r="BM3" i="15"/>
  <c r="CP4" i="15"/>
  <c r="AI4" i="15"/>
  <c r="BO7" i="15"/>
  <c r="DN2" i="15"/>
  <c r="CP2" i="15"/>
  <c r="BW2" i="15"/>
  <c r="BM10" i="15"/>
  <c r="CB9" i="15"/>
  <c r="CC9" i="15" s="1"/>
  <c r="ES5" i="15"/>
  <c r="BA6" i="15"/>
  <c r="EI4" i="15"/>
  <c r="DN4" i="15"/>
  <c r="CN4" i="15"/>
  <c r="BT4" i="15"/>
  <c r="EB7" i="15"/>
  <c r="BN7" i="15"/>
  <c r="EK2" i="15"/>
  <c r="CN2" i="15"/>
  <c r="BA2" i="15"/>
  <c r="CG6" i="15"/>
  <c r="ER9" i="15"/>
  <c r="BA9" i="15"/>
  <c r="AE9" i="15"/>
  <c r="DE6" i="15"/>
  <c r="DU10" i="15"/>
  <c r="CW10" i="15"/>
  <c r="P10" i="15"/>
  <c r="EF4" i="15"/>
  <c r="CK4" i="15"/>
  <c r="AE4" i="15"/>
  <c r="EV7" i="15"/>
  <c r="EA7" i="15"/>
  <c r="S7" i="15"/>
  <c r="BF7" i="15" s="1"/>
  <c r="CK2" i="15"/>
  <c r="AW2" i="15"/>
  <c r="BG3" i="15"/>
  <c r="V4" i="15"/>
  <c r="EI2" i="15"/>
  <c r="DJ2" i="15"/>
  <c r="BT2" i="15"/>
  <c r="BY2" i="15"/>
  <c r="EP9" i="15"/>
  <c r="DU9" i="15"/>
  <c r="CQ9" i="15"/>
  <c r="CU9" i="15" s="1"/>
  <c r="DX5" i="15"/>
  <c r="DF5" i="15" s="1"/>
  <c r="CZ5" i="15"/>
  <c r="EB6" i="15"/>
  <c r="CT10" i="15"/>
  <c r="DJ4" i="15"/>
  <c r="CI4" i="15"/>
  <c r="AW4" i="15"/>
  <c r="V7" i="15"/>
  <c r="EF2" i="15"/>
  <c r="CI2" i="15"/>
  <c r="BR2" i="15"/>
  <c r="AU2" i="15"/>
  <c r="EF3" i="15"/>
  <c r="CA3" i="15"/>
  <c r="EW4" i="15"/>
  <c r="EB4" i="15"/>
  <c r="ES7" i="15"/>
  <c r="DB7" i="15"/>
  <c r="CB7" i="15"/>
  <c r="CC7" i="15" s="1"/>
  <c r="BJ7" i="15"/>
  <c r="EG2" i="15"/>
  <c r="ED3" i="15"/>
  <c r="DB3" i="15"/>
  <c r="CB3" i="15"/>
  <c r="CC3" i="15" s="1"/>
  <c r="AE3" i="15"/>
  <c r="DH4" i="15"/>
  <c r="BO4" i="15"/>
  <c r="AU4" i="15"/>
  <c r="BG7" i="15"/>
  <c r="EZ2" i="15"/>
  <c r="ED2" i="15"/>
  <c r="U2" i="15"/>
  <c r="BB3" i="15"/>
  <c r="CN9" i="15"/>
  <c r="BU9" i="15"/>
  <c r="CA5" i="15"/>
  <c r="EV6" i="15"/>
  <c r="CT6" i="15"/>
  <c r="AX10" i="15"/>
  <c r="ES4" i="15"/>
  <c r="BN4" i="15"/>
  <c r="EA2" i="15"/>
  <c r="DE2" i="15"/>
  <c r="S2" i="15"/>
  <c r="BF2" i="15" s="1"/>
  <c r="CL9" i="15"/>
  <c r="BO6" i="15"/>
  <c r="EV10" i="15"/>
  <c r="EG10" i="15"/>
  <c r="CK10" i="15"/>
  <c r="BR10" i="15"/>
  <c r="EW2" i="15"/>
  <c r="BO2" i="15"/>
  <c r="P2" i="15"/>
  <c r="CT3" i="15"/>
  <c r="DS2" i="15"/>
  <c r="BN9" i="15"/>
  <c r="U9" i="15"/>
  <c r="BN5" i="15"/>
  <c r="ES6" i="15"/>
  <c r="BU10" i="15"/>
  <c r="CY2" i="15"/>
  <c r="AO2" i="15"/>
  <c r="CQ3" i="15"/>
  <c r="DA3" i="15" s="1"/>
  <c r="AW3" i="15"/>
  <c r="AO9" i="15"/>
  <c r="S9" i="15"/>
  <c r="BF9" i="15" s="1"/>
  <c r="CY4" i="15"/>
  <c r="T4" i="15"/>
  <c r="BB7" i="15"/>
  <c r="AP7" i="15"/>
  <c r="EU2" i="15"/>
  <c r="CZ2" i="15"/>
  <c r="BJ2" i="15"/>
  <c r="EW3" i="15"/>
  <c r="BH7" i="15"/>
  <c r="AC7" i="15"/>
  <c r="AF7" i="15"/>
  <c r="AF2" i="15"/>
  <c r="BH2" i="15"/>
  <c r="AC2" i="15"/>
  <c r="AC9" i="15"/>
  <c r="BH9" i="15"/>
  <c r="AF9" i="15"/>
  <c r="BH4" i="15"/>
  <c r="AC4" i="15"/>
  <c r="AF4" i="15"/>
  <c r="AC3" i="15"/>
  <c r="BH3" i="15"/>
  <c r="AF3" i="15"/>
  <c r="BH10" i="15"/>
  <c r="AC10" i="15"/>
  <c r="AF10" i="15"/>
  <c r="EK6" i="15"/>
  <c r="AB6" i="15"/>
  <c r="CZ10" i="15"/>
  <c r="EU4" i="15"/>
  <c r="T7" i="15"/>
  <c r="CT2" i="15"/>
  <c r="BN2" i="15"/>
  <c r="DB5" i="15"/>
  <c r="EF6" i="15"/>
  <c r="DP6" i="15"/>
  <c r="DQ6" i="15" s="1"/>
  <c r="CY6" i="15"/>
  <c r="CI6" i="15"/>
  <c r="AM6" i="15"/>
  <c r="BO10" i="15"/>
  <c r="DB9" i="15"/>
  <c r="BR6" i="15"/>
  <c r="BB6" i="15"/>
  <c r="V6" i="15"/>
  <c r="EV5" i="15"/>
  <c r="ED6" i="15"/>
  <c r="DN6" i="15"/>
  <c r="CW6" i="15"/>
  <c r="AK6" i="15"/>
  <c r="U6" i="15"/>
  <c r="AO6" i="15"/>
  <c r="BR5" i="15"/>
  <c r="V5" i="15"/>
  <c r="DB2" i="15"/>
  <c r="EG3" i="15"/>
  <c r="CZ3" i="15"/>
  <c r="BT3" i="15"/>
  <c r="DP9" i="15"/>
  <c r="DQ9" i="15" s="1"/>
  <c r="ER6" i="15"/>
  <c r="AI6" i="15"/>
  <c r="EV3" i="15"/>
  <c r="DP3" i="15"/>
  <c r="DQ3" i="15" s="1"/>
  <c r="AM3" i="15"/>
  <c r="BB9" i="15"/>
  <c r="V9" i="15"/>
  <c r="T5" i="15"/>
  <c r="BN6" i="15"/>
  <c r="BR3" i="15"/>
  <c r="V3" i="15"/>
  <c r="EP6" i="15"/>
  <c r="DJ6" i="15"/>
  <c r="AW6" i="15"/>
  <c r="DP2" i="15"/>
  <c r="DQ2" i="15" s="1"/>
  <c r="U3" i="15"/>
  <c r="EA5" i="15"/>
  <c r="AX5" i="15"/>
  <c r="CB6" i="15"/>
  <c r="CC6" i="15" s="1"/>
  <c r="P6" i="15"/>
  <c r="DB4" i="15"/>
  <c r="EG7" i="15"/>
  <c r="CZ7" i="15"/>
  <c r="V2" i="15"/>
  <c r="ES3" i="15"/>
  <c r="T3" i="15"/>
  <c r="EB9" i="15"/>
  <c r="BO9" i="15"/>
  <c r="DX6" i="15"/>
  <c r="DF6" i="15" s="1"/>
  <c r="DH6" i="15"/>
  <c r="CQ6" i="15"/>
  <c r="CA6" i="15"/>
  <c r="AU6" i="15"/>
  <c r="AE6" i="15"/>
  <c r="EB3" i="15"/>
  <c r="BO3" i="15"/>
  <c r="AX9" i="15"/>
  <c r="CL10" i="15"/>
  <c r="EG4" i="15"/>
  <c r="CZ4" i="15"/>
  <c r="ES2" i="15"/>
  <c r="T2" i="15"/>
  <c r="AX3" i="15"/>
  <c r="CK6" i="15"/>
  <c r="BI4" i="10"/>
  <c r="BH3" i="10"/>
  <c r="BI3" i="10"/>
  <c r="CH3" i="10"/>
  <c r="CR3" i="10"/>
  <c r="BG4" i="10"/>
  <c r="EC3" i="10"/>
  <c r="R3" i="10"/>
  <c r="DH3" i="10"/>
  <c r="AM3" i="10"/>
  <c r="AO3" i="10" s="1"/>
  <c r="CL3" i="10"/>
  <c r="CI3" i="10" s="1"/>
  <c r="BD3" i="10"/>
  <c r="T3" i="10"/>
  <c r="DM3" i="10"/>
  <c r="AY3" i="10"/>
  <c r="EH3" i="10"/>
  <c r="CZ3" i="10"/>
  <c r="AQ3" i="10"/>
  <c r="EO3" i="10"/>
  <c r="CX3" i="10"/>
  <c r="EL3" i="10"/>
  <c r="BS3" i="10"/>
  <c r="EJ3" i="10"/>
  <c r="BQ3" i="10"/>
  <c r="EE3" i="10"/>
  <c r="BO3" i="10"/>
  <c r="DV3" i="10"/>
  <c r="BK3" i="10"/>
  <c r="DU3" i="10"/>
  <c r="CK3" i="10"/>
  <c r="AH3" i="10"/>
  <c r="DS3" i="10"/>
  <c r="EA3" i="10"/>
  <c r="CT3" i="10"/>
  <c r="AT3" i="10"/>
  <c r="DO3" i="10"/>
  <c r="BZ3" i="10"/>
  <c r="BM3" i="10"/>
  <c r="AJ3" i="10"/>
  <c r="DK3" i="10"/>
  <c r="AL3" i="10"/>
  <c r="DI3" i="10"/>
  <c r="BF3" i="10"/>
  <c r="BB3" i="10"/>
  <c r="W3" i="10"/>
  <c r="CA3" i="10"/>
  <c r="CO3" i="10"/>
  <c r="Z3" i="10"/>
  <c r="CG3" i="10" s="1"/>
  <c r="AS3" i="10"/>
  <c r="S3" i="10"/>
  <c r="DY3" i="10"/>
  <c r="DZ3" i="10" s="1"/>
  <c r="DX3" i="10"/>
  <c r="AI3" i="10"/>
  <c r="CV3" i="10"/>
  <c r="CU3" i="10"/>
  <c r="AK3" i="10"/>
  <c r="AZ3" i="10"/>
  <c r="DF3" i="10"/>
  <c r="AC3" i="10"/>
  <c r="AE3" i="10" s="1"/>
  <c r="DD3" i="10"/>
  <c r="DC3" i="10"/>
  <c r="BG3" i="10"/>
  <c r="K3" i="10"/>
  <c r="DA3" i="10"/>
  <c r="EF3" i="10"/>
  <c r="BF2" i="10"/>
  <c r="BF4" i="10"/>
  <c r="BG2" i="10"/>
  <c r="BH2" i="10"/>
  <c r="BH4" i="10"/>
  <c r="EJ2" i="10"/>
  <c r="AE2" i="10"/>
  <c r="DV4" i="10"/>
  <c r="Z2" i="10"/>
  <c r="CG2" i="10" s="1"/>
  <c r="AK4" i="10"/>
  <c r="AT2" i="10"/>
  <c r="EH4" i="10"/>
  <c r="DO2" i="10"/>
  <c r="DI2" i="10"/>
  <c r="EO4" i="10"/>
  <c r="Z4" i="10"/>
  <c r="CG4" i="10" s="1"/>
  <c r="DY2" i="10"/>
  <c r="DZ2" i="10" s="1"/>
  <c r="DZ4" i="10"/>
  <c r="DU2" i="10"/>
  <c r="CL4" i="10"/>
  <c r="CI4" i="10" s="1"/>
  <c r="DP2" i="10"/>
  <c r="DR4" i="10"/>
  <c r="DX4" i="10" s="1"/>
  <c r="AE4" i="10"/>
  <c r="EJ4" i="10"/>
  <c r="AT4" i="10"/>
  <c r="DH4" i="10"/>
  <c r="DA2" i="10"/>
  <c r="EL4" i="10"/>
  <c r="BS4" i="10"/>
  <c r="DH2" i="10"/>
  <c r="CT4" i="10"/>
  <c r="AL4" i="10"/>
  <c r="AQ2" i="10"/>
  <c r="CR4" i="10"/>
  <c r="EH2" i="10"/>
  <c r="EO2" i="10"/>
  <c r="BS2" i="10"/>
  <c r="EF2" i="10"/>
  <c r="BO2" i="10"/>
  <c r="CT2" i="10"/>
  <c r="BM2" i="10"/>
  <c r="AL2" i="10"/>
  <c r="CR2" i="10"/>
  <c r="DV2" i="10"/>
  <c r="CO2" i="10"/>
  <c r="CZ2" i="10"/>
  <c r="AS2" i="10"/>
  <c r="BM4" i="10"/>
  <c r="AM4" i="10"/>
  <c r="AO4" i="10" s="1"/>
  <c r="DO4" i="10"/>
  <c r="BK2" i="10"/>
  <c r="AH4" i="10"/>
  <c r="AK2" i="10"/>
  <c r="DK2" i="10"/>
  <c r="BD2" i="10"/>
  <c r="AM2" i="10"/>
  <c r="AO2" i="10" s="1"/>
  <c r="DF4" i="10"/>
  <c r="CA2" i="10"/>
  <c r="AI2" i="10"/>
  <c r="DD2" i="10"/>
  <c r="AH2" i="10"/>
  <c r="EE2" i="10"/>
  <c r="EE4" i="10"/>
  <c r="CX4" i="10"/>
  <c r="CA4" i="10"/>
  <c r="BK4" i="10"/>
  <c r="AS4" i="10"/>
  <c r="DC4" i="10"/>
  <c r="EL2" i="10"/>
  <c r="DF2" i="10"/>
  <c r="BZ2" i="10"/>
  <c r="BZ4" i="10"/>
  <c r="BD4" i="10"/>
  <c r="K2" i="10"/>
  <c r="DU4" i="10"/>
  <c r="DA4" i="10"/>
  <c r="CK4" i="10"/>
  <c r="BB4" i="10"/>
  <c r="W4" i="10"/>
  <c r="EF4" i="10"/>
  <c r="DP4" i="10"/>
  <c r="CZ4" i="10"/>
  <c r="DC2" i="10"/>
  <c r="AQ4" i="10"/>
  <c r="DR2" i="10"/>
  <c r="CL2" i="10"/>
  <c r="CO4" i="10"/>
  <c r="AZ4" i="10"/>
  <c r="AJ4" i="10"/>
  <c r="T4" i="10"/>
  <c r="CK2" i="10"/>
  <c r="BB2" i="10"/>
  <c r="W2" i="10"/>
  <c r="EC4" i="10"/>
  <c r="DM4" i="10"/>
  <c r="BQ4" i="10"/>
  <c r="AY4" i="10"/>
  <c r="AI4" i="10"/>
  <c r="S4" i="10"/>
  <c r="K4" i="10"/>
  <c r="CV4" i="10"/>
  <c r="R4" i="10"/>
  <c r="EA4" i="10"/>
  <c r="DK4" i="10"/>
  <c r="CU4" i="10"/>
  <c r="BO4" i="10"/>
  <c r="CX2" i="10"/>
  <c r="AZ2" i="10"/>
  <c r="AJ2" i="10"/>
  <c r="T2" i="10"/>
  <c r="EC2" i="10"/>
  <c r="DM2" i="10"/>
  <c r="BQ2" i="10"/>
  <c r="AY2" i="10"/>
  <c r="S2" i="10"/>
  <c r="DI4" i="10"/>
  <c r="CV2" i="10"/>
  <c r="R2" i="10"/>
  <c r="AD10" i="17"/>
  <c r="AA10" i="17"/>
  <c r="BS10" i="17"/>
  <c r="BQ10" i="17"/>
  <c r="Q6" i="6"/>
  <c r="Q2" i="6"/>
  <c r="R2" i="6" s="1"/>
  <c r="BX9" i="6"/>
  <c r="CM6" i="6"/>
  <c r="AT9" i="6"/>
  <c r="AE2" i="6"/>
  <c r="BV9" i="6"/>
  <c r="AO9" i="6"/>
  <c r="BZ6" i="6"/>
  <c r="AT6" i="6"/>
  <c r="CZ9" i="6"/>
  <c r="AE9" i="6"/>
  <c r="AJ6" i="6"/>
  <c r="BK9" i="6"/>
  <c r="BN6" i="6"/>
  <c r="CF2" i="6"/>
  <c r="DB9" i="6"/>
  <c r="BN9" i="6"/>
  <c r="AT2" i="6"/>
  <c r="CR6" i="6"/>
  <c r="BL9" i="6"/>
  <c r="CO6" i="6"/>
  <c r="CR9" i="6"/>
  <c r="AM2" i="6"/>
  <c r="CP9" i="6"/>
  <c r="AE6" i="6"/>
  <c r="AQ2" i="6"/>
  <c r="CM2" i="6"/>
  <c r="CT9" i="6"/>
  <c r="AO6" i="6"/>
  <c r="DE2" i="6"/>
  <c r="BV2" i="6"/>
  <c r="BS6" i="6"/>
  <c r="BT6" i="6" s="1"/>
  <c r="DB2" i="6"/>
  <c r="AM6" i="6"/>
  <c r="AJ2" i="6"/>
  <c r="CW2" i="6"/>
  <c r="BN2" i="6"/>
  <c r="Z2" i="6"/>
  <c r="AL9" i="6"/>
  <c r="V2" i="6"/>
  <c r="BA2" i="6"/>
  <c r="CM9" i="6"/>
  <c r="V6" i="6"/>
  <c r="AX2" i="6"/>
  <c r="CH9" i="6"/>
  <c r="CJ9" i="6" s="1"/>
  <c r="CK9" i="6" s="1"/>
  <c r="CD6" i="6"/>
  <c r="AX6" i="6"/>
  <c r="AV6" i="6"/>
  <c r="CP6" i="6"/>
  <c r="AL6" i="6"/>
  <c r="BK6" i="6"/>
  <c r="AL2" i="6"/>
  <c r="CW9" i="6"/>
  <c r="BI6" i="6"/>
  <c r="CB6" i="6"/>
  <c r="CH6" i="6"/>
  <c r="CJ6" i="6" s="1"/>
  <c r="CK6" i="6" s="1"/>
  <c r="BF6" i="6"/>
  <c r="CR2" i="6"/>
  <c r="BK2" i="6"/>
  <c r="BD6" i="6"/>
  <c r="CO2" i="6"/>
  <c r="BI2" i="6"/>
  <c r="CB2" i="6"/>
  <c r="T9" i="6"/>
  <c r="CF6" i="6"/>
  <c r="Z6" i="6"/>
  <c r="CV6" i="6"/>
  <c r="X6" i="6"/>
  <c r="BF2" i="6"/>
  <c r="AA2" i="6"/>
  <c r="AB2" i="6" s="1"/>
  <c r="BI9" i="6"/>
  <c r="AH9" i="6"/>
  <c r="T6" i="6"/>
  <c r="BF9" i="6"/>
  <c r="DE6" i="6"/>
  <c r="BX6" i="6"/>
  <c r="AS6" i="6"/>
  <c r="DE9" i="6"/>
  <c r="CA9" i="6"/>
  <c r="CB9" i="6" s="1"/>
  <c r="BD9" i="6"/>
  <c r="DB6" i="6"/>
  <c r="BV6" i="6"/>
  <c r="AQ6" i="6"/>
  <c r="R6" i="6"/>
  <c r="CD2" i="6"/>
  <c r="AV2" i="6"/>
  <c r="T2" i="6"/>
  <c r="BZ9" i="6"/>
  <c r="CZ6" i="6"/>
  <c r="CV9" i="6"/>
  <c r="Z9" i="6"/>
  <c r="CT6" i="6"/>
  <c r="BX2" i="6"/>
  <c r="AS2" i="6"/>
  <c r="DA9" i="6"/>
  <c r="AX9" i="6"/>
  <c r="X9" i="6"/>
  <c r="CX6" i="6"/>
  <c r="CU2" i="6"/>
  <c r="CV2" i="6" s="1"/>
  <c r="AY2" i="6"/>
  <c r="CW6" i="6"/>
  <c r="BA6" i="6"/>
  <c r="CT2" i="6"/>
  <c r="AH2" i="6"/>
  <c r="Q9" i="6"/>
  <c r="R9" i="6" s="1"/>
  <c r="AY6" i="6"/>
  <c r="BL2" i="6"/>
  <c r="AF2" i="6"/>
  <c r="CX9" i="6"/>
  <c r="AH6" i="6"/>
  <c r="CP2" i="6"/>
  <c r="BZ2" i="6"/>
  <c r="BL6" i="6"/>
  <c r="AF6" i="6"/>
  <c r="AO2" i="6"/>
  <c r="BG6" i="6"/>
  <c r="AA6" i="6"/>
  <c r="AB6" i="6" s="1"/>
  <c r="CZ2" i="6"/>
  <c r="BD2" i="6"/>
  <c r="X2" i="6"/>
  <c r="BS2" i="6"/>
  <c r="BT2" i="6" s="1"/>
  <c r="DA6" i="6"/>
  <c r="CX2" i="6"/>
  <c r="CH2" i="6"/>
  <c r="CJ2" i="6" s="1"/>
  <c r="CK2" i="6" s="1"/>
  <c r="CO9" i="6"/>
  <c r="AA9" i="6"/>
  <c r="AB9" i="6" s="1"/>
  <c r="BS9" i="6"/>
  <c r="BT9" i="6" s="1"/>
  <c r="BA9" i="6"/>
  <c r="CF9" i="6"/>
  <c r="AJ9" i="6"/>
  <c r="AY9" i="6"/>
  <c r="ES11" i="15"/>
  <c r="ES8" i="15"/>
  <c r="AF10" i="17"/>
  <c r="DL9" i="2"/>
  <c r="BO9" i="2"/>
  <c r="DF9" i="2"/>
  <c r="DK9" i="2"/>
  <c r="CP9" i="2"/>
  <c r="CN9" i="2"/>
  <c r="AY9" i="2"/>
  <c r="CA9" i="2"/>
  <c r="Y9" i="2"/>
  <c r="AU9" i="2"/>
  <c r="AV9" i="2"/>
  <c r="BV9" i="2"/>
  <c r="BW9" i="2" s="1"/>
  <c r="BA9" i="2"/>
  <c r="DB9" i="2"/>
  <c r="DH9" i="2"/>
  <c r="CC9" i="2"/>
  <c r="DD9" i="2"/>
  <c r="CR9" i="2"/>
  <c r="W9" i="2"/>
  <c r="Z9" i="2"/>
  <c r="AO9" i="2"/>
  <c r="CS9" i="2"/>
  <c r="U9" i="2"/>
  <c r="BY9" i="2"/>
  <c r="CH9" i="2"/>
  <c r="R9" i="2"/>
  <c r="CD9" i="2"/>
  <c r="CZ9" i="2"/>
  <c r="AR9" i="2"/>
  <c r="CX9" i="2" s="1"/>
  <c r="CT9" i="2"/>
  <c r="CU9" i="2" s="1"/>
  <c r="BR9" i="2"/>
  <c r="BE7" i="11"/>
  <c r="BW6" i="11"/>
  <c r="Z6" i="11"/>
  <c r="BH2" i="11"/>
  <c r="CJ6" i="11"/>
  <c r="R9" i="11"/>
  <c r="BF9" i="11"/>
  <c r="BC11" i="11"/>
  <c r="CZ6" i="11"/>
  <c r="BJ2" i="11"/>
  <c r="DC11" i="11"/>
  <c r="R7" i="11"/>
  <c r="AR7" i="11"/>
  <c r="AL7" i="11"/>
  <c r="AD2" i="11"/>
  <c r="BM11" i="11"/>
  <c r="CV2" i="11"/>
  <c r="Z11" i="11"/>
  <c r="BE2" i="11"/>
  <c r="CH2" i="11"/>
  <c r="T2" i="11"/>
  <c r="AR9" i="11"/>
  <c r="CD2" i="11"/>
  <c r="AW2" i="11"/>
  <c r="AL9" i="11"/>
  <c r="AW11" i="11"/>
  <c r="BJ9" i="11"/>
  <c r="BR8" i="11"/>
  <c r="BN3" i="11"/>
  <c r="CL3" i="11" s="1"/>
  <c r="CM3" i="11" s="1"/>
  <c r="AY6" i="11"/>
  <c r="AZ6" i="11" s="1"/>
  <c r="CH9" i="11"/>
  <c r="CD9" i="11"/>
  <c r="AY9" i="11"/>
  <c r="AZ9" i="11" s="1"/>
  <c r="R11" i="11"/>
  <c r="BY9" i="11"/>
  <c r="BF3" i="11"/>
  <c r="BC8" i="11"/>
  <c r="AM11" i="11"/>
  <c r="T3" i="11"/>
  <c r="BN9" i="11"/>
  <c r="CL9" i="11" s="1"/>
  <c r="CM9" i="11" s="1"/>
  <c r="AJ9" i="11"/>
  <c r="BM9" i="11"/>
  <c r="BJ6" i="11"/>
  <c r="CJ9" i="11"/>
  <c r="DA8" i="11"/>
  <c r="BF6" i="11"/>
  <c r="BH9" i="11"/>
  <c r="CA7" i="11"/>
  <c r="BE8" i="11"/>
  <c r="W8" i="11"/>
  <c r="W3" i="11"/>
  <c r="AR2" i="11"/>
  <c r="CB9" i="11"/>
  <c r="CC9" i="11" s="1"/>
  <c r="BP10" i="11"/>
  <c r="CA9" i="11"/>
  <c r="T8" i="11"/>
  <c r="AW3" i="11"/>
  <c r="AL2" i="11"/>
  <c r="CJ8" i="11"/>
  <c r="BP5" i="11"/>
  <c r="BY11" i="11"/>
  <c r="AY3" i="11"/>
  <c r="AX3" i="11" s="1"/>
  <c r="R3" i="11"/>
  <c r="BR2" i="11"/>
  <c r="AJ2" i="11"/>
  <c r="CH8" i="11"/>
  <c r="AH5" i="11"/>
  <c r="DA2" i="11"/>
  <c r="T9" i="11"/>
  <c r="BF5" i="11"/>
  <c r="CA3" i="11"/>
  <c r="AR3" i="11"/>
  <c r="CZ2" i="11"/>
  <c r="DC9" i="11"/>
  <c r="DA7" i="11"/>
  <c r="AY10" i="11"/>
  <c r="CP10" i="11" s="1"/>
  <c r="CQ10" i="11" s="1"/>
  <c r="CX9" i="11"/>
  <c r="CV9" i="11"/>
  <c r="AQ9" i="11"/>
  <c r="AL8" i="11"/>
  <c r="AW5" i="11"/>
  <c r="AH11" i="11"/>
  <c r="AM3" i="11"/>
  <c r="AG2" i="11"/>
  <c r="AQ10" i="11"/>
  <c r="AO9" i="11"/>
  <c r="CH7" i="11"/>
  <c r="AG7" i="11"/>
  <c r="AM5" i="11"/>
  <c r="CA2" i="11"/>
  <c r="BC2" i="11"/>
  <c r="AM10" i="11"/>
  <c r="BN5" i="11"/>
  <c r="CL5" i="11" s="1"/>
  <c r="CM5" i="11" s="1"/>
  <c r="AW8" i="11"/>
  <c r="DC2" i="11"/>
  <c r="BY2" i="11"/>
  <c r="CB7" i="11"/>
  <c r="CC7" i="11" s="1"/>
  <c r="W7" i="11"/>
  <c r="AY8" i="11"/>
  <c r="CP8" i="11" s="1"/>
  <c r="CQ8" i="11" s="1"/>
  <c r="BV2" i="11"/>
  <c r="AW7" i="11"/>
  <c r="T7" i="11"/>
  <c r="BY8" i="11"/>
  <c r="R8" i="11"/>
  <c r="BT2" i="11"/>
  <c r="BW9" i="11"/>
  <c r="BV8" i="11"/>
  <c r="AQ8" i="11"/>
  <c r="W11" i="11"/>
  <c r="BJ3" i="11"/>
  <c r="BW2" i="11"/>
  <c r="AO6" i="11"/>
  <c r="DC8" i="11"/>
  <c r="W2" i="11"/>
  <c r="DC6" i="11"/>
  <c r="BP2" i="11"/>
  <c r="DC7" i="11"/>
  <c r="BR7" i="11"/>
  <c r="CX8" i="11"/>
  <c r="W5" i="11"/>
  <c r="BP3" i="11"/>
  <c r="BF10" i="11"/>
  <c r="X10" i="11"/>
  <c r="BN7" i="11"/>
  <c r="CL7" i="11" s="1"/>
  <c r="CM7" i="11" s="1"/>
  <c r="CV8" i="11"/>
  <c r="BN2" i="11"/>
  <c r="CL2" i="11" s="1"/>
  <c r="CM2" i="11" s="1"/>
  <c r="CX7" i="11"/>
  <c r="BM7" i="11"/>
  <c r="AJ7" i="11"/>
  <c r="CJ2" i="11"/>
  <c r="BM2" i="11"/>
  <c r="BH8" i="11"/>
  <c r="BY5" i="11"/>
  <c r="BN11" i="11"/>
  <c r="CL11" i="11" s="1"/>
  <c r="CM11" i="11" s="1"/>
  <c r="CH3" i="11"/>
  <c r="Z3" i="11"/>
  <c r="BC9" i="11"/>
  <c r="BF8" i="11"/>
  <c r="BP7" i="11"/>
  <c r="BW5" i="11"/>
  <c r="AQ5" i="11"/>
  <c r="X6" i="11"/>
  <c r="AQ7" i="11"/>
  <c r="CD6" i="11"/>
  <c r="AD6" i="11"/>
  <c r="BJ7" i="11"/>
  <c r="AO7" i="11"/>
  <c r="AG8" i="11"/>
  <c r="CB6" i="11"/>
  <c r="CC6" i="11" s="1"/>
  <c r="BE6" i="11"/>
  <c r="CD7" i="11"/>
  <c r="X11" i="11"/>
  <c r="DA3" i="11"/>
  <c r="CA6" i="11"/>
  <c r="BC6" i="11"/>
  <c r="BH7" i="11"/>
  <c r="AM7" i="11"/>
  <c r="X8" i="11"/>
  <c r="AG5" i="11"/>
  <c r="BT11" i="11"/>
  <c r="AR11" i="11"/>
  <c r="X3" i="11"/>
  <c r="AQ2" i="11"/>
  <c r="X2" i="11"/>
  <c r="BY6" i="11"/>
  <c r="DA10" i="11"/>
  <c r="BJ10" i="11"/>
  <c r="BV6" i="11"/>
  <c r="CY7" i="11"/>
  <c r="BC7" i="11"/>
  <c r="BT8" i="11"/>
  <c r="AO11" i="11"/>
  <c r="CX6" i="11"/>
  <c r="BE9" i="11"/>
  <c r="CV6" i="11"/>
  <c r="BT6" i="11"/>
  <c r="BV7" i="11"/>
  <c r="AY7" i="11"/>
  <c r="AX7" i="11" s="1"/>
  <c r="AD7" i="11"/>
  <c r="BN8" i="11"/>
  <c r="AO8" i="11"/>
  <c r="AM2" i="11"/>
  <c r="R2" i="11"/>
  <c r="W6" i="11"/>
  <c r="CV7" i="11"/>
  <c r="BM8" i="11"/>
  <c r="R5" i="11"/>
  <c r="BR6" i="11"/>
  <c r="AR6" i="11"/>
  <c r="T6" i="11"/>
  <c r="W10" i="11"/>
  <c r="AD9" i="11"/>
  <c r="BT7" i="11"/>
  <c r="BN6" i="11"/>
  <c r="BF11" i="11"/>
  <c r="CV3" i="11"/>
  <c r="BM6" i="11"/>
  <c r="R6" i="11"/>
  <c r="AJ8" i="11"/>
  <c r="CZ5" i="11"/>
  <c r="CX5" i="11"/>
  <c r="CJ11" i="11"/>
  <c r="BE11" i="11"/>
  <c r="CX2" i="11"/>
  <c r="AL6" i="11"/>
  <c r="R10" i="11"/>
  <c r="BV9" i="11"/>
  <c r="AW9" i="11"/>
  <c r="Z9" i="11"/>
  <c r="BP8" i="11"/>
  <c r="CY5" i="11"/>
  <c r="CH11" i="11"/>
  <c r="CD3" i="11"/>
  <c r="AJ6" i="11"/>
  <c r="AR10" i="11"/>
  <c r="BT9" i="11"/>
  <c r="X9" i="11"/>
  <c r="CA10" i="11"/>
  <c r="CB10" i="11"/>
  <c r="CC10" i="11" s="1"/>
  <c r="AW10" i="11"/>
  <c r="BM10" i="11"/>
  <c r="CD10" i="11"/>
  <c r="T10" i="11"/>
  <c r="AJ10" i="11"/>
  <c r="AL10" i="11"/>
  <c r="BR10" i="11"/>
  <c r="CH10" i="11"/>
  <c r="CX10" i="11"/>
  <c r="BT10" i="11"/>
  <c r="CJ10" i="11"/>
  <c r="CV5" i="11"/>
  <c r="AD5" i="11"/>
  <c r="BE3" i="11"/>
  <c r="BH10" i="11"/>
  <c r="CY9" i="11"/>
  <c r="CZ9" i="11"/>
  <c r="DA9" i="11"/>
  <c r="CD5" i="11"/>
  <c r="BM5" i="11"/>
  <c r="CP6" i="11"/>
  <c r="CQ6" i="11" s="1"/>
  <c r="Z7" i="11"/>
  <c r="BW8" i="11"/>
  <c r="AM8" i="11"/>
  <c r="BY3" i="11"/>
  <c r="BC3" i="11"/>
  <c r="AL3" i="11"/>
  <c r="AW6" i="11"/>
  <c r="CB5" i="11"/>
  <c r="CC5" i="11" s="1"/>
  <c r="Z5" i="11"/>
  <c r="BJ11" i="11"/>
  <c r="BP11" i="11"/>
  <c r="CX3" i="11"/>
  <c r="BV3" i="11"/>
  <c r="AJ3" i="11"/>
  <c r="AG6" i="11"/>
  <c r="AH6" i="11"/>
  <c r="BE10" i="11"/>
  <c r="AD10" i="11"/>
  <c r="BF7" i="11"/>
  <c r="CA5" i="11"/>
  <c r="BJ5" i="11"/>
  <c r="AR5" i="11"/>
  <c r="CX11" i="11"/>
  <c r="CD11" i="11"/>
  <c r="BH11" i="11"/>
  <c r="AL11" i="11"/>
  <c r="BT3" i="11"/>
  <c r="BW3" i="11"/>
  <c r="AY2" i="11"/>
  <c r="AX2" i="11" s="1"/>
  <c r="W9" i="11"/>
  <c r="BW7" i="11"/>
  <c r="X7" i="11"/>
  <c r="X5" i="11"/>
  <c r="CZ11" i="11"/>
  <c r="DA11" i="11"/>
  <c r="BR3" i="11"/>
  <c r="AH3" i="11"/>
  <c r="BC10" i="11"/>
  <c r="BH5" i="11"/>
  <c r="AG3" i="11"/>
  <c r="AH2" i="11"/>
  <c r="Z2" i="11"/>
  <c r="AQ6" i="11"/>
  <c r="BY10" i="11"/>
  <c r="Z10" i="11"/>
  <c r="AZ8" i="11"/>
  <c r="AO5" i="11"/>
  <c r="T11" i="11"/>
  <c r="AJ11" i="11"/>
  <c r="CV11" i="11"/>
  <c r="AG10" i="11"/>
  <c r="AH10" i="11"/>
  <c r="BV5" i="11"/>
  <c r="AL5" i="11"/>
  <c r="T5" i="11"/>
  <c r="AQ3" i="11"/>
  <c r="DC3" i="11"/>
  <c r="AD3" i="11"/>
  <c r="CB3" i="11"/>
  <c r="CC3" i="11" s="1"/>
  <c r="DC10" i="11"/>
  <c r="BV10" i="11"/>
  <c r="CY8" i="11"/>
  <c r="BE5" i="11"/>
  <c r="BW11" i="11"/>
  <c r="AD11" i="11"/>
  <c r="BM3" i="11"/>
  <c r="AH7" i="11"/>
  <c r="AX8" i="11"/>
  <c r="AD8" i="11"/>
  <c r="AH8" i="11"/>
  <c r="DC5" i="11"/>
  <c r="BT5" i="11"/>
  <c r="BC5" i="11"/>
  <c r="AJ5" i="11"/>
  <c r="BV11" i="11"/>
  <c r="AM9" i="11"/>
  <c r="CJ5" i="11"/>
  <c r="AG11" i="11"/>
  <c r="CJ3" i="11"/>
  <c r="BH6" i="11"/>
  <c r="BP6" i="11"/>
  <c r="BR5" i="11"/>
  <c r="CV10" i="11"/>
  <c r="BN10" i="11"/>
  <c r="CB8" i="11"/>
  <c r="CC8" i="11" s="1"/>
  <c r="AR8" i="11"/>
  <c r="Z8" i="11"/>
  <c r="CH5" i="11"/>
  <c r="AY5" i="11"/>
  <c r="AX5" i="11" s="1"/>
  <c r="AY11" i="11"/>
  <c r="AX11" i="11" s="1"/>
  <c r="AO10" i="11"/>
  <c r="CA8" i="11"/>
  <c r="BJ8" i="11"/>
  <c r="BH3" i="11"/>
  <c r="BF2" i="11"/>
  <c r="CY6" i="11"/>
  <c r="AM6" i="11"/>
  <c r="CZ10" i="11"/>
  <c r="AH9" i="11"/>
  <c r="AG9" i="11"/>
  <c r="CZ3" i="11"/>
  <c r="CM10" i="17"/>
  <c r="AT10" i="17"/>
  <c r="S10" i="17"/>
  <c r="CI10" i="17"/>
  <c r="BZ10" i="17"/>
  <c r="CR10" i="17"/>
  <c r="CG10" i="17"/>
  <c r="AR10" i="17"/>
  <c r="CE10" i="17"/>
  <c r="AP10" i="17"/>
  <c r="CB10" i="17"/>
  <c r="AN10" i="17"/>
  <c r="AM10" i="17"/>
  <c r="BY10" i="17"/>
  <c r="BW10" i="17"/>
  <c r="AJ10" i="17"/>
  <c r="AG10" i="17"/>
  <c r="Y10" i="17"/>
  <c r="R10" i="17"/>
  <c r="AL10" i="17" s="1"/>
  <c r="CJ10" i="17"/>
  <c r="AI10" i="17"/>
  <c r="BA10" i="17"/>
  <c r="AW10" i="17"/>
  <c r="AV10" i="17"/>
  <c r="AY10" i="17" s="1"/>
  <c r="V10" i="17"/>
  <c r="O10" i="17"/>
  <c r="BG10" i="17"/>
  <c r="BH10" i="17" s="1"/>
  <c r="BF10" i="17"/>
  <c r="U10" i="17"/>
  <c r="AB10" i="17"/>
  <c r="EG11" i="15"/>
  <c r="EG8" i="15"/>
  <c r="CX65" i="2" l="1"/>
  <c r="BC65" i="2"/>
  <c r="AP16" i="2"/>
  <c r="AS16" i="2"/>
  <c r="AT16" i="2" s="1"/>
  <c r="AP52" i="2"/>
  <c r="AS52" i="2"/>
  <c r="AT52" i="2" s="1"/>
  <c r="AP85" i="2"/>
  <c r="AS85" i="2"/>
  <c r="AT85" i="2" s="1"/>
  <c r="CX29" i="2"/>
  <c r="BC29" i="2"/>
  <c r="AP41" i="2"/>
  <c r="AS41" i="2"/>
  <c r="AT41" i="2" s="1"/>
  <c r="BC30" i="2"/>
  <c r="CX63" i="2"/>
  <c r="BC63" i="2"/>
  <c r="AP71" i="2"/>
  <c r="AS71" i="2"/>
  <c r="AT71" i="2" s="1"/>
  <c r="AP91" i="2"/>
  <c r="AS91" i="2"/>
  <c r="AT91" i="2" s="1"/>
  <c r="BC28" i="2"/>
  <c r="AP79" i="2"/>
  <c r="AS79" i="2"/>
  <c r="AT79" i="2" s="1"/>
  <c r="BC80" i="2"/>
  <c r="BC50" i="2"/>
  <c r="BC83" i="2"/>
  <c r="AP42" i="2"/>
  <c r="AS42" i="2"/>
  <c r="AT42" i="2" s="1"/>
  <c r="CX48" i="2"/>
  <c r="BC48" i="2"/>
  <c r="AP51" i="2"/>
  <c r="AS51" i="2"/>
  <c r="AT51" i="2" s="1"/>
  <c r="BC56" i="2"/>
  <c r="AP70" i="2"/>
  <c r="AS70" i="2"/>
  <c r="AT70" i="2" s="1"/>
  <c r="BC69" i="2"/>
  <c r="AS88" i="2"/>
  <c r="AT88" i="2" s="1"/>
  <c r="AP88" i="2"/>
  <c r="AS21" i="2"/>
  <c r="AT21" i="2" s="1"/>
  <c r="AP21" i="2"/>
  <c r="AS29" i="2"/>
  <c r="AT29" i="2" s="1"/>
  <c r="AP29" i="2"/>
  <c r="BC14" i="2"/>
  <c r="AP24" i="2"/>
  <c r="AS24" i="2"/>
  <c r="AT24" i="2" s="1"/>
  <c r="BC22" i="2"/>
  <c r="AP34" i="2"/>
  <c r="AS34" i="2"/>
  <c r="AT34" i="2" s="1"/>
  <c r="BC82" i="2"/>
  <c r="AP47" i="2"/>
  <c r="AS47" i="2"/>
  <c r="AT47" i="2" s="1"/>
  <c r="AS39" i="2"/>
  <c r="AT39" i="2" s="1"/>
  <c r="AP39" i="2"/>
  <c r="BC58" i="2"/>
  <c r="AS2" i="2"/>
  <c r="AT2" i="2" s="1"/>
  <c r="AP6" i="2"/>
  <c r="BC5" i="2"/>
  <c r="AS10" i="2"/>
  <c r="AT10" i="2" s="1"/>
  <c r="BC3" i="2"/>
  <c r="AS4" i="2"/>
  <c r="AT4" i="2" s="1"/>
  <c r="W3" i="17"/>
  <c r="T4" i="17"/>
  <c r="W5" i="17"/>
  <c r="BN5" i="17"/>
  <c r="AZ5" i="17"/>
  <c r="W8" i="17"/>
  <c r="AZ8" i="17"/>
  <c r="AX5" i="17"/>
  <c r="AZ7" i="17"/>
  <c r="AX7" i="17"/>
  <c r="AZ4" i="17"/>
  <c r="AX3" i="17"/>
  <c r="AZ3" i="17"/>
  <c r="BN3" i="17"/>
  <c r="BN4" i="17"/>
  <c r="BN8" i="17"/>
  <c r="W7" i="17"/>
  <c r="BC2" i="2"/>
  <c r="AP8" i="2"/>
  <c r="AS5" i="2"/>
  <c r="AT5" i="2" s="1"/>
  <c r="AP5" i="2"/>
  <c r="AP3" i="2"/>
  <c r="AS3" i="2"/>
  <c r="AT3" i="2" s="1"/>
  <c r="BC8" i="2"/>
  <c r="BC4" i="2"/>
  <c r="BC10" i="2"/>
  <c r="CX6" i="2"/>
  <c r="BC6" i="2"/>
  <c r="BN9" i="17"/>
  <c r="AZ6" i="17"/>
  <c r="BN6" i="17"/>
  <c r="AX6" i="17"/>
  <c r="AX9" i="17"/>
  <c r="AZ9" i="17"/>
  <c r="W9" i="17"/>
  <c r="BN11" i="17"/>
  <c r="W6" i="17"/>
  <c r="DF4" i="15"/>
  <c r="DF3" i="15"/>
  <c r="DF2" i="15"/>
  <c r="DF7" i="15"/>
  <c r="DF10" i="15"/>
  <c r="DF9" i="15"/>
  <c r="BC7" i="2"/>
  <c r="DS5" i="16"/>
  <c r="DT5" i="16" s="1"/>
  <c r="DU3" i="16"/>
  <c r="BE10" i="16"/>
  <c r="AS9" i="16"/>
  <c r="AR4" i="16"/>
  <c r="BC11" i="16"/>
  <c r="BC10" i="16"/>
  <c r="BE11" i="16"/>
  <c r="DS7" i="16"/>
  <c r="DT7" i="16" s="1"/>
  <c r="X10" i="16"/>
  <c r="DU4" i="16"/>
  <c r="DY4" i="16" s="1"/>
  <c r="AR7" i="16"/>
  <c r="AS6" i="16"/>
  <c r="BE8" i="16"/>
  <c r="X8" i="16"/>
  <c r="DU10" i="16"/>
  <c r="DY10" i="16" s="1"/>
  <c r="AR10" i="16"/>
  <c r="AS10" i="16"/>
  <c r="BZ9" i="16"/>
  <c r="DY11" i="16"/>
  <c r="AR3" i="16"/>
  <c r="AS3" i="16"/>
  <c r="BZ6" i="16"/>
  <c r="DV3" i="16"/>
  <c r="DY3" i="16"/>
  <c r="AR2" i="16"/>
  <c r="AS2" i="16"/>
  <c r="BB5" i="16"/>
  <c r="BC5" i="16"/>
  <c r="X5" i="16"/>
  <c r="BE5" i="16"/>
  <c r="DV8" i="16"/>
  <c r="DY8" i="16"/>
  <c r="DY6" i="16"/>
  <c r="DV6" i="16"/>
  <c r="DV2" i="16"/>
  <c r="DY2" i="16"/>
  <c r="AR5" i="16"/>
  <c r="AS5" i="16"/>
  <c r="BB2" i="16"/>
  <c r="BC2" i="16"/>
  <c r="X2" i="16"/>
  <c r="BE2" i="16"/>
  <c r="BE4" i="16"/>
  <c r="X4" i="16"/>
  <c r="BB4" i="16"/>
  <c r="BC4" i="16"/>
  <c r="DU9" i="16"/>
  <c r="DS9" i="16"/>
  <c r="DT9" i="16" s="1"/>
  <c r="DV5" i="16"/>
  <c r="DY5" i="16"/>
  <c r="W11" i="17"/>
  <c r="AX11" i="17"/>
  <c r="W2" i="17"/>
  <c r="AZ2" i="17"/>
  <c r="AX2" i="17"/>
  <c r="AZ11" i="17"/>
  <c r="BN2" i="17"/>
  <c r="AZ10" i="17"/>
  <c r="BC9" i="2"/>
  <c r="AP7" i="2"/>
  <c r="AS7" i="2"/>
  <c r="AT7" i="2" s="1"/>
  <c r="AG7" i="15"/>
  <c r="DA5" i="15"/>
  <c r="CU5" i="15"/>
  <c r="AG4" i="15"/>
  <c r="AG10" i="15"/>
  <c r="DC5" i="15"/>
  <c r="DA7" i="15"/>
  <c r="DC7" i="15" s="1"/>
  <c r="CU7" i="15"/>
  <c r="CR9" i="15"/>
  <c r="DC3" i="15"/>
  <c r="DA10" i="15"/>
  <c r="DC10" i="15" s="1"/>
  <c r="CU10" i="15"/>
  <c r="AG2" i="15"/>
  <c r="CR4" i="15"/>
  <c r="CU4" i="15"/>
  <c r="AG3" i="15"/>
  <c r="DA9" i="15"/>
  <c r="DC9" i="15" s="1"/>
  <c r="CR3" i="15"/>
  <c r="DA4" i="15"/>
  <c r="DC4" i="15" s="1"/>
  <c r="AF5" i="15"/>
  <c r="AC5" i="15"/>
  <c r="AG5" i="15" s="1"/>
  <c r="CU3" i="15"/>
  <c r="AG9" i="15"/>
  <c r="DA2" i="15"/>
  <c r="DC2" i="15" s="1"/>
  <c r="CR2" i="15"/>
  <c r="AC6" i="15"/>
  <c r="AG6" i="15" s="1"/>
  <c r="AF6" i="15"/>
  <c r="BH6" i="15"/>
  <c r="DA6" i="15"/>
  <c r="DC6" i="15" s="1"/>
  <c r="CR6" i="15"/>
  <c r="CU6" i="15"/>
  <c r="EK2" i="10"/>
  <c r="EM2" i="10" s="1"/>
  <c r="EK3" i="10"/>
  <c r="EM3" i="10" s="1"/>
  <c r="EK4" i="10"/>
  <c r="EM4" i="10" s="1"/>
  <c r="CC3" i="10"/>
  <c r="CM3" i="10"/>
  <c r="CP3" i="10"/>
  <c r="CQ3" i="10" s="1"/>
  <c r="BY3" i="10" s="1"/>
  <c r="CB3" i="10"/>
  <c r="AG3" i="10"/>
  <c r="AF3" i="10"/>
  <c r="AF2" i="10"/>
  <c r="AG2" i="10"/>
  <c r="CC4" i="10"/>
  <c r="DS4" i="10"/>
  <c r="CP4" i="10"/>
  <c r="CQ4" i="10" s="1"/>
  <c r="BY4" i="10" s="1"/>
  <c r="AF4" i="10"/>
  <c r="CM4" i="10"/>
  <c r="CB2" i="10"/>
  <c r="AG4" i="10"/>
  <c r="CB4" i="10"/>
  <c r="CC2" i="10"/>
  <c r="CI2" i="10"/>
  <c r="CM2" i="10"/>
  <c r="DS2" i="10"/>
  <c r="DX2" i="10"/>
  <c r="CP2" i="10"/>
  <c r="CQ2" i="10" s="1"/>
  <c r="BY2" i="10" s="1"/>
  <c r="W10" i="17"/>
  <c r="T10" i="17"/>
  <c r="AX10" i="17"/>
  <c r="BN10" i="17"/>
  <c r="AP9" i="2"/>
  <c r="AS9" i="2"/>
  <c r="AT9" i="2" s="1"/>
  <c r="AX9" i="11"/>
  <c r="CN2" i="11"/>
  <c r="AX6" i="11"/>
  <c r="AX10" i="11"/>
  <c r="CN11" i="11"/>
  <c r="CR11" i="11" s="1"/>
  <c r="AZ10" i="11"/>
  <c r="CN3" i="11"/>
  <c r="CO3" i="11" s="1"/>
  <c r="CN9" i="11"/>
  <c r="CR9" i="11" s="1"/>
  <c r="AZ3" i="11"/>
  <c r="CP9" i="11"/>
  <c r="CQ9" i="11" s="1"/>
  <c r="CN5" i="11"/>
  <c r="CR5" i="11" s="1"/>
  <c r="CP3" i="11"/>
  <c r="CQ3" i="11" s="1"/>
  <c r="CN7" i="11"/>
  <c r="CN6" i="11"/>
  <c r="CL6" i="11"/>
  <c r="CM6" i="11" s="1"/>
  <c r="CL8" i="11"/>
  <c r="CM8" i="11" s="1"/>
  <c r="CN8" i="11"/>
  <c r="AZ7" i="11"/>
  <c r="CP7" i="11"/>
  <c r="CQ7" i="11" s="1"/>
  <c r="CO2" i="11"/>
  <c r="CR2" i="11"/>
  <c r="CP11" i="11"/>
  <c r="CQ11" i="11" s="1"/>
  <c r="AZ11" i="11"/>
  <c r="CN10" i="11"/>
  <c r="CL10" i="11"/>
  <c r="CM10" i="11" s="1"/>
  <c r="CO9" i="11"/>
  <c r="AZ5" i="11"/>
  <c r="CP5" i="11"/>
  <c r="CQ5" i="11" s="1"/>
  <c r="AZ2" i="11"/>
  <c r="CP2" i="11"/>
  <c r="CQ2" i="11" s="1"/>
  <c r="DV4" i="16" l="1"/>
  <c r="DV10" i="16"/>
  <c r="DY7" i="16"/>
  <c r="DY9" i="16"/>
  <c r="DV9" i="16"/>
  <c r="CO11" i="11"/>
  <c r="CR3" i="11"/>
  <c r="CO5" i="11"/>
  <c r="CO7" i="11"/>
  <c r="CR7" i="11"/>
  <c r="CO8" i="11"/>
  <c r="CR8" i="11"/>
  <c r="CO6" i="11"/>
  <c r="CR6" i="11"/>
  <c r="CO10" i="11"/>
  <c r="CR10" i="11"/>
  <c r="A2" i="11"/>
  <c r="A3" i="11"/>
  <c r="B4" i="11"/>
  <c r="C4" i="11"/>
  <c r="E4" i="11"/>
  <c r="D4" i="11"/>
  <c r="F4" i="11"/>
  <c r="G4" i="11"/>
  <c r="H4" i="11"/>
  <c r="I4" i="11"/>
  <c r="J4" i="11"/>
  <c r="L4" i="11"/>
  <c r="M4" i="11"/>
  <c r="N4" i="11" s="1"/>
  <c r="O4" i="11"/>
  <c r="P4" i="11"/>
  <c r="Q4" i="11"/>
  <c r="S4" i="11"/>
  <c r="U4" i="11"/>
  <c r="V4" i="11"/>
  <c r="Y4" i="11"/>
  <c r="AA4" i="11"/>
  <c r="AB4" i="11"/>
  <c r="AC4" i="11"/>
  <c r="AE4" i="11"/>
  <c r="AF4" i="11"/>
  <c r="AI4" i="11"/>
  <c r="AK4" i="11"/>
  <c r="AN4" i="11"/>
  <c r="AP4" i="11"/>
  <c r="AS4" i="11"/>
  <c r="AT4" i="11" s="1"/>
  <c r="AU4" i="11"/>
  <c r="AV4" i="11"/>
  <c r="BA4" i="11"/>
  <c r="BB4" i="11"/>
  <c r="BD4" i="11"/>
  <c r="BG4" i="11"/>
  <c r="BI4" i="11"/>
  <c r="BK4" i="11"/>
  <c r="BL4" i="11"/>
  <c r="BO4" i="11"/>
  <c r="BQ4" i="11"/>
  <c r="BS4" i="11"/>
  <c r="BU4" i="11"/>
  <c r="BX4" i="11"/>
  <c r="BY4" i="11" s="1"/>
  <c r="BZ4" i="11"/>
  <c r="CE4" i="11"/>
  <c r="CF4" i="11" s="1"/>
  <c r="CG4" i="11"/>
  <c r="CI4" i="11"/>
  <c r="CK4" i="11"/>
  <c r="CS4" i="11"/>
  <c r="CT4" i="11" s="1"/>
  <c r="CU4" i="11"/>
  <c r="CW4" i="11"/>
  <c r="DA4" i="11" s="1"/>
  <c r="DB4" i="11"/>
  <c r="DD4" i="11"/>
  <c r="DE4" i="11"/>
  <c r="A2" i="15"/>
  <c r="A3" i="15"/>
  <c r="B11" i="15"/>
  <c r="C11" i="15"/>
  <c r="E11" i="15"/>
  <c r="D11" i="15"/>
  <c r="F11" i="15"/>
  <c r="G11" i="15"/>
  <c r="H11" i="15"/>
  <c r="J11" i="15"/>
  <c r="K11" i="15"/>
  <c r="L11" i="15" s="1"/>
  <c r="N11" i="15"/>
  <c r="O11" i="15"/>
  <c r="Q11" i="15"/>
  <c r="R11" i="15"/>
  <c r="W11" i="15"/>
  <c r="X11" i="15"/>
  <c r="Y11" i="15"/>
  <c r="Z11" i="15"/>
  <c r="AA11" i="15"/>
  <c r="BG11" i="15" s="1"/>
  <c r="AD11" i="15"/>
  <c r="EA11" i="15" s="1"/>
  <c r="AH11" i="15"/>
  <c r="AJ11" i="15"/>
  <c r="AL11" i="15"/>
  <c r="AN11" i="15"/>
  <c r="AQ11" i="15"/>
  <c r="AR11" i="15"/>
  <c r="AS11" i="15"/>
  <c r="AY11" i="15"/>
  <c r="AZ11" i="15"/>
  <c r="BC11" i="15"/>
  <c r="BD11" i="15"/>
  <c r="BE11" i="15"/>
  <c r="BI11" i="15"/>
  <c r="BK11" i="15"/>
  <c r="BL11" i="15"/>
  <c r="BP11" i="15"/>
  <c r="BQ11" i="15"/>
  <c r="BS11" i="15"/>
  <c r="BV11" i="15"/>
  <c r="BX11" i="15"/>
  <c r="BZ11" i="15"/>
  <c r="CD11" i="15"/>
  <c r="CE11" i="15"/>
  <c r="CF11" i="15"/>
  <c r="CH11" i="15"/>
  <c r="CJ11" i="15"/>
  <c r="CM11" i="15"/>
  <c r="CO11" i="15"/>
  <c r="AT11" i="15"/>
  <c r="AV11" i="15"/>
  <c r="CS11" i="15"/>
  <c r="CV11" i="15"/>
  <c r="CX11" i="15"/>
  <c r="DD11" i="15"/>
  <c r="DG11" i="15"/>
  <c r="DI11" i="15"/>
  <c r="DL11" i="15"/>
  <c r="DM11" i="15"/>
  <c r="DO11" i="15"/>
  <c r="DR11" i="15"/>
  <c r="DT11" i="15"/>
  <c r="DV11" i="15"/>
  <c r="DW11" i="15"/>
  <c r="DY11" i="15"/>
  <c r="DZ11" i="15"/>
  <c r="EM11" i="15"/>
  <c r="EN11" i="15"/>
  <c r="ET11" i="15"/>
  <c r="EV11" i="15" s="1"/>
  <c r="EX11" i="15"/>
  <c r="EY11" i="15"/>
  <c r="FA11" i="15"/>
  <c r="FC11" i="15"/>
  <c r="B8" i="15"/>
  <c r="C8" i="15"/>
  <c r="E8" i="15"/>
  <c r="D8" i="15"/>
  <c r="F8" i="15"/>
  <c r="G8" i="15"/>
  <c r="H8" i="15"/>
  <c r="J8" i="15"/>
  <c r="K8" i="15"/>
  <c r="L8" i="15" s="1"/>
  <c r="M8" i="15"/>
  <c r="N8" i="15"/>
  <c r="O8" i="15"/>
  <c r="Q8" i="15"/>
  <c r="R8" i="15"/>
  <c r="W8" i="15"/>
  <c r="X8" i="15"/>
  <c r="Y8" i="15"/>
  <c r="Z8" i="15"/>
  <c r="AA8" i="15"/>
  <c r="BG8" i="15" s="1"/>
  <c r="AD8" i="15"/>
  <c r="AH8" i="15"/>
  <c r="AJ8" i="15"/>
  <c r="AL8" i="15"/>
  <c r="AN8" i="15"/>
  <c r="AQ8" i="15"/>
  <c r="AR8" i="15"/>
  <c r="AS8" i="15"/>
  <c r="AY8" i="15"/>
  <c r="AZ8" i="15"/>
  <c r="BC8" i="15"/>
  <c r="BD8" i="15"/>
  <c r="BE8" i="15"/>
  <c r="BI8" i="15"/>
  <c r="BK8" i="15"/>
  <c r="BL8" i="15"/>
  <c r="BP8" i="15"/>
  <c r="BQ8" i="15"/>
  <c r="BS8" i="15"/>
  <c r="BV8" i="15"/>
  <c r="BX8" i="15"/>
  <c r="BZ8" i="15"/>
  <c r="CD8" i="15"/>
  <c r="CE8" i="15"/>
  <c r="CF8" i="15"/>
  <c r="CH8" i="15"/>
  <c r="CJ8" i="15"/>
  <c r="CM8" i="15"/>
  <c r="CO8" i="15"/>
  <c r="AT8" i="15"/>
  <c r="AV8" i="15"/>
  <c r="CS8" i="15"/>
  <c r="CV8" i="15"/>
  <c r="CX8" i="15"/>
  <c r="DD8" i="15"/>
  <c r="DG8" i="15"/>
  <c r="DI8" i="15"/>
  <c r="DL8" i="15"/>
  <c r="DM8" i="15"/>
  <c r="DO8" i="15"/>
  <c r="DR8" i="15"/>
  <c r="DT8" i="15"/>
  <c r="DV8" i="15"/>
  <c r="DW8" i="15"/>
  <c r="DY8" i="15"/>
  <c r="DZ8" i="15"/>
  <c r="EM8" i="15"/>
  <c r="EN8" i="15"/>
  <c r="ET8" i="15"/>
  <c r="EX8" i="15"/>
  <c r="EY8" i="15"/>
  <c r="FA8" i="15"/>
  <c r="FC8" i="15"/>
  <c r="I3" i="15" l="1"/>
  <c r="I6" i="15"/>
  <c r="I4" i="15"/>
  <c r="I2" i="15"/>
  <c r="I9" i="15"/>
  <c r="I5" i="15"/>
  <c r="I10" i="15"/>
  <c r="I7" i="15"/>
  <c r="J9" i="6"/>
  <c r="J6" i="6"/>
  <c r="J2" i="6"/>
  <c r="EI8" i="15"/>
  <c r="EK8" i="15"/>
  <c r="EI11" i="15"/>
  <c r="EK11" i="15"/>
  <c r="K2" i="11"/>
  <c r="K6" i="11"/>
  <c r="K9" i="11"/>
  <c r="K7" i="11"/>
  <c r="K5" i="11"/>
  <c r="K3" i="11"/>
  <c r="K10" i="11"/>
  <c r="K11" i="11"/>
  <c r="K8" i="11"/>
  <c r="K10" i="17"/>
  <c r="CS10" i="17"/>
  <c r="AD4" i="11"/>
  <c r="BW4" i="11"/>
  <c r="ER11" i="15"/>
  <c r="EF11" i="15"/>
  <c r="ED11" i="15"/>
  <c r="AP11" i="15"/>
  <c r="EF8" i="15"/>
  <c r="ED8" i="15"/>
  <c r="CG11" i="15"/>
  <c r="BR8" i="15"/>
  <c r="ER8" i="15"/>
  <c r="BU11" i="15"/>
  <c r="CA8" i="15"/>
  <c r="CB11" i="15"/>
  <c r="CC11" i="15" s="1"/>
  <c r="CK11" i="15"/>
  <c r="AP8" i="15"/>
  <c r="DB11" i="15"/>
  <c r="BM11" i="15"/>
  <c r="AB11" i="15"/>
  <c r="AF11" i="15" s="1"/>
  <c r="EW8" i="15"/>
  <c r="DH8" i="15"/>
  <c r="EU8" i="15"/>
  <c r="DS11" i="15"/>
  <c r="BU8" i="15"/>
  <c r="AH4" i="11"/>
  <c r="AG4" i="11"/>
  <c r="CA4" i="11"/>
  <c r="AR4" i="11"/>
  <c r="BF4" i="11"/>
  <c r="X4" i="11"/>
  <c r="AY4" i="11"/>
  <c r="AZ4" i="11" s="1"/>
  <c r="R4" i="11"/>
  <c r="BN4" i="11"/>
  <c r="CL4" i="11" s="1"/>
  <c r="CM4" i="11" s="1"/>
  <c r="BM4" i="11"/>
  <c r="BH4" i="11"/>
  <c r="W4" i="11"/>
  <c r="CZ4" i="11"/>
  <c r="CY4" i="11"/>
  <c r="CV4" i="11"/>
  <c r="Z4" i="11"/>
  <c r="BP4" i="11"/>
  <c r="AW4" i="11"/>
  <c r="BV4" i="11"/>
  <c r="T4" i="11"/>
  <c r="BJ4" i="11"/>
  <c r="AJ4" i="11"/>
  <c r="AM4" i="11"/>
  <c r="AL4" i="11"/>
  <c r="BR4" i="11"/>
  <c r="CH4" i="11"/>
  <c r="CX4" i="11"/>
  <c r="BC4" i="11"/>
  <c r="BT4" i="11"/>
  <c r="CJ4" i="11"/>
  <c r="AO4" i="11"/>
  <c r="BE4" i="11"/>
  <c r="AQ4" i="11"/>
  <c r="DC4" i="11"/>
  <c r="CB4" i="11"/>
  <c r="CC4" i="11" s="1"/>
  <c r="CD4" i="11"/>
  <c r="AX8" i="15"/>
  <c r="BM8" i="15"/>
  <c r="BA11" i="15"/>
  <c r="S11" i="15"/>
  <c r="BF11" i="15" s="1"/>
  <c r="DS8" i="15"/>
  <c r="S8" i="15"/>
  <c r="BF8" i="15" s="1"/>
  <c r="P8" i="15"/>
  <c r="CZ11" i="15"/>
  <c r="AX11" i="15"/>
  <c r="DB8" i="15"/>
  <c r="EV8" i="15"/>
  <c r="BY8" i="15"/>
  <c r="CW8" i="15"/>
  <c r="EP8" i="15"/>
  <c r="CT8" i="15"/>
  <c r="AK8" i="15"/>
  <c r="BO8" i="15"/>
  <c r="DU8" i="15"/>
  <c r="FB8" i="15"/>
  <c r="EZ11" i="15"/>
  <c r="CG8" i="15"/>
  <c r="BB11" i="15"/>
  <c r="CI11" i="15"/>
  <c r="DX8" i="15"/>
  <c r="AU8" i="15"/>
  <c r="EB11" i="15"/>
  <c r="CI8" i="15"/>
  <c r="DN8" i="15"/>
  <c r="DK8" i="15"/>
  <c r="BO11" i="15"/>
  <c r="BN11" i="15"/>
  <c r="AW11" i="15"/>
  <c r="DE11" i="15"/>
  <c r="EW11" i="15"/>
  <c r="CQ11" i="15"/>
  <c r="P11" i="15"/>
  <c r="BR11" i="15"/>
  <c r="AI11" i="15"/>
  <c r="BT11" i="15"/>
  <c r="FB11" i="15"/>
  <c r="T11" i="15"/>
  <c r="U11" i="15"/>
  <c r="AK11" i="15"/>
  <c r="CW11" i="15"/>
  <c r="DN11" i="15"/>
  <c r="EP11" i="15"/>
  <c r="V11" i="15"/>
  <c r="AM11" i="15"/>
  <c r="CN11" i="15"/>
  <c r="CY11" i="15"/>
  <c r="DP11" i="15"/>
  <c r="DQ11" i="15" s="1"/>
  <c r="AO11" i="15"/>
  <c r="BJ11" i="15"/>
  <c r="CP11" i="15"/>
  <c r="DU11" i="15"/>
  <c r="EU11" i="15"/>
  <c r="AE11" i="15"/>
  <c r="DK11" i="15"/>
  <c r="DJ11" i="15"/>
  <c r="EA8" i="15"/>
  <c r="EB8" i="15"/>
  <c r="DP8" i="15"/>
  <c r="DQ8" i="15" s="1"/>
  <c r="AE8" i="15"/>
  <c r="DH11" i="15"/>
  <c r="CA11" i="15"/>
  <c r="BY11" i="15"/>
  <c r="CT11" i="15"/>
  <c r="BW11" i="15"/>
  <c r="BB8" i="15"/>
  <c r="BA8" i="15"/>
  <c r="DX11" i="15"/>
  <c r="AU11" i="15"/>
  <c r="CQ8" i="15"/>
  <c r="CU8" i="15" s="1"/>
  <c r="DE8" i="15"/>
  <c r="AW8" i="15"/>
  <c r="BN8" i="15"/>
  <c r="AB8" i="15"/>
  <c r="CB8" i="15"/>
  <c r="CC8" i="15" s="1"/>
  <c r="CP8" i="15"/>
  <c r="BJ8" i="15"/>
  <c r="AO8" i="15"/>
  <c r="CL11" i="15"/>
  <c r="CZ8" i="15"/>
  <c r="CY8" i="15"/>
  <c r="CN8" i="15"/>
  <c r="AM8" i="15"/>
  <c r="BW8" i="15"/>
  <c r="V8" i="15"/>
  <c r="CL8" i="15"/>
  <c r="U8" i="15"/>
  <c r="CK8" i="15"/>
  <c r="T8" i="15"/>
  <c r="BT8" i="15"/>
  <c r="AI8" i="15"/>
  <c r="EZ8" i="15"/>
  <c r="DJ8" i="15"/>
  <c r="DF8" i="15" l="1"/>
  <c r="DF11" i="15"/>
  <c r="AC11" i="15"/>
  <c r="BH11" i="15"/>
  <c r="CP4" i="11"/>
  <c r="CQ4" i="11" s="1"/>
  <c r="AX4" i="11"/>
  <c r="CN4" i="11"/>
  <c r="CR4" i="11"/>
  <c r="CO4" i="11"/>
  <c r="AG11" i="15"/>
  <c r="BH8" i="15"/>
  <c r="AC8" i="15"/>
  <c r="AG8" i="15" s="1"/>
  <c r="AF8" i="15"/>
  <c r="CR11" i="15"/>
  <c r="CU11" i="15"/>
  <c r="DA11" i="15"/>
  <c r="DC11" i="15" s="1"/>
  <c r="DA8" i="15"/>
  <c r="DC8" i="15" s="1"/>
  <c r="CR8" i="15"/>
  <c r="E11" i="2" l="1"/>
  <c r="F11" i="2"/>
  <c r="G11" i="2"/>
  <c r="H11" i="2"/>
  <c r="I11" i="2"/>
  <c r="J11" i="2"/>
  <c r="L11" i="2"/>
  <c r="M11" i="2"/>
  <c r="N11" i="2" s="1"/>
  <c r="O11" i="2"/>
  <c r="P11" i="2"/>
  <c r="Q11" i="2"/>
  <c r="AL11" i="2" s="1"/>
  <c r="S11" i="2"/>
  <c r="V11" i="2"/>
  <c r="X11" i="2"/>
  <c r="AA11" i="2"/>
  <c r="AB11" i="2"/>
  <c r="AC11" i="2"/>
  <c r="AD11" i="2"/>
  <c r="AE11" i="2"/>
  <c r="AZ11" i="2"/>
  <c r="AN11" i="2"/>
  <c r="AV11" i="2" s="1"/>
  <c r="AQ11" i="2"/>
  <c r="AU11" i="2" s="1"/>
  <c r="AW11" i="2"/>
  <c r="AX11" i="2"/>
  <c r="BN11" i="2"/>
  <c r="BP11" i="2"/>
  <c r="BQ11" i="2"/>
  <c r="BT11" i="2"/>
  <c r="BU11" i="2"/>
  <c r="BX11" i="2"/>
  <c r="BZ11" i="2"/>
  <c r="CB11" i="2"/>
  <c r="CE11" i="2"/>
  <c r="CG11" i="2"/>
  <c r="CI11" i="2"/>
  <c r="CJ11" i="2"/>
  <c r="CK11" i="2"/>
  <c r="CM11" i="2"/>
  <c r="CO11" i="2"/>
  <c r="CQ11" i="2"/>
  <c r="DA11" i="2"/>
  <c r="DC11" i="2"/>
  <c r="DE11" i="2"/>
  <c r="DG11" i="2"/>
  <c r="DI11" i="2"/>
  <c r="DJ11" i="2"/>
  <c r="DM11" i="2"/>
  <c r="DN11" i="2"/>
  <c r="K2" i="2" l="1"/>
  <c r="K8" i="2"/>
  <c r="K3" i="2"/>
  <c r="K4" i="2"/>
  <c r="K5" i="2"/>
  <c r="K6" i="2"/>
  <c r="K10" i="2"/>
  <c r="BB11" i="2"/>
  <c r="CY11" i="2"/>
  <c r="AK11" i="2"/>
  <c r="AM11" i="2"/>
  <c r="K7" i="2"/>
  <c r="BE11" i="2"/>
  <c r="BG11" i="2"/>
  <c r="BJ11" i="2"/>
  <c r="BL11" i="2"/>
  <c r="K9" i="2"/>
  <c r="DL11" i="2"/>
  <c r="CA11" i="2"/>
  <c r="U11" i="2"/>
  <c r="AY11" i="2"/>
  <c r="DH11" i="2"/>
  <c r="BY11" i="2"/>
  <c r="CR11" i="2"/>
  <c r="CP11" i="2"/>
  <c r="CL11" i="2"/>
  <c r="CS11" i="2"/>
  <c r="BV11" i="2"/>
  <c r="BW11" i="2" s="1"/>
  <c r="AO11" i="2"/>
  <c r="R11" i="2"/>
  <c r="DK11" i="2"/>
  <c r="BO11" i="2"/>
  <c r="CF11" i="2"/>
  <c r="DF11" i="2"/>
  <c r="CD11" i="2"/>
  <c r="CC11" i="2"/>
  <c r="DB11" i="2"/>
  <c r="W11" i="2"/>
  <c r="T11" i="2"/>
  <c r="CV11" i="2"/>
  <c r="CW11" i="2" s="1"/>
  <c r="CT11" i="2"/>
  <c r="CU11" i="2" s="1"/>
  <c r="AR11" i="2"/>
  <c r="CX11" i="2" s="1"/>
  <c r="Z11" i="2"/>
  <c r="BA11" i="2"/>
  <c r="Y11" i="2"/>
  <c r="DD11" i="2"/>
  <c r="CN11" i="2"/>
  <c r="CZ11" i="2"/>
  <c r="BS11" i="2"/>
  <c r="CH11" i="2"/>
  <c r="BR11" i="2"/>
  <c r="BC11" i="2" l="1"/>
  <c r="AP11" i="2"/>
  <c r="AS11" i="2"/>
  <c r="AT11" i="2" s="1"/>
  <c r="K4" i="11" l="1"/>
  <c r="I11" i="15"/>
  <c r="I8" i="15"/>
  <c r="K11" i="2"/>
  <c r="B3" i="18" l="1"/>
  <c r="B4" i="18"/>
  <c r="B5" i="18"/>
  <c r="B6" i="18"/>
  <c r="B7" i="18"/>
  <c r="B8" i="18"/>
  <c r="B9" i="18"/>
  <c r="B10" i="18"/>
  <c r="B11" i="18"/>
  <c r="B12" i="18"/>
  <c r="B2" i="18"/>
  <c r="AH3" i="14" l="1"/>
  <c r="AH4" i="14"/>
  <c r="AH5" i="14"/>
  <c r="AH6" i="14"/>
  <c r="AH7" i="14"/>
  <c r="AH8" i="14"/>
  <c r="AH9" i="14"/>
  <c r="AH10" i="14"/>
  <c r="AH11" i="14"/>
  <c r="AH2" i="14"/>
  <c r="AE3" i="14"/>
  <c r="AE4" i="14"/>
  <c r="AE5" i="14"/>
  <c r="AE6" i="14"/>
  <c r="AE7" i="14"/>
  <c r="AE8" i="14"/>
  <c r="AE9" i="14"/>
  <c r="AE10" i="14"/>
  <c r="AE11" i="14"/>
  <c r="AE2" i="14"/>
  <c r="W3" i="14"/>
  <c r="Y3" i="14"/>
  <c r="AA3" i="14"/>
  <c r="AC3" i="14"/>
  <c r="AF3" i="14"/>
  <c r="AG3" i="14"/>
  <c r="W4" i="14"/>
  <c r="Y4" i="14"/>
  <c r="AA4" i="14"/>
  <c r="AC4" i="14"/>
  <c r="AF4" i="14"/>
  <c r="AG4" i="14"/>
  <c r="W5" i="14"/>
  <c r="Y5" i="14"/>
  <c r="AA5" i="14"/>
  <c r="AC5" i="14"/>
  <c r="AF5" i="14"/>
  <c r="AG5" i="14"/>
  <c r="W6" i="14"/>
  <c r="Y6" i="14"/>
  <c r="AA6" i="14"/>
  <c r="AC6" i="14"/>
  <c r="AF6" i="14"/>
  <c r="AG6" i="14"/>
  <c r="W7" i="14"/>
  <c r="Y7" i="14"/>
  <c r="AA7" i="14"/>
  <c r="AC7" i="14"/>
  <c r="AF7" i="14"/>
  <c r="AG7" i="14"/>
  <c r="W8" i="14"/>
  <c r="Y8" i="14"/>
  <c r="AA8" i="14"/>
  <c r="AC8" i="14"/>
  <c r="AF8" i="14"/>
  <c r="AG8" i="14"/>
  <c r="W9" i="14"/>
  <c r="Y9" i="14"/>
  <c r="AA9" i="14"/>
  <c r="AC9" i="14"/>
  <c r="AF9" i="14"/>
  <c r="AG9" i="14"/>
  <c r="W10" i="14"/>
  <c r="Y10" i="14"/>
  <c r="AA10" i="14"/>
  <c r="AC10" i="14"/>
  <c r="AF10" i="14"/>
  <c r="AG10" i="14"/>
  <c r="W11" i="14"/>
  <c r="Y11" i="14"/>
  <c r="AA11" i="14"/>
  <c r="AC11" i="14"/>
  <c r="AF11" i="14"/>
  <c r="AG11" i="14"/>
  <c r="AG2" i="14"/>
  <c r="AF2" i="14"/>
  <c r="AC2" i="14"/>
  <c r="AA2" i="14"/>
  <c r="Y2" i="14"/>
  <c r="W2" i="14"/>
  <c r="BD2" i="14" l="1"/>
  <c r="AO9" i="14" l="1"/>
  <c r="AO11" i="14"/>
  <c r="AO8" i="14"/>
  <c r="AO7" i="14"/>
  <c r="AO4" i="14"/>
  <c r="AO10" i="14"/>
  <c r="AO6" i="14"/>
  <c r="AO3" i="14"/>
  <c r="AO5" i="14"/>
  <c r="AO2" i="14"/>
  <c r="AK5" i="14"/>
  <c r="AL5" i="14"/>
  <c r="AK11" i="14"/>
  <c r="AL11" i="14"/>
  <c r="AK6" i="14"/>
  <c r="AL6" i="14"/>
  <c r="AK4" i="14"/>
  <c r="AL4" i="14"/>
  <c r="AK2" i="14"/>
  <c r="AL2" i="14"/>
  <c r="AK8" i="14"/>
  <c r="AL8" i="14"/>
  <c r="AK9" i="14"/>
  <c r="AL9" i="14"/>
  <c r="AK10" i="14"/>
  <c r="AL10" i="14"/>
  <c r="AK3" i="14"/>
  <c r="AL3" i="14"/>
  <c r="AK7" i="14"/>
  <c r="AL7" i="14"/>
  <c r="B11" i="14"/>
  <c r="C11" i="14"/>
  <c r="E11" i="14"/>
  <c r="D11" i="14"/>
  <c r="F11" i="14"/>
  <c r="G11" i="14"/>
  <c r="H11" i="14"/>
  <c r="I11" i="14"/>
  <c r="J11" i="14"/>
  <c r="L11" i="14"/>
  <c r="M11" i="14"/>
  <c r="N11" i="14" s="1"/>
  <c r="O11" i="14"/>
  <c r="P11" i="14"/>
  <c r="Q11" i="14"/>
  <c r="T11" i="14"/>
  <c r="U11" i="14"/>
  <c r="AI11" i="14"/>
  <c r="AQ11" i="14"/>
  <c r="AU11" i="14"/>
  <c r="AY11" i="14"/>
  <c r="AZ11" i="14" s="1"/>
  <c r="BH11" i="14"/>
  <c r="BJ11" i="14"/>
  <c r="BO11" i="14"/>
  <c r="BS11" i="14"/>
  <c r="BU11" i="14"/>
  <c r="BX11" i="14"/>
  <c r="BY11" i="14"/>
  <c r="BZ11" i="14"/>
  <c r="CE11" i="14"/>
  <c r="CG11" i="14"/>
  <c r="CH11" i="14"/>
  <c r="CJ11" i="14"/>
  <c r="CK11" i="14"/>
  <c r="CO11" i="14"/>
  <c r="CQ11" i="14"/>
  <c r="CR11" i="14"/>
  <c r="CS11" i="14"/>
  <c r="DB11" i="14"/>
  <c r="DD11" i="14"/>
  <c r="DE11" i="14"/>
  <c r="BD11" i="14"/>
  <c r="BF11" i="14"/>
  <c r="DH11" i="14"/>
  <c r="DJ11" i="14"/>
  <c r="DM11" i="14"/>
  <c r="DO11" i="14"/>
  <c r="DP11" i="14"/>
  <c r="B6" i="14"/>
  <c r="C6" i="14"/>
  <c r="E6" i="14"/>
  <c r="D6" i="14"/>
  <c r="F6" i="14"/>
  <c r="G6" i="14"/>
  <c r="H6" i="14"/>
  <c r="I6" i="14"/>
  <c r="J6" i="14"/>
  <c r="L6" i="14"/>
  <c r="M6" i="14"/>
  <c r="N6" i="14" s="1"/>
  <c r="O6" i="14"/>
  <c r="P6" i="14"/>
  <c r="Q6" i="14"/>
  <c r="T6" i="14"/>
  <c r="U6" i="14"/>
  <c r="AI6" i="14"/>
  <c r="AQ6" i="14"/>
  <c r="AU6" i="14"/>
  <c r="DG6" i="14" s="1"/>
  <c r="AY6" i="14"/>
  <c r="AZ6" i="14" s="1"/>
  <c r="BH6" i="14"/>
  <c r="BJ6" i="14"/>
  <c r="BO6" i="14"/>
  <c r="BS6" i="14"/>
  <c r="BU6" i="14"/>
  <c r="BX6" i="14"/>
  <c r="BY6" i="14"/>
  <c r="BZ6" i="14"/>
  <c r="CE6" i="14"/>
  <c r="CG6" i="14"/>
  <c r="CH6" i="14"/>
  <c r="CJ6" i="14"/>
  <c r="CK6" i="14"/>
  <c r="CO6" i="14"/>
  <c r="CQ6" i="14"/>
  <c r="CR6" i="14"/>
  <c r="CS6" i="14"/>
  <c r="DB6" i="14"/>
  <c r="DD6" i="14"/>
  <c r="DE6" i="14"/>
  <c r="BD6" i="14"/>
  <c r="BF6" i="14"/>
  <c r="DH6" i="14"/>
  <c r="DJ6" i="14"/>
  <c r="DM6" i="14"/>
  <c r="DO6" i="14"/>
  <c r="DP6" i="14"/>
  <c r="B4" i="14"/>
  <c r="C4" i="14"/>
  <c r="E4" i="14"/>
  <c r="D4" i="14"/>
  <c r="F4" i="14"/>
  <c r="G4" i="14"/>
  <c r="H4" i="14"/>
  <c r="I4" i="14"/>
  <c r="J4" i="14"/>
  <c r="L4" i="14"/>
  <c r="M4" i="14"/>
  <c r="N4" i="14" s="1"/>
  <c r="O4" i="14"/>
  <c r="P4" i="14"/>
  <c r="Q4" i="14"/>
  <c r="T4" i="14"/>
  <c r="U4" i="14"/>
  <c r="AI4" i="14"/>
  <c r="AQ4" i="14"/>
  <c r="AS4" i="14" s="1"/>
  <c r="AU4" i="14"/>
  <c r="CZ4" i="14" s="1"/>
  <c r="AY4" i="14"/>
  <c r="BH4" i="14"/>
  <c r="BJ4" i="14"/>
  <c r="BO4" i="14"/>
  <c r="CA4" i="14" s="1"/>
  <c r="CB4" i="14" s="1"/>
  <c r="CC4" i="14" s="1"/>
  <c r="BS4" i="14"/>
  <c r="BU4" i="14"/>
  <c r="BX4" i="14"/>
  <c r="BY4" i="14"/>
  <c r="BZ4" i="14"/>
  <c r="CE4" i="14"/>
  <c r="CG4" i="14"/>
  <c r="CH4" i="14"/>
  <c r="CJ4" i="14"/>
  <c r="CK4" i="14"/>
  <c r="CO4" i="14"/>
  <c r="CQ4" i="14"/>
  <c r="CR4" i="14"/>
  <c r="CS4" i="14"/>
  <c r="DB4" i="14"/>
  <c r="DD4" i="14"/>
  <c r="DE4" i="14"/>
  <c r="BD4" i="14"/>
  <c r="BF4" i="14"/>
  <c r="DH4" i="14"/>
  <c r="DJ4" i="14"/>
  <c r="DM4" i="14"/>
  <c r="DO4" i="14"/>
  <c r="DP4" i="14"/>
  <c r="B2" i="14"/>
  <c r="C2" i="14"/>
  <c r="E2" i="14"/>
  <c r="D2" i="14"/>
  <c r="F2" i="14"/>
  <c r="G2" i="14"/>
  <c r="H2" i="14"/>
  <c r="I2" i="14"/>
  <c r="J2" i="14"/>
  <c r="L2" i="14"/>
  <c r="M2" i="14"/>
  <c r="N2" i="14" s="1"/>
  <c r="O2" i="14"/>
  <c r="P2" i="14"/>
  <c r="Q2" i="14"/>
  <c r="T2" i="14"/>
  <c r="U2" i="14"/>
  <c r="AI2" i="14"/>
  <c r="AQ2" i="14"/>
  <c r="AS2" i="14" s="1"/>
  <c r="AU2" i="14"/>
  <c r="DF2" i="14" s="1"/>
  <c r="AY2" i="14"/>
  <c r="BH2" i="14"/>
  <c r="BJ2" i="14"/>
  <c r="BO2" i="14"/>
  <c r="BS2" i="14"/>
  <c r="BU2" i="14"/>
  <c r="BX2" i="14"/>
  <c r="BY2" i="14"/>
  <c r="BZ2" i="14"/>
  <c r="CE2" i="14"/>
  <c r="CG2" i="14"/>
  <c r="CH2" i="14"/>
  <c r="CJ2" i="14"/>
  <c r="CK2" i="14"/>
  <c r="CO2" i="14"/>
  <c r="CQ2" i="14"/>
  <c r="CR2" i="14"/>
  <c r="CS2" i="14"/>
  <c r="DB2" i="14"/>
  <c r="DD2" i="14"/>
  <c r="DE2" i="14"/>
  <c r="BF2" i="14"/>
  <c r="DH2" i="14"/>
  <c r="DJ2" i="14"/>
  <c r="DM2" i="14"/>
  <c r="DO2" i="14"/>
  <c r="DP2" i="14"/>
  <c r="B8" i="14"/>
  <c r="C8" i="14"/>
  <c r="E8" i="14"/>
  <c r="D8" i="14"/>
  <c r="F8" i="14"/>
  <c r="G8" i="14"/>
  <c r="H8" i="14"/>
  <c r="I8" i="14"/>
  <c r="J8" i="14"/>
  <c r="L8" i="14"/>
  <c r="M8" i="14"/>
  <c r="N8" i="14" s="1"/>
  <c r="O8" i="14"/>
  <c r="P8" i="14"/>
  <c r="Q8" i="14"/>
  <c r="T8" i="14"/>
  <c r="U8" i="14"/>
  <c r="AI8" i="14"/>
  <c r="AQ8" i="14"/>
  <c r="AU8" i="14"/>
  <c r="DG8" i="14" s="1"/>
  <c r="AY8" i="14"/>
  <c r="AZ8" i="14" s="1"/>
  <c r="BH8" i="14"/>
  <c r="BJ8" i="14"/>
  <c r="BO8" i="14"/>
  <c r="CA8" i="14" s="1"/>
  <c r="CB8" i="14" s="1"/>
  <c r="BS8" i="14"/>
  <c r="BU8" i="14"/>
  <c r="BX8" i="14"/>
  <c r="BY8" i="14"/>
  <c r="BZ8" i="14"/>
  <c r="CE8" i="14"/>
  <c r="CG8" i="14"/>
  <c r="CH8" i="14"/>
  <c r="CJ8" i="14"/>
  <c r="CK8" i="14"/>
  <c r="CO8" i="14"/>
  <c r="CQ8" i="14"/>
  <c r="CR8" i="14"/>
  <c r="CS8" i="14"/>
  <c r="DB8" i="14"/>
  <c r="DD8" i="14"/>
  <c r="DE8" i="14"/>
  <c r="BD8" i="14"/>
  <c r="BF8" i="14"/>
  <c r="DH8" i="14"/>
  <c r="DJ8" i="14"/>
  <c r="DM8" i="14"/>
  <c r="DO8" i="14"/>
  <c r="DP8" i="14"/>
  <c r="A2" i="14"/>
  <c r="A3" i="14"/>
  <c r="A4" i="14"/>
  <c r="A5" i="14"/>
  <c r="A6" i="14"/>
  <c r="A7" i="14"/>
  <c r="A8" i="14"/>
  <c r="A9" i="14"/>
  <c r="B9" i="14"/>
  <c r="C9" i="14"/>
  <c r="E9" i="14"/>
  <c r="D9" i="14"/>
  <c r="F9" i="14"/>
  <c r="G9" i="14"/>
  <c r="H9" i="14"/>
  <c r="I9" i="14"/>
  <c r="J9" i="14"/>
  <c r="L9" i="14"/>
  <c r="M9" i="14"/>
  <c r="N9" i="14" s="1"/>
  <c r="O9" i="14"/>
  <c r="P9" i="14"/>
  <c r="Q9" i="14"/>
  <c r="T9" i="14"/>
  <c r="U9" i="14"/>
  <c r="AI9" i="14"/>
  <c r="AQ9" i="14"/>
  <c r="AU9" i="14"/>
  <c r="AY9" i="14"/>
  <c r="AZ9" i="14" s="1"/>
  <c r="BH9" i="14"/>
  <c r="BJ9" i="14"/>
  <c r="BO9" i="14"/>
  <c r="BS9" i="14"/>
  <c r="BU9" i="14"/>
  <c r="BX9" i="14"/>
  <c r="BY9" i="14"/>
  <c r="BZ9" i="14"/>
  <c r="CE9" i="14"/>
  <c r="CG9" i="14"/>
  <c r="CH9" i="14"/>
  <c r="CJ9" i="14"/>
  <c r="CK9" i="14"/>
  <c r="CO9" i="14"/>
  <c r="CQ9" i="14"/>
  <c r="CR9" i="14"/>
  <c r="CS9" i="14"/>
  <c r="DB9" i="14"/>
  <c r="DD9" i="14"/>
  <c r="DE9" i="14"/>
  <c r="BD9" i="14"/>
  <c r="BF9" i="14"/>
  <c r="DH9" i="14"/>
  <c r="DJ9" i="14"/>
  <c r="DM9" i="14"/>
  <c r="DO9" i="14"/>
  <c r="DP9" i="14"/>
  <c r="A10" i="14"/>
  <c r="A11" i="14"/>
  <c r="B10" i="14"/>
  <c r="C10" i="14"/>
  <c r="E10" i="14"/>
  <c r="D10" i="14"/>
  <c r="F10" i="14"/>
  <c r="G10" i="14"/>
  <c r="H10" i="14"/>
  <c r="I10" i="14"/>
  <c r="J10" i="14"/>
  <c r="L10" i="14"/>
  <c r="M10" i="14"/>
  <c r="N10" i="14" s="1"/>
  <c r="O10" i="14"/>
  <c r="P10" i="14"/>
  <c r="Q10" i="14"/>
  <c r="T10" i="14"/>
  <c r="U10" i="14"/>
  <c r="AI10" i="14"/>
  <c r="AQ10" i="14"/>
  <c r="AS10" i="14" s="1"/>
  <c r="AU10" i="14"/>
  <c r="CZ10" i="14" s="1"/>
  <c r="AY10" i="14"/>
  <c r="AZ10" i="14" s="1"/>
  <c r="BH10" i="14"/>
  <c r="BJ10" i="14"/>
  <c r="BO10" i="14"/>
  <c r="CA10" i="14" s="1"/>
  <c r="CB10" i="14" s="1"/>
  <c r="CC10" i="14" s="1"/>
  <c r="BS10" i="14"/>
  <c r="BU10" i="14"/>
  <c r="BX10" i="14"/>
  <c r="BY10" i="14"/>
  <c r="BZ10" i="14"/>
  <c r="CE10" i="14"/>
  <c r="CG10" i="14"/>
  <c r="CH10" i="14"/>
  <c r="CJ10" i="14"/>
  <c r="CK10" i="14"/>
  <c r="CO10" i="14"/>
  <c r="CQ10" i="14"/>
  <c r="CR10" i="14"/>
  <c r="CS10" i="14"/>
  <c r="DB10" i="14"/>
  <c r="DD10" i="14"/>
  <c r="DE10" i="14"/>
  <c r="BD10" i="14"/>
  <c r="BF10" i="14"/>
  <c r="DH10" i="14"/>
  <c r="DJ10" i="14"/>
  <c r="DM10" i="14"/>
  <c r="DO10" i="14"/>
  <c r="DP10" i="14"/>
  <c r="B3" i="14"/>
  <c r="C3" i="14"/>
  <c r="E3" i="14"/>
  <c r="D3" i="14"/>
  <c r="F3" i="14"/>
  <c r="G3" i="14"/>
  <c r="H3" i="14"/>
  <c r="I3" i="14"/>
  <c r="J3" i="14"/>
  <c r="L3" i="14"/>
  <c r="M3" i="14"/>
  <c r="N3" i="14" s="1"/>
  <c r="O3" i="14"/>
  <c r="P3" i="14"/>
  <c r="Q3" i="14"/>
  <c r="T3" i="14"/>
  <c r="U3" i="14"/>
  <c r="AI3" i="14"/>
  <c r="AQ3" i="14"/>
  <c r="AU3" i="14"/>
  <c r="AY3" i="14"/>
  <c r="AZ3" i="14" s="1"/>
  <c r="BH3" i="14"/>
  <c r="BJ3" i="14"/>
  <c r="BO3" i="14"/>
  <c r="CA3" i="14" s="1"/>
  <c r="CB3" i="14" s="1"/>
  <c r="CC3" i="14" s="1"/>
  <c r="BS3" i="14"/>
  <c r="BU3" i="14"/>
  <c r="BX3" i="14"/>
  <c r="BY3" i="14"/>
  <c r="BZ3" i="14"/>
  <c r="CE3" i="14"/>
  <c r="CG3" i="14"/>
  <c r="CH3" i="14"/>
  <c r="CJ3" i="14"/>
  <c r="CK3" i="14"/>
  <c r="CO3" i="14"/>
  <c r="CQ3" i="14"/>
  <c r="CR3" i="14"/>
  <c r="CS3" i="14"/>
  <c r="DB3" i="14"/>
  <c r="DD3" i="14"/>
  <c r="DE3" i="14"/>
  <c r="BD3" i="14"/>
  <c r="BF3" i="14"/>
  <c r="DH3" i="14"/>
  <c r="DJ3" i="14"/>
  <c r="DM3" i="14"/>
  <c r="DO3" i="14"/>
  <c r="DP3" i="14"/>
  <c r="B7" i="14"/>
  <c r="C7" i="14"/>
  <c r="E7" i="14"/>
  <c r="D7" i="14"/>
  <c r="F7" i="14"/>
  <c r="G7" i="14"/>
  <c r="H7" i="14"/>
  <c r="I7" i="14"/>
  <c r="J7" i="14"/>
  <c r="L7" i="14"/>
  <c r="M7" i="14"/>
  <c r="N7" i="14" s="1"/>
  <c r="O7" i="14"/>
  <c r="P7" i="14"/>
  <c r="Q7" i="14"/>
  <c r="T7" i="14"/>
  <c r="U7" i="14"/>
  <c r="AI7" i="14"/>
  <c r="AQ7" i="14"/>
  <c r="AU7" i="14"/>
  <c r="CZ7" i="14" s="1"/>
  <c r="AY7" i="14"/>
  <c r="AZ7" i="14" s="1"/>
  <c r="BH7" i="14"/>
  <c r="BJ7" i="14"/>
  <c r="BO7" i="14"/>
  <c r="BS7" i="14"/>
  <c r="BU7" i="14"/>
  <c r="BX7" i="14"/>
  <c r="BY7" i="14"/>
  <c r="BZ7" i="14"/>
  <c r="CE7" i="14"/>
  <c r="CG7" i="14"/>
  <c r="CH7" i="14"/>
  <c r="CJ7" i="14"/>
  <c r="CK7" i="14"/>
  <c r="CO7" i="14"/>
  <c r="CQ7" i="14"/>
  <c r="CR7" i="14"/>
  <c r="CS7" i="14"/>
  <c r="DB7" i="14"/>
  <c r="DD7" i="14"/>
  <c r="DE7" i="14"/>
  <c r="BD7" i="14"/>
  <c r="BF7" i="14"/>
  <c r="DH7" i="14"/>
  <c r="DJ7" i="14"/>
  <c r="DM7" i="14"/>
  <c r="DO7" i="14"/>
  <c r="DP7" i="14"/>
  <c r="BB9" i="14" l="1"/>
  <c r="AD9" i="14"/>
  <c r="X9" i="14"/>
  <c r="AB9" i="14"/>
  <c r="Z9" i="14"/>
  <c r="BB3" i="14"/>
  <c r="BC3" i="14" s="1"/>
  <c r="Z3" i="14"/>
  <c r="X3" i="14"/>
  <c r="AD3" i="14"/>
  <c r="AB3" i="14"/>
  <c r="BB11" i="14"/>
  <c r="BC11" i="14" s="1"/>
  <c r="AB11" i="14"/>
  <c r="AD11" i="14"/>
  <c r="Z11" i="14"/>
  <c r="X11" i="14"/>
  <c r="BB6" i="14"/>
  <c r="BC6" i="14" s="1"/>
  <c r="AD6" i="14"/>
  <c r="X6" i="14"/>
  <c r="AB6" i="14"/>
  <c r="Z6" i="14"/>
  <c r="BB4" i="14"/>
  <c r="BC4" i="14" s="1"/>
  <c r="AD4" i="14"/>
  <c r="X4" i="14"/>
  <c r="Z4" i="14"/>
  <c r="AB4" i="14"/>
  <c r="BB10" i="14"/>
  <c r="X10" i="14"/>
  <c r="AD10" i="14"/>
  <c r="AB10" i="14"/>
  <c r="Z10" i="14"/>
  <c r="BB8" i="14"/>
  <c r="BC8" i="14" s="1"/>
  <c r="AB8" i="14"/>
  <c r="X8" i="14"/>
  <c r="Z8" i="14"/>
  <c r="AD8" i="14"/>
  <c r="BB7" i="14"/>
  <c r="BC7" i="14" s="1"/>
  <c r="X7" i="14"/>
  <c r="Z7" i="14"/>
  <c r="AD7" i="14"/>
  <c r="AB7" i="14"/>
  <c r="BB2" i="14"/>
  <c r="BC2" i="14" s="1"/>
  <c r="X2" i="14"/>
  <c r="Z2" i="14"/>
  <c r="AD2" i="14"/>
  <c r="AB2" i="14"/>
  <c r="AJ11" i="14"/>
  <c r="AJ9" i="14"/>
  <c r="AJ7" i="14"/>
  <c r="AJ3" i="14"/>
  <c r="CT3" i="14"/>
  <c r="CT6" i="14"/>
  <c r="AJ10" i="14"/>
  <c r="AJ5" i="14"/>
  <c r="AN11" i="14"/>
  <c r="AN9" i="14"/>
  <c r="AJ8" i="14"/>
  <c r="AN2" i="14"/>
  <c r="AJ2" i="14"/>
  <c r="AN7" i="14"/>
  <c r="AJ4" i="14"/>
  <c r="AJ6" i="14"/>
  <c r="BG3" i="14"/>
  <c r="BE3" i="14"/>
  <c r="BV3" i="14"/>
  <c r="BL3" i="14"/>
  <c r="BM3" i="14" s="1"/>
  <c r="BK6" i="14"/>
  <c r="BI6" i="14"/>
  <c r="AM10" i="14"/>
  <c r="AP10" i="14" s="1"/>
  <c r="DN4" i="14"/>
  <c r="BW4" i="14"/>
  <c r="BE9" i="14"/>
  <c r="S2" i="14"/>
  <c r="AM3" i="14"/>
  <c r="AP3" i="14" s="1"/>
  <c r="BN9" i="14"/>
  <c r="AM8" i="14"/>
  <c r="AP8" i="14" s="1"/>
  <c r="DN11" i="14"/>
  <c r="AM2" i="14"/>
  <c r="AP2" i="14" s="1"/>
  <c r="BW6" i="14"/>
  <c r="CP9" i="14"/>
  <c r="AM9" i="14"/>
  <c r="AP9" i="14" s="1"/>
  <c r="BW10" i="14"/>
  <c r="AR9" i="14"/>
  <c r="BE11" i="14"/>
  <c r="AM11" i="14"/>
  <c r="AP11" i="14" s="1"/>
  <c r="AN3" i="14"/>
  <c r="BW11" i="14"/>
  <c r="BP11" i="14"/>
  <c r="CT11" i="14"/>
  <c r="AM7" i="14"/>
  <c r="AP7" i="14" s="1"/>
  <c r="CI2" i="14"/>
  <c r="CI7" i="14"/>
  <c r="V7" i="14"/>
  <c r="AV8" i="14"/>
  <c r="AN6" i="14"/>
  <c r="AN10" i="14"/>
  <c r="DC8" i="14"/>
  <c r="AM6" i="14"/>
  <c r="AP6" i="14" s="1"/>
  <c r="BN3" i="14"/>
  <c r="AN4" i="14"/>
  <c r="BV7" i="14"/>
  <c r="AM4" i="14"/>
  <c r="AP4" i="14" s="1"/>
  <c r="BR9" i="14"/>
  <c r="BN2" i="14"/>
  <c r="BL4" i="14"/>
  <c r="BM4" i="14" s="1"/>
  <c r="AN8" i="14"/>
  <c r="CZ6" i="14"/>
  <c r="DA6" i="14" s="1"/>
  <c r="DK11" i="14"/>
  <c r="DL11" i="14" s="1"/>
  <c r="CM9" i="14"/>
  <c r="CL9" i="14" s="1"/>
  <c r="CT8" i="14"/>
  <c r="BE2" i="14"/>
  <c r="CN4" i="14"/>
  <c r="R7" i="14"/>
  <c r="CI9" i="14"/>
  <c r="V9" i="14"/>
  <c r="BA2" i="14"/>
  <c r="BE8" i="14"/>
  <c r="DN6" i="14"/>
  <c r="AV3" i="14"/>
  <c r="BK10" i="14"/>
  <c r="DF8" i="14"/>
  <c r="DC4" i="14"/>
  <c r="CP7" i="14"/>
  <c r="DA7" i="14"/>
  <c r="CF2" i="14"/>
  <c r="BW8" i="14"/>
  <c r="R6" i="14"/>
  <c r="V11" i="14"/>
  <c r="BG9" i="14"/>
  <c r="CT4" i="14"/>
  <c r="BW2" i="14"/>
  <c r="CM10" i="14"/>
  <c r="CL10" i="14" s="1"/>
  <c r="CP4" i="14"/>
  <c r="BA4" i="14"/>
  <c r="AV6" i="14"/>
  <c r="BK11" i="14"/>
  <c r="AR3" i="14"/>
  <c r="BL9" i="14"/>
  <c r="BM9" i="14" s="1"/>
  <c r="BI2" i="14"/>
  <c r="DA4" i="14"/>
  <c r="BE6" i="14"/>
  <c r="BL11" i="14"/>
  <c r="BM11" i="14" s="1"/>
  <c r="CF3" i="14"/>
  <c r="CM8" i="14"/>
  <c r="CL8" i="14" s="1"/>
  <c r="AT4" i="14"/>
  <c r="CP11" i="14"/>
  <c r="BG7" i="14"/>
  <c r="DI3" i="14"/>
  <c r="DK8" i="14"/>
  <c r="DL8" i="14" s="1"/>
  <c r="CI8" i="14"/>
  <c r="AZ2" i="14"/>
  <c r="DF6" i="14"/>
  <c r="CM11" i="14"/>
  <c r="CL11" i="14" s="1"/>
  <c r="CF4" i="14"/>
  <c r="DF10" i="14"/>
  <c r="CM2" i="14"/>
  <c r="CL2" i="14" s="1"/>
  <c r="BR4" i="14"/>
  <c r="V4" i="14"/>
  <c r="BV6" i="14"/>
  <c r="BW3" i="14"/>
  <c r="BG4" i="14"/>
  <c r="DC3" i="14"/>
  <c r="BI10" i="14"/>
  <c r="BE4" i="14"/>
  <c r="BP6" i="14"/>
  <c r="DI11" i="14"/>
  <c r="CA11" i="14"/>
  <c r="CB11" i="14" s="1"/>
  <c r="CC11" i="14" s="1"/>
  <c r="DC7" i="14"/>
  <c r="BR3" i="14"/>
  <c r="AS9" i="14"/>
  <c r="AT9" i="14" s="1"/>
  <c r="BV8" i="14"/>
  <c r="CZ2" i="14"/>
  <c r="DA2" i="14" s="1"/>
  <c r="BQ3" i="14"/>
  <c r="CD3" i="14" s="1"/>
  <c r="BT8" i="14"/>
  <c r="V8" i="14"/>
  <c r="S4" i="14"/>
  <c r="BT9" i="14"/>
  <c r="BK8" i="14"/>
  <c r="S8" i="14"/>
  <c r="CM7" i="14"/>
  <c r="CL7" i="14" s="1"/>
  <c r="BI8" i="14"/>
  <c r="CN2" i="14"/>
  <c r="DN7" i="14"/>
  <c r="CP6" i="14"/>
  <c r="BI3" i="14"/>
  <c r="CP8" i="14"/>
  <c r="CF6" i="14"/>
  <c r="DG10" i="14"/>
  <c r="BR10" i="14"/>
  <c r="V10" i="14"/>
  <c r="DN8" i="14"/>
  <c r="AZ4" i="14"/>
  <c r="BA6" i="14"/>
  <c r="CA6" i="14"/>
  <c r="CB6" i="14" s="1"/>
  <c r="CC6" i="14" s="1"/>
  <c r="DI8" i="14"/>
  <c r="BA8" i="14"/>
  <c r="BR6" i="14"/>
  <c r="CM3" i="14"/>
  <c r="CL3" i="14" s="1"/>
  <c r="BG8" i="14"/>
  <c r="DG2" i="14"/>
  <c r="AR6" i="14"/>
  <c r="DG7" i="14"/>
  <c r="BA9" i="14"/>
  <c r="CF8" i="14"/>
  <c r="BR2" i="14"/>
  <c r="AR4" i="14"/>
  <c r="DC6" i="14"/>
  <c r="BQ6" i="14"/>
  <c r="CD6" i="14" s="1"/>
  <c r="CI11" i="14"/>
  <c r="BK3" i="14"/>
  <c r="AW2" i="14"/>
  <c r="AX2" i="14" s="1"/>
  <c r="AT2" i="14"/>
  <c r="DF7" i="14"/>
  <c r="BT3" i="14"/>
  <c r="CW3" i="14"/>
  <c r="CX3" i="14" s="1"/>
  <c r="AR8" i="14"/>
  <c r="AS8" i="14"/>
  <c r="S7" i="14"/>
  <c r="CM4" i="14"/>
  <c r="CL4" i="14" s="1"/>
  <c r="CN10" i="14"/>
  <c r="BV9" i="14"/>
  <c r="BW9" i="14"/>
  <c r="CP3" i="14"/>
  <c r="CI10" i="14"/>
  <c r="DN3" i="14"/>
  <c r="BP3" i="14"/>
  <c r="V3" i="14"/>
  <c r="BG10" i="14"/>
  <c r="S9" i="14"/>
  <c r="R3" i="14"/>
  <c r="BE10" i="14"/>
  <c r="R9" i="14"/>
  <c r="DF11" i="14"/>
  <c r="DG11" i="14"/>
  <c r="CZ11" i="14"/>
  <c r="DA11" i="14" s="1"/>
  <c r="S3" i="14"/>
  <c r="DG4" i="14"/>
  <c r="DI9" i="14"/>
  <c r="CN8" i="14"/>
  <c r="DF4" i="14"/>
  <c r="CI4" i="14"/>
  <c r="V6" i="14"/>
  <c r="DK3" i="14"/>
  <c r="DL3" i="14" s="1"/>
  <c r="CN3" i="14"/>
  <c r="BP10" i="14"/>
  <c r="R10" i="14"/>
  <c r="DC9" i="14"/>
  <c r="AV4" i="14"/>
  <c r="S6" i="14"/>
  <c r="BL2" i="14"/>
  <c r="BM2" i="14" s="1"/>
  <c r="CN11" i="14"/>
  <c r="R2" i="14"/>
  <c r="BT4" i="14"/>
  <c r="CN9" i="14"/>
  <c r="DK4" i="14"/>
  <c r="DL4" i="14" s="1"/>
  <c r="DK6" i="14"/>
  <c r="DL6" i="14" s="1"/>
  <c r="BT6" i="14"/>
  <c r="CZ8" i="14"/>
  <c r="DA8" i="14" s="1"/>
  <c r="DI4" i="14"/>
  <c r="DI6" i="14"/>
  <c r="BN11" i="14"/>
  <c r="BK4" i="14"/>
  <c r="BG6" i="14"/>
  <c r="BW7" i="14"/>
  <c r="AR7" i="14"/>
  <c r="AS7" i="14"/>
  <c r="AT7" i="14" s="1"/>
  <c r="BE7" i="14"/>
  <c r="CT7" i="14"/>
  <c r="DI7" i="14"/>
  <c r="DK7" i="14"/>
  <c r="DL7" i="14" s="1"/>
  <c r="CN7" i="14"/>
  <c r="BT7" i="14"/>
  <c r="BP7" i="14"/>
  <c r="BQ7" i="14"/>
  <c r="CD7" i="14" s="1"/>
  <c r="CI3" i="14"/>
  <c r="BK7" i="14"/>
  <c r="AR11" i="14"/>
  <c r="AS11" i="14"/>
  <c r="AT11" i="14" s="1"/>
  <c r="BN7" i="14"/>
  <c r="BI7" i="14"/>
  <c r="BN10" i="14"/>
  <c r="CW10" i="14"/>
  <c r="BL7" i="14"/>
  <c r="BM7" i="14" s="1"/>
  <c r="BL10" i="14"/>
  <c r="BM10" i="14" s="1"/>
  <c r="CF7" i="14"/>
  <c r="CA7" i="14"/>
  <c r="BA7" i="14"/>
  <c r="CT10" i="14"/>
  <c r="AR10" i="14"/>
  <c r="DI10" i="14"/>
  <c r="AT10" i="14"/>
  <c r="CF10" i="14"/>
  <c r="DN10" i="14"/>
  <c r="AV10" i="14"/>
  <c r="DA10" i="14"/>
  <c r="DC10" i="14"/>
  <c r="BA10" i="14"/>
  <c r="BV10" i="14"/>
  <c r="CP10" i="14"/>
  <c r="BR7" i="14"/>
  <c r="CZ3" i="14"/>
  <c r="DA3" i="14" s="1"/>
  <c r="DF3" i="14"/>
  <c r="DG3" i="14"/>
  <c r="CU3" i="14"/>
  <c r="CV3" i="14" s="1"/>
  <c r="AV7" i="14"/>
  <c r="CC8" i="14"/>
  <c r="CW8" i="14"/>
  <c r="DF9" i="14"/>
  <c r="DG9" i="14"/>
  <c r="AV9" i="14"/>
  <c r="AS3" i="14"/>
  <c r="BL8" i="14"/>
  <c r="BM8" i="14" s="1"/>
  <c r="BN8" i="14"/>
  <c r="CU8" i="14"/>
  <c r="CV8" i="14" s="1"/>
  <c r="AV2" i="14"/>
  <c r="DN2" i="14"/>
  <c r="BT2" i="14"/>
  <c r="DC2" i="14"/>
  <c r="BV2" i="14"/>
  <c r="BC10" i="14"/>
  <c r="AR2" i="14"/>
  <c r="CA9" i="14"/>
  <c r="CB9" i="14" s="1"/>
  <c r="BP9" i="14"/>
  <c r="BQ9" i="14"/>
  <c r="CD9" i="14" s="1"/>
  <c r="BT10" i="14"/>
  <c r="AW10" i="14"/>
  <c r="AX10" i="14" s="1"/>
  <c r="CT2" i="14"/>
  <c r="BQ10" i="14"/>
  <c r="CD10" i="14" s="1"/>
  <c r="S10" i="14"/>
  <c r="CZ9" i="14"/>
  <c r="DA9" i="14" s="1"/>
  <c r="CF9" i="14"/>
  <c r="BK9" i="14"/>
  <c r="DK2" i="14"/>
  <c r="DL2" i="14" s="1"/>
  <c r="BP2" i="14"/>
  <c r="BQ2" i="14"/>
  <c r="CD2" i="14" s="1"/>
  <c r="CA2" i="14"/>
  <c r="DN9" i="14"/>
  <c r="BI9" i="14"/>
  <c r="DI2" i="14"/>
  <c r="BA3" i="14"/>
  <c r="DK10" i="14"/>
  <c r="DL10" i="14" s="1"/>
  <c r="CP2" i="14"/>
  <c r="CU10" i="14"/>
  <c r="CV10" i="14" s="1"/>
  <c r="DK9" i="14"/>
  <c r="DL9" i="14" s="1"/>
  <c r="CT9" i="14"/>
  <c r="BC9" i="14"/>
  <c r="BG2" i="14"/>
  <c r="BK2" i="14"/>
  <c r="CM6" i="14"/>
  <c r="CL6" i="14" s="1"/>
  <c r="CN6" i="14"/>
  <c r="BR8" i="14"/>
  <c r="CW4" i="14"/>
  <c r="BQ8" i="14"/>
  <c r="CD8" i="14" s="1"/>
  <c r="BP8" i="14"/>
  <c r="R8" i="14"/>
  <c r="R11" i="14"/>
  <c r="S11" i="14"/>
  <c r="V2" i="14"/>
  <c r="CU4" i="14"/>
  <c r="CV4" i="14" s="1"/>
  <c r="BL6" i="14"/>
  <c r="BM6" i="14" s="1"/>
  <c r="BV4" i="14"/>
  <c r="BG11" i="14"/>
  <c r="BI11" i="14"/>
  <c r="AW4" i="14"/>
  <c r="AX4" i="14" s="1"/>
  <c r="R4" i="14"/>
  <c r="BQ4" i="14"/>
  <c r="CD4" i="14" s="1"/>
  <c r="BV11" i="14"/>
  <c r="BA11" i="14"/>
  <c r="BP4" i="14"/>
  <c r="CI6" i="14"/>
  <c r="BT11" i="14"/>
  <c r="BN4" i="14"/>
  <c r="DC11" i="14"/>
  <c r="BR11" i="14"/>
  <c r="BN6" i="14"/>
  <c r="AS6" i="14"/>
  <c r="BQ11" i="14"/>
  <c r="CD11" i="14" s="1"/>
  <c r="AV11" i="14"/>
  <c r="CF11" i="14"/>
  <c r="BI4" i="14"/>
  <c r="AW9" i="14" l="1"/>
  <c r="AX9" i="14" s="1"/>
  <c r="CW11" i="14"/>
  <c r="CX11" i="14" s="1"/>
  <c r="CU6" i="14"/>
  <c r="CV6" i="14" s="1"/>
  <c r="CW6" i="14"/>
  <c r="CX6" i="14" s="1"/>
  <c r="CU11" i="14"/>
  <c r="CV11" i="14" s="1"/>
  <c r="AW11" i="14"/>
  <c r="AX11" i="14" s="1"/>
  <c r="AW7" i="14"/>
  <c r="AX7" i="14" s="1"/>
  <c r="CU9" i="14"/>
  <c r="CV9" i="14" s="1"/>
  <c r="AW8" i="14"/>
  <c r="AX8" i="14" s="1"/>
  <c r="AT8" i="14"/>
  <c r="AT6" i="14"/>
  <c r="AW6" i="14"/>
  <c r="AX6" i="14" s="1"/>
  <c r="CB2" i="14"/>
  <c r="CU2" i="14"/>
  <c r="CV2" i="14" s="1"/>
  <c r="CB7" i="14"/>
  <c r="CU7" i="14"/>
  <c r="CV7" i="14" s="1"/>
  <c r="CY10" i="14"/>
  <c r="CX10" i="14"/>
  <c r="CX8" i="14"/>
  <c r="CY8" i="14"/>
  <c r="AT3" i="14"/>
  <c r="AW3" i="14"/>
  <c r="AX3" i="14" s="1"/>
  <c r="CX4" i="14"/>
  <c r="CY4" i="14"/>
  <c r="CY3" i="14"/>
  <c r="CW9" i="14"/>
  <c r="CC9" i="14"/>
  <c r="CY6" i="14" l="1"/>
  <c r="CY11" i="14"/>
  <c r="CX9" i="14"/>
  <c r="CY9" i="14"/>
  <c r="CC7" i="14"/>
  <c r="CW7" i="14"/>
  <c r="CW2" i="14"/>
  <c r="CC2" i="14"/>
  <c r="R7" i="18"/>
  <c r="R5" i="18"/>
  <c r="R6" i="18"/>
  <c r="R9" i="18"/>
  <c r="R3" i="18"/>
  <c r="R11" i="18"/>
  <c r="R8" i="18"/>
  <c r="R2" i="18"/>
  <c r="R10" i="18"/>
  <c r="R12" i="18"/>
  <c r="X11" i="18"/>
  <c r="S11" i="18" s="1"/>
  <c r="X9" i="18"/>
  <c r="S9" i="18" s="1"/>
  <c r="X5" i="18"/>
  <c r="S5" i="18" s="1"/>
  <c r="X2" i="18"/>
  <c r="S2" i="18" s="1"/>
  <c r="X4" i="18"/>
  <c r="S4" i="18" s="1"/>
  <c r="X3" i="18"/>
  <c r="S3" i="18" s="1"/>
  <c r="X7" i="18"/>
  <c r="S7" i="18" s="1"/>
  <c r="X12" i="18"/>
  <c r="S12" i="18" s="1"/>
  <c r="X6" i="18"/>
  <c r="S6" i="18" s="1"/>
  <c r="X8" i="18"/>
  <c r="S8" i="18" s="1"/>
  <c r="X10" i="18"/>
  <c r="S10" i="18" s="1"/>
  <c r="J6" i="18"/>
  <c r="J3" i="18"/>
  <c r="J12" i="18"/>
  <c r="J2" i="18"/>
  <c r="J7" i="18"/>
  <c r="J8" i="18"/>
  <c r="J10" i="18"/>
  <c r="J4" i="18"/>
  <c r="J5" i="18"/>
  <c r="J11" i="18"/>
  <c r="J9" i="18"/>
  <c r="CX7" i="14" l="1"/>
  <c r="CY7" i="14"/>
  <c r="CY2" i="14"/>
  <c r="CX2" i="14"/>
  <c r="BB10" i="18"/>
  <c r="BB7" i="18"/>
  <c r="BB6" i="18"/>
  <c r="BB3" i="18"/>
  <c r="BB2" i="18"/>
  <c r="BB12" i="18"/>
  <c r="BB11" i="18"/>
  <c r="BB5" i="18"/>
  <c r="BB4" i="18"/>
  <c r="BB9" i="18"/>
  <c r="BB8" i="18"/>
  <c r="BA10" i="18"/>
  <c r="BA7" i="18"/>
  <c r="BA6" i="18"/>
  <c r="BA3" i="18"/>
  <c r="BA2" i="18"/>
  <c r="BA12" i="18"/>
  <c r="BA11" i="18"/>
  <c r="BA5" i="18"/>
  <c r="BA4" i="18"/>
  <c r="BA9" i="18"/>
  <c r="BA8" i="18"/>
  <c r="Z10" i="18"/>
  <c r="Z7" i="18"/>
  <c r="Z6" i="18"/>
  <c r="Z3" i="18"/>
  <c r="Z2" i="18"/>
  <c r="Z12" i="18"/>
  <c r="Z11" i="18"/>
  <c r="Z5" i="18"/>
  <c r="Z4" i="18"/>
  <c r="Z9" i="18"/>
  <c r="Z8" i="18"/>
  <c r="BD10" i="18"/>
  <c r="BD7" i="18"/>
  <c r="BD6" i="18"/>
  <c r="BD3" i="18"/>
  <c r="BD2" i="18"/>
  <c r="BD12" i="18"/>
  <c r="BD11" i="18"/>
  <c r="BD5" i="18"/>
  <c r="BD4" i="18"/>
  <c r="BD9" i="18"/>
  <c r="BD8" i="18"/>
  <c r="AY8" i="18"/>
  <c r="AV10" i="18"/>
  <c r="AV7" i="18"/>
  <c r="AV6" i="18"/>
  <c r="AV3" i="18"/>
  <c r="AV2" i="18"/>
  <c r="AV12" i="18"/>
  <c r="AV11" i="18"/>
  <c r="AV5" i="18"/>
  <c r="AV4" i="18"/>
  <c r="AV9" i="18"/>
  <c r="AV8" i="18"/>
  <c r="AT10" i="18"/>
  <c r="AT7" i="18"/>
  <c r="AT6" i="18"/>
  <c r="AT3" i="18"/>
  <c r="AT2" i="18"/>
  <c r="AT12" i="18"/>
  <c r="AT11" i="18"/>
  <c r="AT5" i="18"/>
  <c r="AT4" i="18"/>
  <c r="AT9" i="18"/>
  <c r="AT8" i="18"/>
  <c r="C2" i="18"/>
  <c r="D2" i="18" s="1"/>
  <c r="AD8" i="18"/>
  <c r="AI5" i="14"/>
  <c r="CH5" i="14"/>
  <c r="CG5" i="14"/>
  <c r="AU5" i="14"/>
  <c r="DF5" i="14" s="1"/>
  <c r="AQ5" i="14"/>
  <c r="AS5" i="14" s="1"/>
  <c r="B5" i="14"/>
  <c r="C5" i="14"/>
  <c r="E5" i="14"/>
  <c r="D5" i="14"/>
  <c r="F5" i="14"/>
  <c r="G5" i="14"/>
  <c r="H5" i="14"/>
  <c r="I5" i="14"/>
  <c r="J5" i="14"/>
  <c r="L5" i="14"/>
  <c r="M5" i="14"/>
  <c r="N5" i="14" s="1"/>
  <c r="O5" i="14"/>
  <c r="P5" i="14"/>
  <c r="Q5" i="14"/>
  <c r="T5" i="14"/>
  <c r="U5" i="14"/>
  <c r="AY5" i="14"/>
  <c r="AZ5" i="14" s="1"/>
  <c r="BH5" i="14"/>
  <c r="BJ5" i="14"/>
  <c r="BO5" i="14"/>
  <c r="BS5" i="14"/>
  <c r="BU5" i="14"/>
  <c r="BX5" i="14"/>
  <c r="BY5" i="14"/>
  <c r="BZ5" i="14"/>
  <c r="CE5" i="14"/>
  <c r="CJ5" i="14"/>
  <c r="CK5" i="14"/>
  <c r="CO5" i="14"/>
  <c r="CQ5" i="14"/>
  <c r="CR5" i="14"/>
  <c r="CS5" i="14"/>
  <c r="DB5" i="14"/>
  <c r="DD5" i="14"/>
  <c r="DE5" i="14"/>
  <c r="BD5" i="14"/>
  <c r="BF5" i="14"/>
  <c r="DH5" i="14"/>
  <c r="DJ5" i="14"/>
  <c r="DM5" i="14"/>
  <c r="DO5" i="14"/>
  <c r="DP5" i="14"/>
  <c r="BB5" i="14" l="1"/>
  <c r="X5" i="14"/>
  <c r="AD5" i="14"/>
  <c r="AB5" i="14"/>
  <c r="Z5" i="14"/>
  <c r="CT5" i="14"/>
  <c r="AN5" i="14"/>
  <c r="AM5" i="14"/>
  <c r="AP5" i="14" s="1"/>
  <c r="BC8" i="18"/>
  <c r="BC2" i="18"/>
  <c r="BC11" i="18"/>
  <c r="BC9" i="18"/>
  <c r="BC4" i="18"/>
  <c r="BC3" i="18"/>
  <c r="BC5" i="18"/>
  <c r="BC6" i="18"/>
  <c r="BC7" i="18"/>
  <c r="BC12" i="18"/>
  <c r="BC10" i="18"/>
  <c r="BN5" i="14"/>
  <c r="CI5" i="14"/>
  <c r="DI5" i="14"/>
  <c r="DG5" i="14"/>
  <c r="CZ5" i="14"/>
  <c r="DA5" i="14" s="1"/>
  <c r="BG5" i="14"/>
  <c r="CN5" i="14"/>
  <c r="CF5" i="14"/>
  <c r="DC5" i="14"/>
  <c r="BP5" i="14"/>
  <c r="BV5" i="14"/>
  <c r="BT5" i="14"/>
  <c r="AT5" i="14"/>
  <c r="BK5" i="14"/>
  <c r="CP5" i="14"/>
  <c r="AV5" i="14"/>
  <c r="DN5" i="14"/>
  <c r="DK5" i="14"/>
  <c r="DL5" i="14" s="1"/>
  <c r="CM5" i="14"/>
  <c r="CL5" i="14" s="1"/>
  <c r="BQ5" i="14"/>
  <c r="CD5" i="14" s="1"/>
  <c r="BI5" i="14"/>
  <c r="AR5" i="14"/>
  <c r="BE5" i="14"/>
  <c r="BC5" i="14"/>
  <c r="CA5" i="14"/>
  <c r="CB5" i="14" s="1"/>
  <c r="CC5" i="14" s="1"/>
  <c r="AW5" i="14"/>
  <c r="AX5" i="14" s="1"/>
  <c r="V5" i="14"/>
  <c r="S5" i="14"/>
  <c r="BR5" i="14"/>
  <c r="R5" i="14"/>
  <c r="BW5" i="14"/>
  <c r="BL5" i="14"/>
  <c r="BM5" i="14" s="1"/>
  <c r="BA5" i="14"/>
  <c r="CW5" i="14" l="1"/>
  <c r="CX5" i="14" s="1"/>
  <c r="CU5" i="14"/>
  <c r="CV5" i="14" s="1"/>
  <c r="CY5" i="14" l="1"/>
  <c r="AH5" i="18" l="1"/>
  <c r="AD5" i="18"/>
  <c r="AY12" i="18"/>
  <c r="AY11" i="18"/>
  <c r="AY10" i="18"/>
  <c r="AY7" i="18"/>
  <c r="AY4" i="18"/>
  <c r="AY9" i="18"/>
  <c r="AY2" i="18"/>
  <c r="AY5" i="18"/>
  <c r="AY3" i="18"/>
  <c r="AY6" i="18"/>
  <c r="V4" i="18" l="1"/>
  <c r="U4" i="18"/>
  <c r="AH6" i="18"/>
  <c r="AG6" i="18"/>
  <c r="AD6" i="18"/>
  <c r="AX5" i="18" l="1"/>
  <c r="AX2" i="18"/>
  <c r="AX6" i="18"/>
  <c r="AX9" i="18"/>
  <c r="AX7" i="18"/>
  <c r="AX3" i="18"/>
  <c r="AX10" i="18"/>
  <c r="AX11" i="18"/>
  <c r="AX4" i="18"/>
  <c r="AX12" i="18"/>
  <c r="A6" i="18" l="1"/>
  <c r="U3" i="18" l="1"/>
  <c r="M4" i="18"/>
  <c r="M5" i="18"/>
  <c r="M12" i="18"/>
  <c r="M2" i="18"/>
  <c r="M9" i="18"/>
  <c r="M7" i="18"/>
  <c r="M10" i="18"/>
  <c r="M3" i="18"/>
  <c r="M8" i="18"/>
  <c r="M6" i="18"/>
  <c r="M11" i="18"/>
  <c r="A2" i="18" l="1"/>
  <c r="E8" i="18"/>
  <c r="L8" i="18"/>
  <c r="N8" i="18"/>
  <c r="U8" i="18"/>
  <c r="V8" i="18"/>
  <c r="AG8" i="18"/>
  <c r="AH8" i="18"/>
  <c r="AI8" i="18"/>
  <c r="AK8" i="18"/>
  <c r="AO8" i="18"/>
  <c r="AQ8" i="18"/>
  <c r="BF8" i="18"/>
  <c r="BH8" i="18"/>
  <c r="BJ8" i="18"/>
  <c r="A3" i="18"/>
  <c r="C3" i="18"/>
  <c r="E10" i="18"/>
  <c r="L10" i="18"/>
  <c r="N10" i="18"/>
  <c r="U10" i="18"/>
  <c r="V10" i="18"/>
  <c r="AD10" i="18"/>
  <c r="AG10" i="18"/>
  <c r="AH10" i="18"/>
  <c r="AI10" i="18"/>
  <c r="AK10" i="18"/>
  <c r="AO10" i="18"/>
  <c r="AQ10" i="18"/>
  <c r="BF10" i="18"/>
  <c r="BH10" i="18"/>
  <c r="BJ10" i="18"/>
  <c r="A4" i="18"/>
  <c r="C4" i="18"/>
  <c r="E2" i="18"/>
  <c r="L2" i="18"/>
  <c r="N2" i="18"/>
  <c r="U2" i="18"/>
  <c r="V2" i="18"/>
  <c r="AD2" i="18"/>
  <c r="AG2" i="18"/>
  <c r="AH2" i="18"/>
  <c r="AI2" i="18"/>
  <c r="AK2" i="18"/>
  <c r="AO2" i="18"/>
  <c r="AQ2" i="18"/>
  <c r="BF2" i="18"/>
  <c r="BH2" i="18"/>
  <c r="BJ2" i="18"/>
  <c r="A5" i="18"/>
  <c r="C5" i="18"/>
  <c r="E11" i="18"/>
  <c r="L11" i="18"/>
  <c r="N11" i="18"/>
  <c r="U11" i="18"/>
  <c r="V11" i="18"/>
  <c r="AD11" i="18"/>
  <c r="AG11" i="18"/>
  <c r="AH11" i="18"/>
  <c r="AI11" i="18"/>
  <c r="AK11" i="18"/>
  <c r="AO11" i="18"/>
  <c r="AQ11" i="18"/>
  <c r="BF11" i="18"/>
  <c r="BH11" i="18"/>
  <c r="BJ11" i="18"/>
  <c r="C6" i="18"/>
  <c r="E5" i="18"/>
  <c r="L5" i="18"/>
  <c r="N5" i="18"/>
  <c r="U5" i="18"/>
  <c r="V5" i="18"/>
  <c r="AG5" i="18"/>
  <c r="AI5" i="18"/>
  <c r="AK5" i="18"/>
  <c r="AO5" i="18"/>
  <c r="AQ5" i="18"/>
  <c r="BF5" i="18"/>
  <c r="BH5" i="18"/>
  <c r="BJ5" i="18"/>
  <c r="A7" i="18"/>
  <c r="C7" i="18"/>
  <c r="E4" i="18"/>
  <c r="L4" i="18"/>
  <c r="N4" i="18"/>
  <c r="R4" i="18"/>
  <c r="AD4" i="18"/>
  <c r="AG4" i="18"/>
  <c r="AH4" i="18"/>
  <c r="AI4" i="18"/>
  <c r="AK4" i="18"/>
  <c r="AO4" i="18"/>
  <c r="AQ4" i="18"/>
  <c r="BF4" i="18"/>
  <c r="BH4" i="18"/>
  <c r="BJ4" i="18"/>
  <c r="A8" i="18"/>
  <c r="C8" i="18"/>
  <c r="E9" i="18"/>
  <c r="L9" i="18"/>
  <c r="N9" i="18"/>
  <c r="U9" i="18"/>
  <c r="V9" i="18"/>
  <c r="AD9" i="18"/>
  <c r="AG9" i="18"/>
  <c r="AH9" i="18"/>
  <c r="AI9" i="18"/>
  <c r="AK9" i="18"/>
  <c r="AO9" i="18"/>
  <c r="AQ9" i="18"/>
  <c r="BF9" i="18"/>
  <c r="BH9" i="18"/>
  <c r="BJ9" i="18"/>
  <c r="A9" i="18"/>
  <c r="C9" i="18"/>
  <c r="E12" i="18"/>
  <c r="L12" i="18"/>
  <c r="N12" i="18"/>
  <c r="U12" i="18"/>
  <c r="V12" i="18"/>
  <c r="AD12" i="18"/>
  <c r="AG12" i="18"/>
  <c r="AH12" i="18"/>
  <c r="AI12" i="18"/>
  <c r="AK12" i="18"/>
  <c r="AO12" i="18"/>
  <c r="AQ12" i="18"/>
  <c r="BF12" i="18"/>
  <c r="BH12" i="18"/>
  <c r="BJ12" i="18"/>
  <c r="A10" i="18"/>
  <c r="C10" i="18"/>
  <c r="E7" i="18"/>
  <c r="L7" i="18"/>
  <c r="N7" i="18"/>
  <c r="U7" i="18"/>
  <c r="V7" i="18"/>
  <c r="AD7" i="18"/>
  <c r="AG7" i="18"/>
  <c r="AH7" i="18"/>
  <c r="AI7" i="18"/>
  <c r="AK7" i="18"/>
  <c r="AO7" i="18"/>
  <c r="AQ7" i="18"/>
  <c r="BF7" i="18"/>
  <c r="BH7" i="18"/>
  <c r="BJ7" i="18"/>
  <c r="A11" i="18"/>
  <c r="C11" i="18"/>
  <c r="E3" i="18"/>
  <c r="L3" i="18"/>
  <c r="N3" i="18"/>
  <c r="V3" i="18"/>
  <c r="AD3" i="18"/>
  <c r="AG3" i="18"/>
  <c r="AH3" i="18"/>
  <c r="AI3" i="18"/>
  <c r="AK3" i="18"/>
  <c r="AO3" i="18"/>
  <c r="AQ3" i="18"/>
  <c r="BF3" i="18"/>
  <c r="BH3" i="18"/>
  <c r="BJ3" i="18"/>
  <c r="A12" i="18"/>
  <c r="C12" i="18"/>
  <c r="E6" i="18"/>
  <c r="L6" i="18"/>
  <c r="N6" i="18"/>
  <c r="U6" i="18"/>
  <c r="V6" i="18"/>
  <c r="AI6" i="18"/>
  <c r="AK6" i="18"/>
  <c r="AO6" i="18"/>
  <c r="AQ6" i="18"/>
  <c r="BF6" i="18"/>
  <c r="BH6" i="18"/>
  <c r="BJ6" i="18"/>
  <c r="D14" i="18"/>
  <c r="O8" i="18" l="1"/>
  <c r="D4" i="18"/>
  <c r="O7" i="18"/>
  <c r="D10" i="18"/>
  <c r="O5" i="18"/>
  <c r="D7" i="18"/>
  <c r="O2" i="18"/>
  <c r="D8" i="18"/>
  <c r="O12" i="18"/>
  <c r="D6" i="18"/>
  <c r="O3" i="18"/>
  <c r="D3" i="18"/>
  <c r="O10" i="18"/>
  <c r="D9" i="18"/>
  <c r="O11" i="18"/>
  <c r="D12" i="18"/>
  <c r="K12" i="18" s="1"/>
  <c r="O9" i="18"/>
  <c r="D5" i="18"/>
  <c r="O6" i="18"/>
  <c r="D11" i="18"/>
  <c r="O4" i="18"/>
  <c r="AB4" i="18"/>
  <c r="AM5" i="18"/>
  <c r="AM8" i="18"/>
  <c r="AM3" i="18"/>
  <c r="AM11" i="18"/>
  <c r="AM10" i="18"/>
  <c r="AM7" i="18"/>
  <c r="AM4" i="18"/>
  <c r="AM2" i="18"/>
  <c r="AM12" i="18"/>
  <c r="AM6" i="18"/>
  <c r="AM9" i="18"/>
  <c r="W8" i="18"/>
  <c r="W10" i="18"/>
  <c r="D22" i="18"/>
  <c r="AB11" i="18"/>
  <c r="W3" i="18"/>
  <c r="W4" i="18"/>
  <c r="AB2" i="18"/>
  <c r="W9" i="18"/>
  <c r="AS4" i="18"/>
  <c r="AS11" i="18"/>
  <c r="AS3" i="18"/>
  <c r="AB5" i="18"/>
  <c r="AS12" i="18"/>
  <c r="AB9" i="18"/>
  <c r="W5" i="18"/>
  <c r="W6" i="18"/>
  <c r="AB12" i="18"/>
  <c r="AS8" i="18"/>
  <c r="W12" i="18"/>
  <c r="AS6" i="18"/>
  <c r="AB8" i="18"/>
  <c r="AS7" i="18"/>
  <c r="AB10" i="18"/>
  <c r="D19" i="18"/>
  <c r="W2" i="18"/>
  <c r="AB3" i="18"/>
  <c r="W11" i="18"/>
  <c r="AB7" i="18"/>
  <c r="AB6" i="18"/>
  <c r="W7" i="18"/>
  <c r="AS2" i="18"/>
  <c r="AS10" i="18"/>
  <c r="AS5" i="18"/>
  <c r="AS9" i="18"/>
  <c r="F7" i="18" l="1"/>
  <c r="H11" i="18"/>
  <c r="K4" i="18"/>
  <c r="Q7" i="18"/>
  <c r="K7" i="18"/>
  <c r="Q8" i="18"/>
  <c r="K8" i="18"/>
  <c r="Q11" i="18"/>
  <c r="K11" i="18"/>
  <c r="Q9" i="18"/>
  <c r="K9" i="18"/>
  <c r="Q3" i="18"/>
  <c r="K3" i="18"/>
  <c r="Q2" i="18"/>
  <c r="K2" i="18"/>
  <c r="Q6" i="18"/>
  <c r="K6" i="18"/>
  <c r="Q10" i="18"/>
  <c r="K10" i="18"/>
  <c r="Q5" i="18"/>
  <c r="K5" i="18"/>
  <c r="BG12" i="18"/>
  <c r="Q12" i="18"/>
  <c r="AC5" i="18"/>
  <c r="P9" i="18"/>
  <c r="BI11" i="18"/>
  <c r="AJ9" i="18"/>
  <c r="AU10" i="18"/>
  <c r="AU12" i="18"/>
  <c r="T7" i="18"/>
  <c r="AA7" i="18"/>
  <c r="AL2" i="18"/>
  <c r="AC4" i="18"/>
  <c r="BI5" i="18"/>
  <c r="AU4" i="18"/>
  <c r="F4" i="18"/>
  <c r="AA12" i="18"/>
  <c r="BI4" i="18"/>
  <c r="H4" i="18"/>
  <c r="AJ5" i="18"/>
  <c r="BE5" i="18"/>
  <c r="AU5" i="18"/>
  <c r="F5" i="18"/>
  <c r="P5" i="18"/>
  <c r="AE5" i="18"/>
  <c r="BG5" i="18"/>
  <c r="AF5" i="18"/>
  <c r="AA5" i="18"/>
  <c r="T5" i="18"/>
  <c r="AL5" i="18"/>
  <c r="AP5" i="18"/>
  <c r="AZ5" i="18"/>
  <c r="AW5" i="18"/>
  <c r="G5" i="18"/>
  <c r="H5" i="18"/>
  <c r="AA4" i="18"/>
  <c r="AR4" i="18"/>
  <c r="AW4" i="18"/>
  <c r="Y12" i="18"/>
  <c r="Q4" i="18"/>
  <c r="BE8" i="18"/>
  <c r="BG8" i="18"/>
  <c r="T4" i="18"/>
  <c r="BG2" i="18"/>
  <c r="AJ4" i="18"/>
  <c r="AF4" i="18"/>
  <c r="AJ8" i="18"/>
  <c r="P8" i="18"/>
  <c r="AA8" i="18"/>
  <c r="AZ2" i="18"/>
  <c r="AZ4" i="18"/>
  <c r="AL4" i="18"/>
  <c r="AZ8" i="18"/>
  <c r="AC8" i="18"/>
  <c r="T8" i="18"/>
  <c r="AP4" i="18"/>
  <c r="AE8" i="18"/>
  <c r="AF8" i="18"/>
  <c r="H8" i="18"/>
  <c r="AR8" i="18"/>
  <c r="G8" i="18"/>
  <c r="AL8" i="18"/>
  <c r="P4" i="18"/>
  <c r="AE4" i="18"/>
  <c r="BI12" i="18"/>
  <c r="T3" i="18"/>
  <c r="Y6" i="18"/>
  <c r="AU3" i="18"/>
  <c r="Y7" i="18"/>
  <c r="BE7" i="18"/>
  <c r="AU7" i="18"/>
  <c r="BG6" i="18"/>
  <c r="P7" i="18"/>
  <c r="AC7" i="18"/>
  <c r="F6" i="18"/>
  <c r="F8" i="18"/>
  <c r="BI8" i="18"/>
  <c r="AF7" i="18"/>
  <c r="AW7" i="18"/>
  <c r="AF3" i="18"/>
  <c r="AP8" i="18"/>
  <c r="AA6" i="18"/>
  <c r="AF6" i="18"/>
  <c r="AR6" i="18"/>
  <c r="AC6" i="18"/>
  <c r="AE6" i="18"/>
  <c r="AZ7" i="18"/>
  <c r="AP6" i="18"/>
  <c r="BI7" i="18"/>
  <c r="H7" i="18"/>
  <c r="AW6" i="18"/>
  <c r="AE7" i="18"/>
  <c r="AZ6" i="18"/>
  <c r="T6" i="18"/>
  <c r="AW2" i="18"/>
  <c r="AR7" i="18"/>
  <c r="G6" i="18"/>
  <c r="Y4" i="18"/>
  <c r="AW8" i="18"/>
  <c r="AU8" i="18"/>
  <c r="AU6" i="18"/>
  <c r="G7" i="18"/>
  <c r="BE6" i="18"/>
  <c r="AJ6" i="18"/>
  <c r="AP7" i="18"/>
  <c r="AJ7" i="18"/>
  <c r="AL6" i="18"/>
  <c r="BI6" i="18"/>
  <c r="P6" i="18"/>
  <c r="BG7" i="18"/>
  <c r="AL7" i="18"/>
  <c r="H6" i="18"/>
  <c r="Y8" i="18"/>
  <c r="T2" i="18"/>
  <c r="BE2" i="18"/>
  <c r="AZ12" i="18"/>
  <c r="P12" i="18"/>
  <c r="AF2" i="18"/>
  <c r="F12" i="18"/>
  <c r="AE2" i="18"/>
  <c r="BE4" i="18"/>
  <c r="P10" i="18"/>
  <c r="BG4" i="18"/>
  <c r="G4" i="18"/>
  <c r="AR5" i="18"/>
  <c r="G2" i="18"/>
  <c r="AE12" i="18"/>
  <c r="AW3" i="18"/>
  <c r="AU2" i="18"/>
  <c r="AC3" i="18"/>
  <c r="AP3" i="18"/>
  <c r="AJ12" i="18"/>
  <c r="AL12" i="18"/>
  <c r="H10" i="18"/>
  <c r="G10" i="18"/>
  <c r="P3" i="18"/>
  <c r="P2" i="18"/>
  <c r="H3" i="18"/>
  <c r="H12" i="18"/>
  <c r="BI2" i="18"/>
  <c r="P11" i="18"/>
  <c r="AJ11" i="18"/>
  <c r="F10" i="18"/>
  <c r="BE3" i="18"/>
  <c r="AP10" i="18"/>
  <c r="T10" i="18"/>
  <c r="AL3" i="18"/>
  <c r="AE11" i="18"/>
  <c r="BG3" i="18"/>
  <c r="BG10" i="18"/>
  <c r="AW11" i="18"/>
  <c r="BI10" i="18"/>
  <c r="BE10" i="18"/>
  <c r="BI3" i="18"/>
  <c r="H2" i="18"/>
  <c r="AR2" i="18"/>
  <c r="AC12" i="18"/>
  <c r="AC2" i="18"/>
  <c r="Y5" i="18"/>
  <c r="AU9" i="18"/>
  <c r="BG11" i="18"/>
  <c r="AF9" i="18"/>
  <c r="AR11" i="18"/>
  <c r="Y10" i="18"/>
  <c r="AR12" i="18"/>
  <c r="AE9" i="18"/>
  <c r="G12" i="18"/>
  <c r="AW10" i="18"/>
  <c r="BG9" i="18"/>
  <c r="H9" i="18"/>
  <c r="AC10" i="18"/>
  <c r="AP12" i="18"/>
  <c r="AF10" i="18"/>
  <c r="AW12" i="18"/>
  <c r="T12" i="18"/>
  <c r="F2" i="18"/>
  <c r="AJ2" i="18"/>
  <c r="Y11" i="18"/>
  <c r="AF11" i="18"/>
  <c r="AL10" i="18"/>
  <c r="AW9" i="18"/>
  <c r="AR3" i="18"/>
  <c r="AF12" i="18"/>
  <c r="AP2" i="18"/>
  <c r="Y3" i="18"/>
  <c r="G9" i="18"/>
  <c r="AC11" i="18"/>
  <c r="F9" i="18"/>
  <c r="AZ9" i="18"/>
  <c r="T11" i="18"/>
  <c r="AZ10" i="18"/>
  <c r="AL11" i="18"/>
  <c r="AA11" i="18"/>
  <c r="AZ11" i="18"/>
  <c r="AP9" i="18"/>
  <c r="AC9" i="18"/>
  <c r="AR9" i="18"/>
  <c r="AJ3" i="18"/>
  <c r="G3" i="18"/>
  <c r="BE11" i="18"/>
  <c r="AA10" i="18"/>
  <c r="AZ3" i="18"/>
  <c r="AJ10" i="18"/>
  <c r="AA9" i="18"/>
  <c r="AL9" i="18"/>
  <c r="F3" i="18"/>
  <c r="BE12" i="18"/>
  <c r="Y9" i="18"/>
  <c r="AA2" i="18"/>
  <c r="F11" i="18"/>
  <c r="AE10" i="18"/>
  <c r="BE9" i="18"/>
  <c r="T9" i="18"/>
  <c r="AE3" i="18"/>
  <c r="AR10" i="18"/>
  <c r="Y2" i="18"/>
  <c r="AA3" i="18"/>
  <c r="G11" i="18"/>
  <c r="AU11" i="18"/>
  <c r="AP11" i="18"/>
  <c r="BI9" i="18"/>
  <c r="AN9" i="18" l="1"/>
  <c r="AN8" i="18"/>
  <c r="AN2" i="18"/>
  <c r="I12" i="18"/>
  <c r="I4" i="18"/>
  <c r="I8" i="18"/>
  <c r="I5" i="18"/>
  <c r="AN5" i="18"/>
  <c r="AN4" i="18"/>
  <c r="AN12" i="18"/>
  <c r="I6" i="18"/>
  <c r="I7" i="18"/>
  <c r="AN6" i="18"/>
  <c r="AN7" i="18"/>
  <c r="I2" i="18"/>
  <c r="I10" i="18"/>
  <c r="AN11" i="18"/>
  <c r="I9" i="18"/>
  <c r="D16" i="18"/>
  <c r="D21" i="18"/>
  <c r="D20" i="18"/>
  <c r="AN10" i="18"/>
  <c r="B20" i="18"/>
  <c r="B16" i="18"/>
  <c r="D18" i="18"/>
  <c r="D17" i="18"/>
  <c r="B21" i="18"/>
  <c r="B18" i="18"/>
  <c r="I11" i="18"/>
  <c r="D15" i="18"/>
  <c r="B15" i="18"/>
  <c r="B19" i="18"/>
  <c r="B22" i="18"/>
  <c r="AN3" i="18"/>
  <c r="I3" i="18"/>
  <c r="B17" i="18" l="1"/>
  <c r="K6" i="14" l="1"/>
  <c r="K4" i="14"/>
  <c r="K9" i="14"/>
  <c r="K11" i="14"/>
  <c r="K2" i="14"/>
  <c r="K8" i="14"/>
  <c r="K10" i="14"/>
  <c r="K3" i="14"/>
  <c r="K7" i="14"/>
  <c r="K5" i="14"/>
  <c r="AX8"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Allan Ferracioli</author>
  </authors>
  <commentList>
    <comment ref="AZ1" authorId="0" shapeId="0" xr:uid="{FC86F1B4-EAE7-4BAB-8DDC-54306F341882}">
      <text>
        <r>
          <rPr>
            <b/>
            <sz val="9"/>
            <color indexed="81"/>
            <rFont val="Segoe UI"/>
            <family val="2"/>
          </rPr>
          <t xml:space="preserve">Índice de impacto:
</t>
        </r>
        <r>
          <rPr>
            <sz val="9"/>
            <color indexed="81"/>
            <rFont val="Segoe UI"/>
            <family val="2"/>
          </rPr>
          <t>O</t>
        </r>
        <r>
          <rPr>
            <b/>
            <sz val="9"/>
            <color indexed="81"/>
            <rFont val="Segoe UI"/>
            <family val="2"/>
          </rPr>
          <t xml:space="preserve"> Índice de Impacto </t>
        </r>
        <r>
          <rPr>
            <sz val="9"/>
            <color indexed="81"/>
            <rFont val="Segoe UI"/>
            <family val="2"/>
          </rPr>
          <t>é uma métrica destinada a avaliar a influência de um goleiro no desempenho defensivo da equipe. O índice combina diferentes tipos de defesa, consistência ao longo das partidas e impacto individual nos resultados.</t>
        </r>
      </text>
    </comment>
    <comment ref="BN1" authorId="0" shapeId="0" xr:uid="{25326FD7-7603-439F-B026-4FCD331AF9E1}">
      <text>
        <r>
          <rPr>
            <b/>
            <sz val="9"/>
            <color indexed="81"/>
            <rFont val="Segoe UI"/>
            <family val="2"/>
          </rPr>
          <t>Mais um cálculo Moneyball-Mustermann.
É um cálculo que mede o "xG defendido por jogo" dividido pela "quantidade de clean sheets a cada 90 minutos".
Combinada com a métrica Expected Goals Prevented pode te entregar um goleiro de elite.</t>
        </r>
      </text>
    </comment>
    <comment ref="BO1" authorId="0" shapeId="0" xr:uid="{5DA1E79E-4736-4538-9696-4A6CD67AD7C7}">
      <text>
        <r>
          <rPr>
            <b/>
            <sz val="9"/>
            <color indexed="81"/>
            <rFont val="Segoe UI"/>
            <family val="2"/>
          </rPr>
          <t xml:space="preserve">O xGP ou Expected Goals Prevented </t>
        </r>
        <r>
          <rPr>
            <sz val="9"/>
            <color indexed="81"/>
            <rFont val="Segoe UI"/>
            <family val="2"/>
          </rPr>
          <t xml:space="preserve">é uma relação entre </t>
        </r>
        <r>
          <rPr>
            <b/>
            <sz val="9"/>
            <color indexed="81"/>
            <rFont val="Segoe UI"/>
            <family val="2"/>
          </rPr>
          <t>Clean Sheets (Sem gol)</t>
        </r>
        <r>
          <rPr>
            <sz val="9"/>
            <color indexed="81"/>
            <rFont val="Segoe UI"/>
            <family val="2"/>
          </rPr>
          <t xml:space="preserve"> e os </t>
        </r>
        <r>
          <rPr>
            <b/>
            <sz val="9"/>
            <color indexed="81"/>
            <rFont val="Segoe UI"/>
            <family val="2"/>
          </rPr>
          <t>xG defendidos</t>
        </r>
        <r>
          <rPr>
            <sz val="9"/>
            <color indexed="81"/>
            <rFont val="Segoe UI"/>
            <family val="2"/>
          </rPr>
          <t>.</t>
        </r>
        <r>
          <rPr>
            <b/>
            <sz val="9"/>
            <color indexed="81"/>
            <rFont val="Segoe UI"/>
            <family val="2"/>
          </rPr>
          <t xml:space="preserve">
Por exemplo: 
</t>
        </r>
        <r>
          <rPr>
            <sz val="9"/>
            <color indexed="81"/>
            <rFont val="Segoe UI"/>
            <family val="2"/>
          </rPr>
          <t>Se um goleiro enfrenta</t>
        </r>
        <r>
          <rPr>
            <b/>
            <sz val="9"/>
            <color indexed="81"/>
            <rFont val="Segoe UI"/>
            <family val="2"/>
          </rPr>
          <t xml:space="preserve"> 1.0 xG</t>
        </r>
        <r>
          <rPr>
            <sz val="9"/>
            <color indexed="81"/>
            <rFont val="Segoe UI"/>
            <family val="2"/>
          </rPr>
          <t xml:space="preserve"> por 90 minutos mas previne </t>
        </r>
        <r>
          <rPr>
            <b/>
            <sz val="9"/>
            <color indexed="81"/>
            <rFont val="Segoe UI"/>
            <family val="2"/>
          </rPr>
          <t>0.2</t>
        </r>
        <r>
          <rPr>
            <sz val="9"/>
            <color indexed="81"/>
            <rFont val="Segoe UI"/>
            <family val="2"/>
          </rPr>
          <t xml:space="preserve"> de</t>
        </r>
        <r>
          <rPr>
            <b/>
            <sz val="9"/>
            <color indexed="81"/>
            <rFont val="Segoe UI"/>
            <family val="2"/>
          </rPr>
          <t xml:space="preserve"> xG</t>
        </r>
        <r>
          <rPr>
            <sz val="9"/>
            <color indexed="81"/>
            <rFont val="Segoe UI"/>
            <family val="2"/>
          </rPr>
          <t xml:space="preserve">, ele preveniu </t>
        </r>
        <r>
          <rPr>
            <b/>
            <sz val="9"/>
            <color indexed="81"/>
            <rFont val="Segoe UI"/>
            <family val="2"/>
          </rPr>
          <t>20%</t>
        </r>
        <r>
          <rPr>
            <sz val="9"/>
            <color indexed="81"/>
            <rFont val="Segoe UI"/>
            <family val="2"/>
          </rPr>
          <t xml:space="preserve"> então o cálculo será </t>
        </r>
        <r>
          <rPr>
            <b/>
            <sz val="9"/>
            <color indexed="81"/>
            <rFont val="Segoe UI"/>
            <family val="2"/>
          </rPr>
          <t>20%</t>
        </r>
        <r>
          <rPr>
            <sz val="9"/>
            <color indexed="81"/>
            <rFont val="Segoe UI"/>
            <family val="2"/>
          </rPr>
          <t xml:space="preserve">.
</t>
        </r>
        <r>
          <rPr>
            <b/>
            <sz val="9"/>
            <color indexed="81"/>
            <rFont val="Segoe UI"/>
            <family val="2"/>
          </rPr>
          <t>Nota: Não é um valor 100% preciso, mas ajuda a contextualizar a métrica.</t>
        </r>
        <r>
          <rPr>
            <sz val="9"/>
            <color indexed="81"/>
            <rFont val="Segoe UI"/>
            <family val="2"/>
          </rPr>
          <t xml:space="preserve">
Créditos a </t>
        </r>
        <r>
          <rPr>
            <b/>
            <sz val="9"/>
            <color indexed="81"/>
            <rFont val="Segoe UI"/>
            <family val="2"/>
          </rPr>
          <t>MustermannFM</t>
        </r>
        <r>
          <rPr>
            <sz val="9"/>
            <color indexed="81"/>
            <rFont val="Segoe UI"/>
            <family val="2"/>
          </rPr>
          <t xml:space="preserve"> por esse cálculo.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Allan Ferracioli</author>
  </authors>
  <commentList>
    <comment ref="AV1" authorId="0" shapeId="0" xr:uid="{E567B958-6D25-4C65-AF51-6798EA1969D1}">
      <text>
        <r>
          <rPr>
            <b/>
            <sz val="9"/>
            <color indexed="81"/>
            <rFont val="Segoe UI"/>
            <family val="2"/>
          </rPr>
          <t xml:space="preserve">Nota:
</t>
        </r>
        <r>
          <rPr>
            <sz val="9"/>
            <color indexed="81"/>
            <rFont val="Segoe UI"/>
            <family val="2"/>
          </rPr>
          <t>Isso é uma estimativa. Não da pra ter 100% de certeza de quantos remates foram em cabeceio ou foram feitos com os pés.
Pode ter uma diferença de entre 5 a 15% para menos.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Allan Ferracioli</author>
  </authors>
  <commentList>
    <comment ref="CZ1" authorId="0" shapeId="0" xr:uid="{9DB25D38-98EB-49CC-BACD-8F05F80A168A}">
      <text>
        <r>
          <rPr>
            <b/>
            <sz val="9"/>
            <color indexed="81"/>
            <rFont val="Segoe UI"/>
            <family val="2"/>
          </rPr>
          <t>Uma métrica "Moneyball"
Quanto MENOR:
- melhor posicionamento
- menos corrida inútil
- leitura melhor
Porque ele intercepta mais sem precisar correr tanto.</t>
        </r>
      </text>
    </comment>
    <comment ref="DA1" authorId="0" shapeId="0" xr:uid="{51748500-4085-4F51-80CF-FBAC19E60B95}">
      <text>
        <r>
          <rPr>
            <b/>
            <sz val="9"/>
            <color indexed="81"/>
            <rFont val="Segoe UI"/>
            <family val="2"/>
          </rPr>
          <t>Uma métrica Moneyball.
Ajuda achar volante físico eficiente.
*Foque em volantes com mais km percorridos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author>
    <author>Allan Ferracioli</author>
  </authors>
  <commentList>
    <comment ref="BB1" authorId="0" shapeId="0" xr:uid="{00000000-0006-0000-0400-000001000000}">
      <text>
        <r>
          <rPr>
            <b/>
            <sz val="9"/>
            <color indexed="81"/>
            <rFont val="Segoe UI"/>
            <family val="2"/>
          </rPr>
          <t>Desarmes certos + Pressões certas + Interceptações Feitas + Posse Conquistada</t>
        </r>
      </text>
    </comment>
    <comment ref="DF1" authorId="1" shapeId="0" xr:uid="{7DF87762-A113-40F4-AC09-B191672DA1AC}">
      <text>
        <r>
          <rPr>
            <b/>
            <sz val="9"/>
            <color indexed="81"/>
            <rFont val="Segoe UI"/>
            <family val="2"/>
          </rPr>
          <t>Assistências esperadas - Assistências reais
Quantidade de assistências que eram esperadas para se consolidarem, e que se consolidaram ou não.
Quando negativo: Ele tem assistências que não eram esperadas.
Quando positivo: Desperdiçaram chances que se converteriam em assistências.</t>
        </r>
      </text>
    </comment>
    <comment ref="DL1" authorId="1" shapeId="0" xr:uid="{9D8006EA-A18C-4308-8241-C205A65DD1BD}">
      <text>
        <r>
          <rPr>
            <b/>
            <sz val="9"/>
            <color indexed="81"/>
            <rFont val="Segoe UI"/>
            <family val="2"/>
          </rPr>
          <t>Um cálculo que avalia jogadores esforçados. Dando pontuação por cada ação importante que esse jogador executou. Os mais esforçados, ganham mais pontos.
Não necessariamente quer dizer que são os melhores, apenas estão se dedicando mais em seus clubes.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Allan Ferracioli</author>
    <author>Usuario</author>
  </authors>
  <commentList>
    <comment ref="V1" authorId="0" shapeId="0" xr:uid="{B8017AEC-5D93-4A9F-A679-532EF4156F71}">
      <text>
        <r>
          <rPr>
            <b/>
            <sz val="9"/>
            <color indexed="81"/>
            <rFont val="Segoe UI"/>
            <family val="2"/>
          </rPr>
          <t>Nota:</t>
        </r>
        <r>
          <rPr>
            <sz val="9"/>
            <color indexed="81"/>
            <rFont val="Segoe UI"/>
            <family val="2"/>
          </rPr>
          <t xml:space="preserve">
</t>
        </r>
        <r>
          <rPr>
            <b/>
            <sz val="9"/>
            <color indexed="81"/>
            <rFont val="Segoe UI"/>
            <family val="2"/>
          </rPr>
          <t>As bolas paradas podem ser:</t>
        </r>
        <r>
          <rPr>
            <sz val="9"/>
            <color indexed="81"/>
            <rFont val="Segoe UI"/>
            <family val="2"/>
          </rPr>
          <t xml:space="preserve">
- Laterais
- Escanteios
- Faltas (Livres)
Então não se limita apenas a escanteios.
Por isso podem haver casos de números bem elevados.</t>
        </r>
      </text>
    </comment>
    <comment ref="BC1" authorId="0" shapeId="0" xr:uid="{0DBFAB62-4E88-4DCB-9DFE-4C9ABC3D276F}">
      <text>
        <r>
          <rPr>
            <b/>
            <sz val="9"/>
            <color indexed="81"/>
            <rFont val="Segoe UI"/>
            <family val="2"/>
          </rPr>
          <t xml:space="preserve">Flair Index (FI)
</t>
        </r>
        <r>
          <rPr>
            <sz val="9"/>
            <color indexed="81"/>
            <rFont val="Segoe UI"/>
            <family val="2"/>
          </rPr>
          <t xml:space="preserve">
O Flair Index é uma métrica que avalia a capacidade de um jogador criar vantagem ofensiva através da criatividade, progressão de jogo e geração de oportunidades para a equipe.
O índice avalia: Passes Chave, Em Progressão, Fintas e Oportunidades claras de gol</t>
        </r>
      </text>
    </comment>
    <comment ref="BR1" authorId="0" shapeId="0" xr:uid="{EF11CA76-042D-402A-BEBB-932F3D1576F5}">
      <text>
        <r>
          <rPr>
            <b/>
            <sz val="9"/>
            <color indexed="81"/>
            <rFont val="Segoe UI"/>
            <family val="2"/>
          </rPr>
          <t>Assistências esperadas - Assistências reais
Quantidade de assistências que eram esperadas para se consolidarem, e que se consolidaram ou não.
Quando negativo: Ele tem assistências que não eram esperadas.
Quando positivo: Desperdiçaram chances que se converteriam em assistências.</t>
        </r>
      </text>
    </comment>
    <comment ref="CI1" authorId="0" shapeId="0" xr:uid="{AA241735-68A0-4271-8C4F-AD1482166FF7}">
      <text>
        <r>
          <rPr>
            <b/>
            <sz val="9"/>
            <color indexed="81"/>
            <rFont val="Segoe UI"/>
            <family val="2"/>
          </rPr>
          <t>As vezes esses dados podem negativar. É erro do cálculo do jogo que diz que o jogador fez gols a menos do que ele mesmo aponta como gols que o jogador marcou de fora da área.
Exemplo:
Gols marcados: 0
Gols de fora da área: 1
Infelizmente é limitação da match engine.</t>
        </r>
      </text>
    </comment>
    <comment ref="CO1" authorId="1" shapeId="0" xr:uid="{00000000-0006-0000-0500-000001000000}">
      <text>
        <r>
          <rPr>
            <b/>
            <sz val="9"/>
            <color indexed="81"/>
            <rFont val="Segoe UI"/>
            <family val="2"/>
          </rPr>
          <t>Ações com Bola:</t>
        </r>
        <r>
          <rPr>
            <sz val="9"/>
            <color indexed="81"/>
            <rFont val="Segoe UI"/>
            <family val="2"/>
          </rPr>
          <t xml:space="preserve">
</t>
        </r>
        <r>
          <rPr>
            <b/>
            <sz val="10"/>
            <color indexed="81"/>
            <rFont val="Segoe UI"/>
            <family val="2"/>
          </rPr>
          <t>Cruzamentos Tentados, Remates tentados, Fintas, Passes decisivos em jogo aberto.</t>
        </r>
      </text>
    </comment>
    <comment ref="CS1" authorId="1" shapeId="0" xr:uid="{00000000-0006-0000-0500-000002000000}">
      <text>
        <r>
          <rPr>
            <b/>
            <sz val="9"/>
            <color indexed="81"/>
            <rFont val="Segoe UI"/>
            <family val="2"/>
          </rPr>
          <t>Nota: Nem sempre o melhor jogador é o que tem a melhor %.
A taxa de cruzamentos pode variar, pois depende de um segundo jogador pra completar a ação. Então não necesseriamente uma baixa % significaria que o jogador em questão erra muito.
Foque em consistência de tentativas e acertos.</t>
        </r>
      </text>
    </comment>
    <comment ref="CX1" authorId="0" shapeId="0" xr:uid="{AC418083-2A3A-4B26-B465-E4F17B70D3B9}">
      <text>
        <r>
          <rPr>
            <b/>
            <sz val="9"/>
            <color indexed="81"/>
            <rFont val="Segoe UI"/>
            <family val="2"/>
          </rPr>
          <t>Cálculo Moneyball:
Índice de Criação Ofensiva (ICO): métrica que avalia o impacto criativo e ofensivo de um jogador com base na geração de perigo real, progressão de jogo e produção ofensiva ajustadas por 90 minutos.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Allan Ferracioli</author>
    <author>Usuario</author>
  </authors>
  <commentList>
    <comment ref="AP1" authorId="0" shapeId="0" xr:uid="{7FC317A3-031A-4963-A307-8457A8B217E4}">
      <text>
        <r>
          <rPr>
            <b/>
            <sz val="9"/>
            <color indexed="81"/>
            <rFont val="Segoe UI"/>
            <family val="2"/>
          </rPr>
          <t>Nota:</t>
        </r>
        <r>
          <rPr>
            <sz val="9"/>
            <color indexed="81"/>
            <rFont val="Segoe UI"/>
            <family val="2"/>
          </rPr>
          <t xml:space="preserve">
</t>
        </r>
        <r>
          <rPr>
            <b/>
            <sz val="9"/>
            <color indexed="81"/>
            <rFont val="Segoe UI"/>
            <family val="2"/>
          </rPr>
          <t>As bolas paradas podem ser:</t>
        </r>
        <r>
          <rPr>
            <sz val="9"/>
            <color indexed="81"/>
            <rFont val="Segoe UI"/>
            <family val="2"/>
          </rPr>
          <t xml:space="preserve">
- Laterais
- Escanteios
- Faltas (Livres)
Então não se limita apenas a escanteios.
Por isso podem haver casos de números bem elevados.</t>
        </r>
      </text>
    </comment>
    <comment ref="BY1" authorId="1" shapeId="0" xr:uid="{00000000-0006-0000-0600-000001000000}">
      <text>
        <r>
          <rPr>
            <b/>
            <sz val="9"/>
            <color indexed="81"/>
            <rFont val="Segoe UI"/>
            <family val="2"/>
          </rPr>
          <t>GPI:
O GPI (Goal Probability Index) é uma métrica que avalia a eficácia de um atacante em converter chances de gol e contribuir para o desempenho ofensivo do time. Ele considera tanto a qualidade das oportunidades criadas quanto a eficiência do jogador em transformá-las em gols.
Interpretação:
Eficiência: A relação entre Gols Marcados e xG mostra se o atacante está convertendo as chances conforme o esperado ou se está superando as expectativas.
Identifica atacantes com alta eficiência e contribuição ofensiva, mesmo que não sejam os que mais marcam gols.
Ajuda na decisão de contratações, valorizando jogadores com desempenho sólido e consistente.
É um cálculo inspirado e com base nos cálculos utilizados no método "Moneyball".</t>
        </r>
      </text>
    </comment>
    <comment ref="CV1" authorId="0" shapeId="0" xr:uid="{ABC0FB5B-599E-42B5-B071-DCACE7146682}">
      <text>
        <r>
          <rPr>
            <b/>
            <sz val="9"/>
            <color indexed="81"/>
            <rFont val="Segoe UI"/>
            <family val="2"/>
          </rPr>
          <t xml:space="preserve">Quando negativos:
</t>
        </r>
        <r>
          <rPr>
            <sz val="9"/>
            <color indexed="81"/>
            <rFont val="Segoe UI"/>
            <family val="2"/>
          </rPr>
          <t>A Equipe desperdiçou</t>
        </r>
        <r>
          <rPr>
            <b/>
            <sz val="9"/>
            <color indexed="81"/>
            <rFont val="Segoe UI"/>
            <family val="2"/>
          </rPr>
          <t xml:space="preserve">
Quando positivos:
</t>
        </r>
        <r>
          <rPr>
            <sz val="9"/>
            <color indexed="81"/>
            <rFont val="Segoe UI"/>
            <family val="2"/>
          </rPr>
          <t>A equipe concluiu chances não esperadas.</t>
        </r>
      </text>
    </comment>
    <comment ref="EB1" authorId="1" shapeId="0" xr:uid="{00000000-0006-0000-0600-000002000000}">
      <text>
        <r>
          <rPr>
            <b/>
            <sz val="9"/>
            <color indexed="81"/>
            <rFont val="Segoe UI"/>
            <family val="2"/>
          </rPr>
          <t>Ações com Bola:</t>
        </r>
        <r>
          <rPr>
            <sz val="9"/>
            <color indexed="81"/>
            <rFont val="Segoe UI"/>
            <family val="2"/>
          </rPr>
          <t xml:space="preserve">
</t>
        </r>
        <r>
          <rPr>
            <b/>
            <sz val="10"/>
            <color indexed="81"/>
            <rFont val="Segoe UI"/>
            <family val="2"/>
          </rPr>
          <t>Cruzamentos Tentados, Remates tentados, Fintas, Passes decisivos em jogo aberto.</t>
        </r>
      </text>
    </comment>
    <comment ref="EF1" authorId="1" shapeId="0" xr:uid="{00000000-0006-0000-0600-000003000000}">
      <text>
        <r>
          <rPr>
            <b/>
            <sz val="9"/>
            <color indexed="81"/>
            <rFont val="Segoe UI"/>
            <family val="2"/>
          </rPr>
          <t>Nota: Nem sempre o melhor jogador é o que tem a melhor %.
A taxa de cruzamentos pode variar, pois depende de um segundo jogador pra completar a ação. Então não necesseriamente uma baixa % significaria que o jogador em questão erra muito.
Foque em consistência de tentativas e acertos.</t>
        </r>
      </text>
    </comment>
    <comment ref="EG1" authorId="1" shapeId="0" xr:uid="{00000000-0006-0000-0600-000004000000}">
      <text>
        <r>
          <rPr>
            <b/>
            <sz val="9"/>
            <color indexed="81"/>
            <rFont val="Segoe UI"/>
            <family val="2"/>
          </rPr>
          <t xml:space="preserve">Nessa lista:
</t>
        </r>
        <r>
          <rPr>
            <sz val="9"/>
            <color indexed="81"/>
            <rFont val="Segoe UI"/>
            <family val="2"/>
          </rPr>
          <t>- Remates tentados
- Fintas feitas
- Cruzamentos feitos
- Passes decisivos</t>
        </r>
        <r>
          <rPr>
            <b/>
            <sz val="9"/>
            <color indexed="81"/>
            <rFont val="Segoe UI"/>
            <family val="2"/>
          </rPr>
          <t xml:space="preserve">
</t>
        </r>
        <r>
          <rPr>
            <sz val="9"/>
            <color indexed="81"/>
            <rFont val="Segoe UI"/>
            <family val="2"/>
          </rPr>
          <t>- Oportunidades claras de gol</t>
        </r>
      </text>
    </comment>
    <comment ref="EK1" authorId="0" shapeId="0" xr:uid="{699F5AAC-F50E-4541-B55A-58B1D727F60B}">
      <text>
        <r>
          <rPr>
            <b/>
            <sz val="9"/>
            <color indexed="81"/>
            <rFont val="Segoe UI"/>
            <family val="2"/>
          </rPr>
          <t>Cálculo à la Moneyball:</t>
        </r>
        <r>
          <rPr>
            <sz val="9"/>
            <color indexed="81"/>
            <rFont val="Segoe UI"/>
            <family val="2"/>
          </rPr>
          <t xml:space="preserve">
O Índice de Perigo Ofensivo (IPO) mede o quanto um jogador gera ameaça constante ao adversário por 90 minutos. O cálculo avalia volume ofensivo, finalizações, precisão nos remates, participação em gols e intensidade física, identificando atletas que se movimentam bem, aparecem toda hora no ataque e criam perigo continuamente — não apenas jogadores que dependem de gols ocasionais.</t>
        </r>
      </text>
    </comment>
    <comment ref="EL1" authorId="0" shapeId="0" xr:uid="{3D81E9F1-C7BF-4A44-89E7-C22ED323B755}">
      <text>
        <r>
          <rPr>
            <b/>
            <sz val="9"/>
            <color indexed="81"/>
            <rFont val="Segoe UI"/>
            <family val="2"/>
          </rPr>
          <t>Dados à la Moneyball:</t>
        </r>
        <r>
          <rPr>
            <sz val="9"/>
            <color indexed="81"/>
            <rFont val="Segoe UI"/>
            <family val="2"/>
          </rPr>
          <t xml:space="preserve">
O Índice de Volume Ofensivo (IVO) mede a frequência e intensidade com que um jogador participa das ações ofensivas, avaliando sua capacidade de gerar pressão, criar jogadas e produzir perigo constantemente ao longo da partida.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O1" authorId="0" shapeId="0" xr:uid="{00000000-0006-0000-0800-000001000000}">
      <text>
        <r>
          <rPr>
            <b/>
            <sz val="9"/>
            <color indexed="81"/>
            <rFont val="Segoe UI"/>
            <family val="2"/>
          </rPr>
          <t>Ações com Bola:</t>
        </r>
        <r>
          <rPr>
            <sz val="9"/>
            <color indexed="81"/>
            <rFont val="Segoe UI"/>
            <family val="2"/>
          </rPr>
          <t xml:space="preserve">
</t>
        </r>
        <r>
          <rPr>
            <b/>
            <sz val="10"/>
            <color indexed="81"/>
            <rFont val="Segoe UI"/>
            <family val="2"/>
          </rPr>
          <t>Cruzamentos Tentados, Remates tentados, Fintas, Passes decisivos em jogo aberto.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Allan Ferracioli</author>
    <author>Usuario</author>
  </authors>
  <commentList>
    <comment ref="DF1" authorId="0" shapeId="0" xr:uid="{6160FB8E-7E9C-4C70-B730-18DAAD0D530D}">
      <text>
        <r>
          <rPr>
            <b/>
            <sz val="9"/>
            <color indexed="81"/>
            <rFont val="Segoe UI"/>
            <family val="2"/>
          </rPr>
          <t xml:space="preserve">Flair Index (FI)
</t>
        </r>
        <r>
          <rPr>
            <sz val="9"/>
            <color indexed="81"/>
            <rFont val="Segoe UI"/>
            <family val="2"/>
          </rPr>
          <t xml:space="preserve">
O Flair Index é uma métrica que avalia a capacidade de um jogador criar vantagem ofensiva através da criatividade, progressão de jogo e geração de oportunidades para a equipe.
O índice avalia: Passes Chave, Em Progressão, Fintas e Oportunidades claras de gol</t>
        </r>
      </text>
    </comment>
    <comment ref="EO1" authorId="0" shapeId="0" xr:uid="{ED2AFDBA-6038-40CD-948F-C16634F8A75F}">
      <text>
        <r>
          <rPr>
            <b/>
            <sz val="9"/>
            <color indexed="81"/>
            <rFont val="Segoe UI"/>
            <family val="2"/>
          </rPr>
          <t>Ações com Bola:
Cruzamentos Tentados, Remates tentados, Fintas, Passes decisivos em jogo aberto</t>
        </r>
        <r>
          <rPr>
            <sz val="9"/>
            <color indexed="81"/>
            <rFont val="Segoe UI"/>
            <family val="2"/>
          </rPr>
          <t xml:space="preserve">
</t>
        </r>
      </text>
    </comment>
    <comment ref="EQ1" authorId="1" shapeId="0" xr:uid="{000FDE96-CFA4-445A-A34A-B5EEF85A5F12}">
      <text>
        <r>
          <rPr>
            <b/>
            <sz val="9"/>
            <color indexed="81"/>
            <rFont val="Segoe UI"/>
            <family val="2"/>
          </rPr>
          <t>Ações com Bola:</t>
        </r>
        <r>
          <rPr>
            <sz val="9"/>
            <color indexed="81"/>
            <rFont val="Segoe UI"/>
            <family val="2"/>
          </rPr>
          <t xml:space="preserve">
</t>
        </r>
        <r>
          <rPr>
            <b/>
            <sz val="10"/>
            <color indexed="81"/>
            <rFont val="Segoe UI"/>
            <family val="2"/>
          </rPr>
          <t>Cruzamentos Tentados, Remates tentados, Fintas, Passes decisivos em jogo aberto.</t>
        </r>
      </text>
    </comment>
    <comment ref="FB1" authorId="1" shapeId="0" xr:uid="{00000000-0006-0000-0700-000002000000}">
      <text>
        <r>
          <rPr>
            <b/>
            <sz val="9"/>
            <color indexed="81"/>
            <rFont val="Segoe UI"/>
            <family val="2"/>
          </rPr>
          <t>Usuario:</t>
        </r>
        <r>
          <rPr>
            <sz val="9"/>
            <color indexed="81"/>
            <rFont val="Segoe UI"/>
            <family val="2"/>
          </rPr>
          <t xml:space="preserve">
A soma de todas as notas que o jogador recebeu até então.
Exemplo: Duas partidas nota 7,0 equivalem a uma Pontuação recebida de 14,0.</t>
        </r>
      </text>
    </comment>
  </commentList>
</comments>
</file>

<file path=xl/sharedStrings.xml><?xml version="1.0" encoding="utf-8"?>
<sst xmlns="http://schemas.openxmlformats.org/spreadsheetml/2006/main" count="3142" uniqueCount="1696">
  <si>
    <t>Clube</t>
  </si>
  <si>
    <t>Idade</t>
  </si>
  <si>
    <t>Valor Estimado</t>
  </si>
  <si>
    <t>Salário</t>
  </si>
  <si>
    <t>OCG</t>
  </si>
  <si>
    <t>Pens</t>
  </si>
  <si>
    <t>Golos DS</t>
  </si>
  <si>
    <t>xG</t>
  </si>
  <si>
    <t>Remates</t>
  </si>
  <si>
    <t>Rem %</t>
  </si>
  <si>
    <t>Fnt</t>
  </si>
  <si>
    <t>Cab A</t>
  </si>
  <si>
    <t>Fj</t>
  </si>
  <si>
    <t>BRA</t>
  </si>
  <si>
    <t>Inf</t>
  </si>
  <si>
    <t>Pas A</t>
  </si>
  <si>
    <t>Ps C</t>
  </si>
  <si>
    <t>Cabs</t>
  </si>
  <si>
    <t>Distância</t>
  </si>
  <si>
    <t>Prt</t>
  </si>
  <si>
    <t>Jogador</t>
  </si>
  <si>
    <t>Valor</t>
  </si>
  <si>
    <t>Gols</t>
  </si>
  <si>
    <t>Gols+Ass</t>
  </si>
  <si>
    <t>Assist</t>
  </si>
  <si>
    <t>Nota média</t>
  </si>
  <si>
    <t>Faltas sofridas</t>
  </si>
  <si>
    <t>Passes errados</t>
  </si>
  <si>
    <t>Equipe</t>
  </si>
  <si>
    <t>Altura</t>
  </si>
  <si>
    <t>HdJ</t>
  </si>
  <si>
    <t>Sem golos sofridos</t>
  </si>
  <si>
    <t>Sofridos / jogo</t>
  </si>
  <si>
    <t>Defesas totais / Jogo</t>
  </si>
  <si>
    <t>Clean Sheet</t>
  </si>
  <si>
    <t>Man of the match</t>
  </si>
  <si>
    <t>Falhas</t>
  </si>
  <si>
    <t>Pé Preferido</t>
  </si>
  <si>
    <t>Crt</t>
  </si>
  <si>
    <t>Int/90</t>
  </si>
  <si>
    <t>Desarmes ganhos</t>
  </si>
  <si>
    <t>Passes errados / 90</t>
  </si>
  <si>
    <t>Fintas / 90</t>
  </si>
  <si>
    <t>Passes certos</t>
  </si>
  <si>
    <t>Cruzamentos</t>
  </si>
  <si>
    <t>Crt D</t>
  </si>
  <si>
    <t>Alívios</t>
  </si>
  <si>
    <t>Interceptações /90</t>
  </si>
  <si>
    <t>Interceptações feitas</t>
  </si>
  <si>
    <t>Passes completados</t>
  </si>
  <si>
    <t>Gols sem pênalti</t>
  </si>
  <si>
    <t>Média gols / partida</t>
  </si>
  <si>
    <t>Cabeceios disputados</t>
  </si>
  <si>
    <t>Ganhos</t>
  </si>
  <si>
    <t>% Cabs ganhos</t>
  </si>
  <si>
    <t>Finalizações pra um gol</t>
  </si>
  <si>
    <t>Gols não esperados</t>
  </si>
  <si>
    <t>Amr</t>
  </si>
  <si>
    <t>Vermelhos</t>
  </si>
  <si>
    <t>Assistências</t>
  </si>
  <si>
    <t>Gols + Ass</t>
  </si>
  <si>
    <t>Amarelos</t>
  </si>
  <si>
    <t>Total cartões</t>
  </si>
  <si>
    <t>Faltas cometidas</t>
  </si>
  <si>
    <t>% Des Ganhos</t>
  </si>
  <si>
    <t>Cabs disputados</t>
  </si>
  <si>
    <t>Cabs ganhos</t>
  </si>
  <si>
    <t>Cabs perdidos</t>
  </si>
  <si>
    <t>Chances criadas / 90</t>
  </si>
  <si>
    <t>Passes decisivos</t>
  </si>
  <si>
    <t>% Passes certos</t>
  </si>
  <si>
    <t>Passes tentados</t>
  </si>
  <si>
    <t>Passes certos  - errados / Jogo</t>
  </si>
  <si>
    <t>Passes decisivos / jogos</t>
  </si>
  <si>
    <t>Dist / 90</t>
  </si>
  <si>
    <t>Passes Tentados</t>
  </si>
  <si>
    <t>% passes errados</t>
  </si>
  <si>
    <t>Defesas totais</t>
  </si>
  <si>
    <t>Passes certos - errados</t>
  </si>
  <si>
    <t>Finalizações certas pra um gol</t>
  </si>
  <si>
    <t>Data Final do contrato</t>
  </si>
  <si>
    <t>Expira</t>
  </si>
  <si>
    <t>Data final de contrato</t>
  </si>
  <si>
    <t>Fim de contrato</t>
  </si>
  <si>
    <t>Fintas</t>
  </si>
  <si>
    <t>Cr T</t>
  </si>
  <si>
    <t>Cr C</t>
  </si>
  <si>
    <t>Bolas enfrentadas</t>
  </si>
  <si>
    <t>Valor estimado</t>
  </si>
  <si>
    <t>%Faltas limpas (Sem cartão)</t>
  </si>
  <si>
    <t>Faltas sem cartão</t>
  </si>
  <si>
    <t>Lances disputados</t>
  </si>
  <si>
    <t>% Lances disputados e ganhos de forma limpa</t>
  </si>
  <si>
    <t>Lances disputados e ganhos de forma limpa</t>
  </si>
  <si>
    <t>Cartões por falta cometida</t>
  </si>
  <si>
    <t>Pens M</t>
  </si>
  <si>
    <t>T Desa</t>
  </si>
  <si>
    <t>% Cabs</t>
  </si>
  <si>
    <t>Pass D / 90</t>
  </si>
  <si>
    <t>Pass D /90</t>
  </si>
  <si>
    <t>Des/90</t>
  </si>
  <si>
    <t>Chances criadas e não aproveitadas pela equipe / 90</t>
  </si>
  <si>
    <t>% Des</t>
  </si>
  <si>
    <t>Desarmes Ganhos</t>
  </si>
  <si>
    <t>Lances disputados e ganhos sem falta</t>
  </si>
  <si>
    <t>% Lances disputados e ganhos</t>
  </si>
  <si>
    <t>% Def Seguras</t>
  </si>
  <si>
    <t>xG / chute</t>
  </si>
  <si>
    <t>xG / Jogo</t>
  </si>
  <si>
    <t>Média de gols em toda a Carreira</t>
  </si>
  <si>
    <t>Faltas Sof / jogo</t>
  </si>
  <si>
    <t>Jogos completos</t>
  </si>
  <si>
    <t>Data Final de Contrato</t>
  </si>
  <si>
    <t>Gols na carreira</t>
  </si>
  <si>
    <t>% Gols (sem penalti)</t>
  </si>
  <si>
    <t>% Ass</t>
  </si>
  <si>
    <t>% Pênaltis</t>
  </si>
  <si>
    <t>Média gols + ass / partida</t>
  </si>
  <si>
    <t>Ass / 90</t>
  </si>
  <si>
    <t>Jogos Completos</t>
  </si>
  <si>
    <t>Criação / 90</t>
  </si>
  <si>
    <t>Participação / 90</t>
  </si>
  <si>
    <t>Participação em passes / 90</t>
  </si>
  <si>
    <t>Tentativas de marcar um gol / 90</t>
  </si>
  <si>
    <t>Participação do jogador a cada 90 minutos</t>
  </si>
  <si>
    <t>Des Tentados / 90</t>
  </si>
  <si>
    <t>Desarmes Conseguidos / 90</t>
  </si>
  <si>
    <t>% Cabeceios ganhos</t>
  </si>
  <si>
    <t>Cruzamentos Conseguidos</t>
  </si>
  <si>
    <t>Bolas roubadas / 90</t>
  </si>
  <si>
    <t>Lances defensivos tentados</t>
  </si>
  <si>
    <t>Lances defensivos conseguidos</t>
  </si>
  <si>
    <t>Eficácia defensiva</t>
  </si>
  <si>
    <t>Lances DEF tentados / 90</t>
  </si>
  <si>
    <t>Lances DEF conseguidos / 90</t>
  </si>
  <si>
    <t>Taxa de acerto</t>
  </si>
  <si>
    <t>Acertos/90</t>
  </si>
  <si>
    <t>Ganhos /90</t>
  </si>
  <si>
    <t>Gols/90</t>
  </si>
  <si>
    <t>Bolas enf /90</t>
  </si>
  <si>
    <t>Participação por jogo (passes, fnt, fin, criação, roubadas de bola, etc)</t>
  </si>
  <si>
    <t>Gols / 90</t>
  </si>
  <si>
    <t>Participação do jogador a cada 90 minutos (fnt, cabs, pass, finalizaçõs)</t>
  </si>
  <si>
    <t>Ast/90</t>
  </si>
  <si>
    <t>Pass C / 90</t>
  </si>
  <si>
    <t>Bolas enfrentadas pra sofrer um gol</t>
  </si>
  <si>
    <t>Bolas dificeis enfrentadas pra sofrer 1 gol</t>
  </si>
  <si>
    <t>Cabs Disputados /90</t>
  </si>
  <si>
    <t>xG Defendidos</t>
  </si>
  <si>
    <t>xG defendidos / 90</t>
  </si>
  <si>
    <t>xGD</t>
  </si>
  <si>
    <t>Posse Ganha/90</t>
  </si>
  <si>
    <t>Poss Con/90</t>
  </si>
  <si>
    <t>xA</t>
  </si>
  <si>
    <t>Sprints/90</t>
  </si>
  <si>
    <t>Sprints / 90</t>
  </si>
  <si>
    <t>Assistências Esperadas xA</t>
  </si>
  <si>
    <t>Passes Tentados /90</t>
  </si>
  <si>
    <t>Fintas/90</t>
  </si>
  <si>
    <t>Pênaltis enfrentados</t>
  </si>
  <si>
    <t>% Pênaltis defendidos</t>
  </si>
  <si>
    <t>Minutos pra sofrer um gol</t>
  </si>
  <si>
    <t>nPen xG (xG=0,79)</t>
  </si>
  <si>
    <t>Fora de jogo</t>
  </si>
  <si>
    <t>Sprints de alta intensidade/90</t>
  </si>
  <si>
    <t>Um passe errado a cada...</t>
  </si>
  <si>
    <t>Poss Perd/90</t>
  </si>
  <si>
    <t>Posse perdida /90</t>
  </si>
  <si>
    <t>Fintas /90</t>
  </si>
  <si>
    <t>Desarmes Tentados</t>
  </si>
  <si>
    <t>Movimentos ofensivos tentados</t>
  </si>
  <si>
    <t>Movimentos ofensivos conseguidos</t>
  </si>
  <si>
    <t>Movimentos ofensivos com sucesso</t>
  </si>
  <si>
    <t>Mov Of / 90</t>
  </si>
  <si>
    <t>Cab Dec/90</t>
  </si>
  <si>
    <t>Sucesso (Overall)</t>
  </si>
  <si>
    <t>Press. tent.</t>
  </si>
  <si>
    <t>Press. conc.</t>
  </si>
  <si>
    <t>Gols + A/90</t>
  </si>
  <si>
    <t>Assistência /90</t>
  </si>
  <si>
    <t>Lances ofensivos Tentados</t>
  </si>
  <si>
    <t>Lances ofensivos tentados/90</t>
  </si>
  <si>
    <t>Lances OF conseguidos</t>
  </si>
  <si>
    <t>Lances OF conseguidos/90</t>
  </si>
  <si>
    <t>% Lances ofensivos conseguidos</t>
  </si>
  <si>
    <t>Lances defensivos Tentados</t>
  </si>
  <si>
    <t>Lances defensivos tentados/90</t>
  </si>
  <si>
    <t>Lances DEF conseguidos</t>
  </si>
  <si>
    <t>Lances DEF conseguidos/90</t>
  </si>
  <si>
    <t>% Lances defensivos conseguidos</t>
  </si>
  <si>
    <t>Lances Tentados (Ataque e Defesa)</t>
  </si>
  <si>
    <t>Lances Conseguidos (ATA e DEF)</t>
  </si>
  <si>
    <t>% Acertos Global</t>
  </si>
  <si>
    <t>Criação/90</t>
  </si>
  <si>
    <t>Tentativas de marcar um gol</t>
  </si>
  <si>
    <t>Ações no último terço / 90</t>
  </si>
  <si>
    <t>Proporção de posse Ganha - Perdida</t>
  </si>
  <si>
    <t>% Pressão pra roubar a bola com sucesso</t>
  </si>
  <si>
    <t>Lances ganhos</t>
  </si>
  <si>
    <t>%Des Ganhos</t>
  </si>
  <si>
    <t>Distância percorrida/90</t>
  </si>
  <si>
    <t>NAC</t>
  </si>
  <si>
    <t>Gols + Assist</t>
  </si>
  <si>
    <t>Fora de jogo/90</t>
  </si>
  <si>
    <t>Finalização ou Cabeceio pra um gol</t>
  </si>
  <si>
    <t>Posse Perdida/90</t>
  </si>
  <si>
    <t>Des disputados /90</t>
  </si>
  <si>
    <t>Lances Conseguidos</t>
  </si>
  <si>
    <t>% Acerto</t>
  </si>
  <si>
    <t>Passes Completados /90</t>
  </si>
  <si>
    <t>Chances de Sofrer um gol/90</t>
  </si>
  <si>
    <t>Movimentos de pressão tentados</t>
  </si>
  <si>
    <t>Mov Press T/90</t>
  </si>
  <si>
    <t>Movimentos de pressão ganhos</t>
  </si>
  <si>
    <t>Mov Press Ganhos /90</t>
  </si>
  <si>
    <t>% Pressão ganha/90</t>
  </si>
  <si>
    <t>Média de jogos</t>
  </si>
  <si>
    <t>Pé preferido</t>
  </si>
  <si>
    <t>Ações tentadas</t>
  </si>
  <si>
    <t>Ações com sucesso</t>
  </si>
  <si>
    <t>% Acerto do goleiro</t>
  </si>
  <si>
    <t>Rems Bloq</t>
  </si>
  <si>
    <t>Interceptação + Recuperação de bola/90</t>
  </si>
  <si>
    <t>Pênaltis marcados</t>
  </si>
  <si>
    <t>Pênaltis perdidos</t>
  </si>
  <si>
    <t>% Conversão de pênalti</t>
  </si>
  <si>
    <t>Pênaltis batidos</t>
  </si>
  <si>
    <t>Gols de Penaltis</t>
  </si>
  <si>
    <t>Tentativas de Remates de fora da área /90</t>
  </si>
  <si>
    <t>Participações do jogador</t>
  </si>
  <si>
    <t>Dribles sofridos</t>
  </si>
  <si>
    <t>Dribles sofridos /90</t>
  </si>
  <si>
    <t>Dribles Sofridos</t>
  </si>
  <si>
    <t>Ações que geraram finalizações ao gol</t>
  </si>
  <si>
    <t>Ações que geraram finalizações ao gol /90</t>
  </si>
  <si>
    <t>Finalizações no gol</t>
  </si>
  <si>
    <t>Finalizações (Total)</t>
  </si>
  <si>
    <t>Dribles Sofridos /90</t>
  </si>
  <si>
    <t>Blq</t>
  </si>
  <si>
    <t>Faltas cometidas /90</t>
  </si>
  <si>
    <t>Lances disputados /90</t>
  </si>
  <si>
    <t>Lances disputados e ganhos sem falta /90</t>
  </si>
  <si>
    <t>Lances Tentados /90</t>
  </si>
  <si>
    <t>Lances Tentados (Remate, Passe, Finta, etc)</t>
  </si>
  <si>
    <t>Lances Conseguidos /90</t>
  </si>
  <si>
    <t>Sprints /90</t>
  </si>
  <si>
    <t>% Faltas que geraram um cartão</t>
  </si>
  <si>
    <t>Cartões /90</t>
  </si>
  <si>
    <t>Cartões recebidos</t>
  </si>
  <si>
    <t>Cartões vermelhos</t>
  </si>
  <si>
    <t>Cartões amarelos</t>
  </si>
  <si>
    <t>% de disputas perdidas</t>
  </si>
  <si>
    <t>Faltas cometidas/90</t>
  </si>
  <si>
    <t>Bolas disputadas e perdidas /90</t>
  </si>
  <si>
    <t>Bolas disputadas e perdidas com o adversário</t>
  </si>
  <si>
    <t>% Bolas disputadas e ganhas</t>
  </si>
  <si>
    <t>Bolas disputadas e ganhas /90</t>
  </si>
  <si>
    <t>Bolas disputadas e ganhas do adversário</t>
  </si>
  <si>
    <t>Bolas disputadas /90</t>
  </si>
  <si>
    <t>Bolas disputadas com o adversário</t>
  </si>
  <si>
    <t>Bolas roubadas /90</t>
  </si>
  <si>
    <t>Bolas roubadas do adversário</t>
  </si>
  <si>
    <t>Bolas interceptadas /90</t>
  </si>
  <si>
    <t>Bolas interceptadas</t>
  </si>
  <si>
    <t>Tentativa de criar um gol ou jogada ofensiva/ 90</t>
  </si>
  <si>
    <t>% Passes errados</t>
  </si>
  <si>
    <t>Passes Errados /90</t>
  </si>
  <si>
    <t>Passes Errados</t>
  </si>
  <si>
    <t>% Passes em progressão em relação aos curtos</t>
  </si>
  <si>
    <t>Passes em progressão/90</t>
  </si>
  <si>
    <t>Passe que são em progressão</t>
  </si>
  <si>
    <t>Passes que são curtos</t>
  </si>
  <si>
    <t>% Acerto dos passes</t>
  </si>
  <si>
    <t>Passes Certos /90</t>
  </si>
  <si>
    <t>Passes Certos</t>
  </si>
  <si>
    <t>Desarmes Ganhos/90</t>
  </si>
  <si>
    <t>Desarmes Tentados /90</t>
  </si>
  <si>
    <t>Rem Bloqueados, Interceptações  e Bloqueios/90</t>
  </si>
  <si>
    <t>Remates bloqueados /90</t>
  </si>
  <si>
    <t>Remates bloqueados</t>
  </si>
  <si>
    <t>% Cabeceios perdidos</t>
  </si>
  <si>
    <t>Cabeceios Perdidos /90</t>
  </si>
  <si>
    <t>Cabeceios Perdidos</t>
  </si>
  <si>
    <t>% Cabeceios Ganhos</t>
  </si>
  <si>
    <t>Cabeceios Ganhos /90</t>
  </si>
  <si>
    <t>Cabeceios Ganhos (Total)</t>
  </si>
  <si>
    <t>Cabeceios Tentados /90</t>
  </si>
  <si>
    <t>Cabeceios Tentados (Total)</t>
  </si>
  <si>
    <t>Erros que originaram gols /90</t>
  </si>
  <si>
    <t>Erros que geraram gol adversário</t>
  </si>
  <si>
    <t>Gols + Ast/90</t>
  </si>
  <si>
    <t>Gols+Ast</t>
  </si>
  <si>
    <t xml:space="preserve"> </t>
  </si>
  <si>
    <t>% de jogos sem sofrer gol</t>
  </si>
  <si>
    <t>Bolas roubadas</t>
  </si>
  <si>
    <t>Bolas int/90</t>
  </si>
  <si>
    <t>Chances de perigo criadas</t>
  </si>
  <si>
    <t>Chances de perigo criadas /90</t>
  </si>
  <si>
    <t>Passes em construção de jogada ofensiva</t>
  </si>
  <si>
    <t>Passes em construção de jog OF /90</t>
  </si>
  <si>
    <t>Passes curtos certos /90</t>
  </si>
  <si>
    <t>Gols /90</t>
  </si>
  <si>
    <t>Assist /90</t>
  </si>
  <si>
    <t>Gols de fora da área</t>
  </si>
  <si>
    <t>% Conclusão dos chutes de fora da área</t>
  </si>
  <si>
    <t>Gols de pen/90</t>
  </si>
  <si>
    <t>Pênaltis Defendidos</t>
  </si>
  <si>
    <t>Soma de todas as bolas enfrentadas</t>
  </si>
  <si>
    <t>Faltas Sofridas</t>
  </si>
  <si>
    <t>Faltas Sof/90</t>
  </si>
  <si>
    <t>Passes C / 90</t>
  </si>
  <si>
    <t>xA (assistências esperadas)</t>
  </si>
  <si>
    <t>xA + xG /90</t>
  </si>
  <si>
    <t>Finalizações no Gol</t>
  </si>
  <si>
    <t>Finalizações /90</t>
  </si>
  <si>
    <t>Gols esperados (xG)</t>
  </si>
  <si>
    <t>xG /90</t>
  </si>
  <si>
    <t>xG (Sem pênaltis)</t>
  </si>
  <si>
    <t>xG (Sem pênaltis) /90</t>
  </si>
  <si>
    <t>Assistências Esperadas (xA)</t>
  </si>
  <si>
    <t>xA /90</t>
  </si>
  <si>
    <t>Interceptações</t>
  </si>
  <si>
    <t>Cabeceios Disputados</t>
  </si>
  <si>
    <t>Cabeceios Ganhos</t>
  </si>
  <si>
    <t>% Cabs Ganhos</t>
  </si>
  <si>
    <t>Cabeceios Disputados /90</t>
  </si>
  <si>
    <t>Bolas Interceptadas /90</t>
  </si>
  <si>
    <t>xG + xA</t>
  </si>
  <si>
    <t>xG + xA /90</t>
  </si>
  <si>
    <t>Distância percorrida (Total)</t>
  </si>
  <si>
    <t>Distância percorrida</t>
  </si>
  <si>
    <t>Distância /90</t>
  </si>
  <si>
    <t>Minutos pra fazer um Passe Decisivo</t>
  </si>
  <si>
    <t>Minutos pra criar uma chance perigosa</t>
  </si>
  <si>
    <t>xG Defendidos sem pênalti</t>
  </si>
  <si>
    <t>xG Defendidos sem pênalti /90</t>
  </si>
  <si>
    <t>Gols convertidos /90</t>
  </si>
  <si>
    <t>Over xG / Under xG per 90</t>
  </si>
  <si>
    <t>xA + xG (sem pen)</t>
  </si>
  <si>
    <t>xA + xG sem pen</t>
  </si>
  <si>
    <t>% Gols Sofridos comparado aos outros goleiros</t>
  </si>
  <si>
    <t>Gols Sofridos</t>
  </si>
  <si>
    <t>Cartões Amarelos</t>
  </si>
  <si>
    <t>Cartões Vermelhos</t>
  </si>
  <si>
    <t>Defesas Seguras</t>
  </si>
  <si>
    <t>Defesas Seguras /90</t>
  </si>
  <si>
    <t>Defesas Com a Ponta dos Dedos</t>
  </si>
  <si>
    <t>Defesas com a ponta dos dedos /90</t>
  </si>
  <si>
    <t>Defesas Desviadas</t>
  </si>
  <si>
    <t>Defesas Desviadas /90</t>
  </si>
  <si>
    <t>% Def Desviadas</t>
  </si>
  <si>
    <t>% Def com a ponta dos dedos</t>
  </si>
  <si>
    <t>Minutos pra tentar uma finalização</t>
  </si>
  <si>
    <t>Minutos pra acertar um remate no gol</t>
  </si>
  <si>
    <t>Tentativas de marcar um gol  /90</t>
  </si>
  <si>
    <t>Desarme + Pressões Tentadas</t>
  </si>
  <si>
    <t>Desarme + Pressões Concluídas</t>
  </si>
  <si>
    <t>Des + Pres T /90</t>
  </si>
  <si>
    <t>% Des + Pressões concluídas</t>
  </si>
  <si>
    <t>Des + Pres C /90</t>
  </si>
  <si>
    <t>Interceptação + Recuperação de bola</t>
  </si>
  <si>
    <t>Cabeceios Ganhos/90</t>
  </si>
  <si>
    <t>Des Ganhos/90</t>
  </si>
  <si>
    <t>Dribles Sofridos/90</t>
  </si>
  <si>
    <t>Movimentos de pressão Tentados</t>
  </si>
  <si>
    <t>Movimentos de pressão Concretizados</t>
  </si>
  <si>
    <t>Lances disputados/90</t>
  </si>
  <si>
    <t>Lances ganhos/90</t>
  </si>
  <si>
    <t>Bolas Interceptadas</t>
  </si>
  <si>
    <t>Bolas Int / 90</t>
  </si>
  <si>
    <t>Minutos pra acertar uma finalização no gol</t>
  </si>
  <si>
    <t>Cruzamentos Tentados</t>
  </si>
  <si>
    <t>Cruzamentos com sucesso</t>
  </si>
  <si>
    <t>% Cruzamentos certos</t>
  </si>
  <si>
    <t>Ações no último terço (Fintas, chances criadas, remates)</t>
  </si>
  <si>
    <t>Chances criadas</t>
  </si>
  <si>
    <t>Último terço/90</t>
  </si>
  <si>
    <t>Chances criadas /90</t>
  </si>
  <si>
    <t>Criação (Jogadas Ofensivas)</t>
  </si>
  <si>
    <t>Tentativas totais de remate de fora da área</t>
  </si>
  <si>
    <t>Finalizações que se converteram em gols</t>
  </si>
  <si>
    <t>Desarmes Tentados/90</t>
  </si>
  <si>
    <t>Desarmes ganhos/90</t>
  </si>
  <si>
    <t>Bolas disputadas com o adversário /90</t>
  </si>
  <si>
    <t>Bolas disputadas e ganhas</t>
  </si>
  <si>
    <t>%Faltas Sem Cartão</t>
  </si>
  <si>
    <t>% Finalizações que converteram em gol</t>
  </si>
  <si>
    <t>Tentativas de Saída do gol pra 1v1</t>
  </si>
  <si>
    <t>Tentativas de saída do gol /90</t>
  </si>
  <si>
    <t>Saídas do gol com sucesso</t>
  </si>
  <si>
    <t>Saídas do gol com sucesso /90</t>
  </si>
  <si>
    <t>Saídas do gol falhas</t>
  </si>
  <si>
    <t>Saídas do gol falhas /90</t>
  </si>
  <si>
    <t>% De Acerto nas Saídas do gol</t>
  </si>
  <si>
    <t>Não está à venda</t>
  </si>
  <si>
    <t>Posse Desperdiçada</t>
  </si>
  <si>
    <t>Posse Desperdiçada /90</t>
  </si>
  <si>
    <t>% de vezes que foi eleito o Homem do Jogo</t>
  </si>
  <si>
    <t>Minutos pra ser o homem do jogo</t>
  </si>
  <si>
    <t>Pontuação recebida</t>
  </si>
  <si>
    <t>% Def Dificeis</t>
  </si>
  <si>
    <t>Jogos Totais</t>
  </si>
  <si>
    <t>Minutos por partida</t>
  </si>
  <si>
    <t>Jogadas de Criação</t>
  </si>
  <si>
    <t>Tentativas de marcar um gol/90</t>
  </si>
  <si>
    <t>Jogos como Titular</t>
  </si>
  <si>
    <t>Participações do jogador /90</t>
  </si>
  <si>
    <t>Finalizações</t>
  </si>
  <si>
    <t>Distância Percorrida</t>
  </si>
  <si>
    <t>Ações com Bola</t>
  </si>
  <si>
    <t>Ações com Bola/90</t>
  </si>
  <si>
    <t>Velocidade Média (em km/h)</t>
  </si>
  <si>
    <t>Sprints de alta intensidade</t>
  </si>
  <si>
    <t>Gols+ Assist / 90</t>
  </si>
  <si>
    <t>Passes Decisivos</t>
  </si>
  <si>
    <t>Passes Decisivos /90</t>
  </si>
  <si>
    <t>% Finalizações que foram no gol</t>
  </si>
  <si>
    <t>Finalizações no gol/90</t>
  </si>
  <si>
    <r>
      <rPr>
        <b/>
        <sz val="8"/>
        <color theme="5" tint="0.39997558519241921"/>
        <rFont val="Verdana"/>
        <family val="2"/>
      </rPr>
      <t xml:space="preserve">Gols </t>
    </r>
    <r>
      <rPr>
        <b/>
        <sz val="8"/>
        <color theme="0" tint="0.79998168889431442"/>
        <rFont val="Verdana"/>
        <family val="2"/>
      </rPr>
      <t>de fora da área /90</t>
    </r>
  </si>
  <si>
    <r>
      <rPr>
        <b/>
        <sz val="8"/>
        <color theme="5" tint="0.39997558519241921"/>
        <rFont val="Verdana"/>
        <family val="2"/>
      </rPr>
      <t xml:space="preserve">Chutes </t>
    </r>
    <r>
      <rPr>
        <b/>
        <sz val="8"/>
        <color theme="0" tint="0.79998168889431442"/>
        <rFont val="Verdana"/>
        <family val="2"/>
      </rPr>
      <t>de fora da área /90</t>
    </r>
  </si>
  <si>
    <r>
      <rPr>
        <b/>
        <sz val="8"/>
        <color theme="5" tint="0.39997558519241921"/>
        <rFont val="Verdana"/>
        <family val="2"/>
      </rPr>
      <t>Gols</t>
    </r>
    <r>
      <rPr>
        <b/>
        <sz val="8"/>
        <color theme="0" tint="0.79998168889431442"/>
        <rFont val="Verdana"/>
        <family val="2"/>
      </rPr>
      <t xml:space="preserve"> de dentro da área /90</t>
    </r>
  </si>
  <si>
    <t>% Bolas disputadas e ganhas (sem falta)</t>
  </si>
  <si>
    <t>Passes Decisivos (Total)</t>
  </si>
  <si>
    <t>Assistências Claras que a Equipe desperdiçou</t>
  </si>
  <si>
    <t>Passes Decisivos pra uma assistência</t>
  </si>
  <si>
    <t>Pass Decisivos que se converteram em assistências</t>
  </si>
  <si>
    <t>Chances Criadas em Bola Parada</t>
  </si>
  <si>
    <t>Minutos pra criar uma chance de perigo</t>
  </si>
  <si>
    <t>Sprints (Total)</t>
  </si>
  <si>
    <t>Assistências Desperdiçadas pela Equipe</t>
  </si>
  <si>
    <t>xA / Passe Decisivo</t>
  </si>
  <si>
    <t>Erros Defensivos</t>
  </si>
  <si>
    <t>Erros Defensivos /90</t>
  </si>
  <si>
    <t>Tentativas (Cabs, Desarmes, Pressão)</t>
  </si>
  <si>
    <t>Tentativas Cabs, Des, Pres /90</t>
  </si>
  <si>
    <t>Acertos (Cabs, Des, Pres)</t>
  </si>
  <si>
    <t>Erros</t>
  </si>
  <si>
    <t>xA por passe decisivo</t>
  </si>
  <si>
    <t>Lances ofensivos tentados</t>
  </si>
  <si>
    <t>Lances ofensivos conseguidos</t>
  </si>
  <si>
    <t>Posse Perdida /90</t>
  </si>
  <si>
    <t>Posse Perdida</t>
  </si>
  <si>
    <t>Eficácia ofensiva</t>
  </si>
  <si>
    <t>Cabeceios que evitaram jogada ofensiva</t>
  </si>
  <si>
    <t>Cabs que evitaram jogada ofensiva /90</t>
  </si>
  <si>
    <t>Desarmes Decisivos</t>
  </si>
  <si>
    <t>Desarmes Decisivos / 90</t>
  </si>
  <si>
    <t>Desarmes Decisivos /90</t>
  </si>
  <si>
    <t>Ações no último terço (Finta, Pass D, OGC, etc)</t>
  </si>
  <si>
    <t>xA por Passes Decisivos</t>
  </si>
  <si>
    <t>Tentativa de criar um gol ou jogada ofensiva</t>
  </si>
  <si>
    <t>GPI (Goal Probability Index)</t>
  </si>
  <si>
    <t>Índice de Defesas Críticas</t>
  </si>
  <si>
    <t>xG sem pênalti</t>
  </si>
  <si>
    <t>non Pen xG/90</t>
  </si>
  <si>
    <t>xG sem pênaltis</t>
  </si>
  <si>
    <t>non Pen xG /90</t>
  </si>
  <si>
    <t>Gols não esperados SEM PÊNALTI</t>
  </si>
  <si>
    <t>Soma de todos os desarmes</t>
  </si>
  <si>
    <t>% Des em relação a media</t>
  </si>
  <si>
    <t>Ações no último terço</t>
  </si>
  <si>
    <t>Minutos pra PARTICIPAR de um gol</t>
  </si>
  <si>
    <t>Minutos pra MARCAR um gol</t>
  </si>
  <si>
    <t>Cruzamentos T /90</t>
  </si>
  <si>
    <t>Cruzamentos C/90</t>
  </si>
  <si>
    <t>Ações com Bola (Completadas)</t>
  </si>
  <si>
    <t>Ações com Bola Tentadas</t>
  </si>
  <si>
    <t>Ações com Bola T/90</t>
  </si>
  <si>
    <t>Ações com Bola Comp /90</t>
  </si>
  <si>
    <t>% Sucesso de ações com bola</t>
  </si>
  <si>
    <t>Bolas recuperadas</t>
  </si>
  <si>
    <t>Bolas recuperadas / 90</t>
  </si>
  <si>
    <t>Faltas/90</t>
  </si>
  <si>
    <t xml:space="preserve">Ações no último terço </t>
  </si>
  <si>
    <t>Lances ofensivos / 90</t>
  </si>
  <si>
    <t>Lances ofensivos conseguidos / 90</t>
  </si>
  <si>
    <t>Alívios /90</t>
  </si>
  <si>
    <t>Média de altura</t>
  </si>
  <si>
    <t>Gols+Ast /90</t>
  </si>
  <si>
    <t>% Fin</t>
  </si>
  <si>
    <t>% Passes certos/90</t>
  </si>
  <si>
    <t>Cabs Ganhos / 90</t>
  </si>
  <si>
    <t>Passes completados/90</t>
  </si>
  <si>
    <t>Lances aéreos disputados /90</t>
  </si>
  <si>
    <t>Passes tentados/90</t>
  </si>
  <si>
    <t>Média de idade</t>
  </si>
  <si>
    <t>Análise da Equipe</t>
  </si>
  <si>
    <t>Posição</t>
  </si>
  <si>
    <t>% Desarmes</t>
  </si>
  <si>
    <t>Desarmes G/90</t>
  </si>
  <si>
    <t>Des T /90</t>
  </si>
  <si>
    <t>Cabeceios Disputados/90</t>
  </si>
  <si>
    <t>Conversão de Gols</t>
  </si>
  <si>
    <t>% Finalizações certas</t>
  </si>
  <si>
    <t>Finalizações Certas /90</t>
  </si>
  <si>
    <t>Fin/90</t>
  </si>
  <si>
    <t>xA + xG sem pen /90</t>
  </si>
  <si>
    <t>Cruzamentos %</t>
  </si>
  <si>
    <t>Perda de posse /90 minutos</t>
  </si>
  <si>
    <t>Perda da posse de bola</t>
  </si>
  <si>
    <t>% Passes certos /90</t>
  </si>
  <si>
    <t>Passes errados /90</t>
  </si>
  <si>
    <t>Pass Certos / 90</t>
  </si>
  <si>
    <t>Altura           (em metros)</t>
  </si>
  <si>
    <t>Minutos Jogados</t>
  </si>
  <si>
    <t>Posse Ganha Total</t>
  </si>
  <si>
    <t>Posse Ganha /90</t>
  </si>
  <si>
    <t>Posse Perdida Total</t>
  </si>
  <si>
    <t>Falhas/90</t>
  </si>
  <si>
    <t>Clean Sheets/90</t>
  </si>
  <si>
    <t>Passes em progressão</t>
  </si>
  <si>
    <t>Pass Progr /90</t>
  </si>
  <si>
    <t>% Passes em progressão</t>
  </si>
  <si>
    <t>Pass D/90</t>
  </si>
  <si>
    <t>Passes Curtos</t>
  </si>
  <si>
    <t>Passes Curtos /90</t>
  </si>
  <si>
    <t>Expected Goals Prevented xGP</t>
  </si>
  <si>
    <t>xG Conclusion</t>
  </si>
  <si>
    <t>xA Conclusion</t>
  </si>
  <si>
    <t>% Passes Certos</t>
  </si>
  <si>
    <t>Passes Completados</t>
  </si>
  <si>
    <t>Passes completados /90</t>
  </si>
  <si>
    <t>xPG Ratio</t>
  </si>
  <si>
    <t>192 cm</t>
  </si>
  <si>
    <t>178 cm</t>
  </si>
  <si>
    <t>Gols + Ast</t>
  </si>
  <si>
    <t>''''''''''''''''''</t>
  </si>
  <si>
    <t>% Finalizações em direção ao gol</t>
  </si>
  <si>
    <t>Cartão Amarelo/90</t>
  </si>
  <si>
    <t>Cartão Vermelho</t>
  </si>
  <si>
    <t>Cartão Vermelho/90</t>
  </si>
  <si>
    <t>% Cartões por falta cometida</t>
  </si>
  <si>
    <t>Cartões Recebidos no Total</t>
  </si>
  <si>
    <t>Posse perdida</t>
  </si>
  <si>
    <t>CT-JA</t>
  </si>
  <si>
    <t>CC-JA</t>
  </si>
  <si>
    <t>Gols Sem Pênalti</t>
  </si>
  <si>
    <t>Gols Sem Pênalti /90</t>
  </si>
  <si>
    <t>Pen Def/90</t>
  </si>
  <si>
    <t>Pen Enf/90</t>
  </si>
  <si>
    <t>184 cm</t>
  </si>
  <si>
    <t>186 cm</t>
  </si>
  <si>
    <t>Passes que são em progressão</t>
  </si>
  <si>
    <t>Cabs ganhos /90</t>
  </si>
  <si>
    <t>Cabs perdidos /90</t>
  </si>
  <si>
    <t>176 cm</t>
  </si>
  <si>
    <t>175 cm</t>
  </si>
  <si>
    <t>Gols + Assist /90</t>
  </si>
  <si>
    <t>Finalizações no gol /90</t>
  </si>
  <si>
    <t>% dos cabeceios que são ofensivos</t>
  </si>
  <si>
    <t>xG Esperados SEM PÊNALTI</t>
  </si>
  <si>
    <t>Cabeceios Ofensivos (Tentados)</t>
  </si>
  <si>
    <t>Cabeceios ofensivos T /90</t>
  </si>
  <si>
    <t>Cabeceios Ofensivos que foram no gol</t>
  </si>
  <si>
    <t>% Cabeceios que foram em direção ao gol</t>
  </si>
  <si>
    <t>xG por Remate ou Cabeceio</t>
  </si>
  <si>
    <t>Cabs Of. que foram no gol /90</t>
  </si>
  <si>
    <t>181 cm</t>
  </si>
  <si>
    <t>Passe Tentados/ 90</t>
  </si>
  <si>
    <t>Cruzamentos T/90</t>
  </si>
  <si>
    <t>Erros que originaram gol</t>
  </si>
  <si>
    <t>Erros que geraram gol/90</t>
  </si>
  <si>
    <t>Participações do jogador (Fintas, passes, etc)</t>
  </si>
  <si>
    <t>Cabeceios Disp /90</t>
  </si>
  <si>
    <t>Cabeceios G/90</t>
  </si>
  <si>
    <t>179 cm</t>
  </si>
  <si>
    <t>Nação</t>
  </si>
  <si>
    <t>Minutos</t>
  </si>
  <si>
    <t>EPG</t>
  </si>
  <si>
    <t>Des C</t>
  </si>
  <si>
    <t>Placar de Esforço</t>
  </si>
  <si>
    <t>Golos Sofridos</t>
  </si>
  <si>
    <t>Classificação</t>
  </si>
  <si>
    <t>Pé Direito</t>
  </si>
  <si>
    <t>Somente Pé Direito</t>
  </si>
  <si>
    <t>Faltas Cometidas</t>
  </si>
  <si>
    <t>Faltas Contra</t>
  </si>
  <si>
    <t>PeP</t>
  </si>
  <si>
    <t>Passes Ch</t>
  </si>
  <si>
    <t>Pé Esquerdo</t>
  </si>
  <si>
    <t>Presenças</t>
  </si>
  <si>
    <t>Golos</t>
  </si>
  <si>
    <t>Assist.</t>
  </si>
  <si>
    <t>Remates em livres</t>
  </si>
  <si>
    <t>Pass Decisivos / 90</t>
  </si>
  <si>
    <t>Passes curtos e certos /90</t>
  </si>
  <si>
    <t>173 cm</t>
  </si>
  <si>
    <t>32m € p/m</t>
  </si>
  <si>
    <t>Remates de fora da área em cada 90 minutes</t>
  </si>
  <si>
    <t>POR</t>
  </si>
  <si>
    <t>Taxa de Conversão %</t>
  </si>
  <si>
    <t>Golos marcados de fora da área</t>
  </si>
  <si>
    <t>Chances Criadas em  Bolas Paradas</t>
  </si>
  <si>
    <t>Cobranças de falta (Diretas)</t>
  </si>
  <si>
    <t>Tentativas de  Criar  uma chance em Bola Parada</t>
  </si>
  <si>
    <t>% Aproveitamento das Tentativas de Criar chance em  BP</t>
  </si>
  <si>
    <t>Tentativas/90</t>
  </si>
  <si>
    <t>Chances C /90</t>
  </si>
  <si>
    <t>Conversão dos chutes de fora da  área</t>
  </si>
  <si>
    <t>Gols dentro da área</t>
  </si>
  <si>
    <t>Gols de pênalti</t>
  </si>
  <si>
    <t>Escolhido</t>
  </si>
  <si>
    <t>Impedimentos</t>
  </si>
  <si>
    <t>Impedimentos / 90</t>
  </si>
  <si>
    <t>Gols de dentro da área</t>
  </si>
  <si>
    <t>177 cm</t>
  </si>
  <si>
    <t>xG sem pênaltis/90</t>
  </si>
  <si>
    <t>Passes Errados/90</t>
  </si>
  <si>
    <t>Erros /90</t>
  </si>
  <si>
    <t>ENG</t>
  </si>
  <si>
    <t>FRA</t>
  </si>
  <si>
    <t>Atlético de Madrid</t>
  </si>
  <si>
    <t>8,8M €</t>
  </si>
  <si>
    <t>ESP</t>
  </si>
  <si>
    <t>ITA</t>
  </si>
  <si>
    <t>Barcelona</t>
  </si>
  <si>
    <t>Roma</t>
  </si>
  <si>
    <t>Gavi</t>
  </si>
  <si>
    <t>Bryan Cristante</t>
  </si>
  <si>
    <t>Osasuna</t>
  </si>
  <si>
    <t>Aimar</t>
  </si>
  <si>
    <t>192,0 km</t>
  </si>
  <si>
    <t>Juventus</t>
  </si>
  <si>
    <t>188 cm</t>
  </si>
  <si>
    <t>120m € - 1,2M €</t>
  </si>
  <si>
    <t>Andorra</t>
  </si>
  <si>
    <t>15 (2)</t>
  </si>
  <si>
    <t>179,7 km</t>
  </si>
  <si>
    <t>112M € - 133M €</t>
  </si>
  <si>
    <t>761m € p/m</t>
  </si>
  <si>
    <t>19 (2)</t>
  </si>
  <si>
    <t>224,1 km</t>
  </si>
  <si>
    <t>Almería</t>
  </si>
  <si>
    <t>Khéphren Thuram</t>
  </si>
  <si>
    <t>55M € - 81M €</t>
  </si>
  <si>
    <t>576m € p/m</t>
  </si>
  <si>
    <t>211,8 km</t>
  </si>
  <si>
    <t>150m € - 1,5M €</t>
  </si>
  <si>
    <t>591m € p/m</t>
  </si>
  <si>
    <t>193,4 km</t>
  </si>
  <si>
    <t>17,25m € p/m</t>
  </si>
  <si>
    <t>Gui</t>
  </si>
  <si>
    <t>Iker Muñoz</t>
  </si>
  <si>
    <t>55m € p/m</t>
  </si>
  <si>
    <t>189,9 km</t>
  </si>
  <si>
    <t>Real Madrid</t>
  </si>
  <si>
    <t>Pablo Barrios</t>
  </si>
  <si>
    <t>163M € - 241M €</t>
  </si>
  <si>
    <t>234m € p/m</t>
  </si>
  <si>
    <t>181,8 km</t>
  </si>
  <si>
    <t>15 (1)</t>
  </si>
  <si>
    <t>Jude Bellingham</t>
  </si>
  <si>
    <t>344M € - 375M €</t>
  </si>
  <si>
    <t>1,84M € p/m</t>
  </si>
  <si>
    <t>153,7 km</t>
  </si>
  <si>
    <t>60M € - 74M €</t>
  </si>
  <si>
    <t>240m € p/m</t>
  </si>
  <si>
    <t>183,8 km</t>
  </si>
  <si>
    <t>146,1 km</t>
  </si>
  <si>
    <t>Fermín</t>
  </si>
  <si>
    <t>54M € - 80M €</t>
  </si>
  <si>
    <t>704m € p/m</t>
  </si>
  <si>
    <t>15 (7)</t>
  </si>
  <si>
    <t>Andy Escudero</t>
  </si>
  <si>
    <t>0,81</t>
  </si>
  <si>
    <t>3,18</t>
  </si>
  <si>
    <t>5,03</t>
  </si>
  <si>
    <t>3,92</t>
  </si>
  <si>
    <t>3,45</t>
  </si>
  <si>
    <t>5,25</t>
  </si>
  <si>
    <t>0,74</t>
  </si>
  <si>
    <t>1,53</t>
  </si>
  <si>
    <t>3,15</t>
  </si>
  <si>
    <t>0,6</t>
  </si>
  <si>
    <t>1,64</t>
  </si>
  <si>
    <t>1,16</t>
  </si>
  <si>
    <t>3,86</t>
  </si>
  <si>
    <t>4,39</t>
  </si>
  <si>
    <t>6,75</t>
  </si>
  <si>
    <t>2,04</t>
  </si>
  <si>
    <t>2,7</t>
  </si>
  <si>
    <t>2,27</t>
  </si>
  <si>
    <t>2,76</t>
  </si>
  <si>
    <t>2,94</t>
  </si>
  <si>
    <t>Gols de fora da área/90</t>
  </si>
  <si>
    <t>Remates de fora da área</t>
  </si>
  <si>
    <t>Remates de fora da área/90</t>
  </si>
  <si>
    <t>Conversão dos remates de fora da área</t>
  </si>
  <si>
    <t>Fin pra fora /90</t>
  </si>
  <si>
    <t>Finalizações pra fora</t>
  </si>
  <si>
    <t>Finalizações Tentadas</t>
  </si>
  <si>
    <t>Total de Cartões /90</t>
  </si>
  <si>
    <t>Finalizações Defendidas</t>
  </si>
  <si>
    <t>Finalizações Def /90</t>
  </si>
  <si>
    <r>
      <t>% Finalizações que foram</t>
    </r>
    <r>
      <rPr>
        <b/>
        <sz val="10"/>
        <color theme="0" tint="0.79998168889431442"/>
        <rFont val="Verdana"/>
        <family val="2"/>
      </rPr>
      <t xml:space="preserve"> em direção gol</t>
    </r>
  </si>
  <si>
    <t>Somente Pé Esquerdo</t>
  </si>
  <si>
    <t>183 cm</t>
  </si>
  <si>
    <t>10,1 km</t>
  </si>
  <si>
    <t>Faltas pra um cartão</t>
  </si>
  <si>
    <r>
      <t xml:space="preserve">Faltas pra um cartão </t>
    </r>
    <r>
      <rPr>
        <b/>
        <sz val="9"/>
        <color rgb="FFFFFF00"/>
        <rFont val="Verdana"/>
        <family val="2"/>
      </rPr>
      <t>AMARELO</t>
    </r>
  </si>
  <si>
    <t>Índice de Cobertura</t>
  </si>
  <si>
    <t>Índice de Dominância Física</t>
  </si>
  <si>
    <t>Jogos DS</t>
  </si>
  <si>
    <t>Tentativas de marcar um gol (finalização e op. criadas)</t>
  </si>
  <si>
    <t>Média: IPO + IVO</t>
  </si>
  <si>
    <t>Índice de Perigo Ofensivo (IPO)</t>
  </si>
  <si>
    <t>Índice de Volume Ofensivo (IVO)</t>
  </si>
  <si>
    <t>Movimentos ofensivos T /90</t>
  </si>
  <si>
    <t>ARG</t>
  </si>
  <si>
    <t>Índice de Criação Ofensiva (ICO)</t>
  </si>
  <si>
    <t>Parma</t>
  </si>
  <si>
    <t>180 cm</t>
  </si>
  <si>
    <t>SUI</t>
  </si>
  <si>
    <t>187 cm</t>
  </si>
  <si>
    <t>Nahuel Estévez</t>
  </si>
  <si>
    <t>194 cm</t>
  </si>
  <si>
    <t>€23,5m p/m</t>
  </si>
  <si>
    <t>Fiorentina</t>
  </si>
  <si>
    <t>Pisa</t>
  </si>
  <si>
    <t>Bologna</t>
  </si>
  <si>
    <t>Melhor Jogador em Campo</t>
  </si>
  <si>
    <t>Bolas agarradas</t>
  </si>
  <si>
    <t>Defesas com Ponta dos Dedos</t>
  </si>
  <si>
    <t>Bolas defendidas</t>
  </si>
  <si>
    <t>Conquistas de posse da bola por jogo</t>
  </si>
  <si>
    <t>Perdas de posse da bola por jogo</t>
  </si>
  <si>
    <t>Erros que deram em Golo</t>
  </si>
  <si>
    <t>Desarmes tentados</t>
  </si>
  <si>
    <t>Desarmes conseguidos</t>
  </si>
  <si>
    <t>Penáltis Enfrentados</t>
  </si>
  <si>
    <t>Penáltis Defendidos</t>
  </si>
  <si>
    <t>Cabeceamentos Ganhos</t>
  </si>
  <si>
    <t>Cabeceamentos Tentados</t>
  </si>
  <si>
    <t>Cabeceamentos decisivos por jogo</t>
  </si>
  <si>
    <t>Intercepções</t>
  </si>
  <si>
    <t>Oportunidades Claras de Golo criadas</t>
  </si>
  <si>
    <t>Remates à baliza</t>
  </si>
  <si>
    <t>Penáltis Cobrados</t>
  </si>
  <si>
    <t>Penáltis concretizados</t>
  </si>
  <si>
    <t>Cruzamentos Tentados em Jogo Aberto</t>
  </si>
  <si>
    <t>Cruzamentos concluídos em jogo aberto</t>
  </si>
  <si>
    <t>Cruzamentos Concluídos</t>
  </si>
  <si>
    <t>€140m p/m</t>
  </si>
  <si>
    <t>Atalanta B.C.</t>
  </si>
  <si>
    <t>191 cm</t>
  </si>
  <si>
    <t>Rolando Mandragora</t>
  </si>
  <si>
    <t>TrL</t>
  </si>
  <si>
    <t>Ações com Bola com sucesso</t>
  </si>
  <si>
    <t>% de Passes que são em progressão</t>
  </si>
  <si>
    <t>€93m p/m</t>
  </si>
  <si>
    <t>Cagliari</t>
  </si>
  <si>
    <t>185 cm</t>
  </si>
  <si>
    <t>Como 1907</t>
  </si>
  <si>
    <t>Lazio</t>
  </si>
  <si>
    <t>AC Milan</t>
  </si>
  <si>
    <t>0.45</t>
  </si>
  <si>
    <t>€233m p/m</t>
  </si>
  <si>
    <t>€155m p/m</t>
  </si>
  <si>
    <t>16 (1)</t>
  </si>
  <si>
    <t>155,9 km</t>
  </si>
  <si>
    <t>Manuel Locatelli</t>
  </si>
  <si>
    <t>€85M - €127M</t>
  </si>
  <si>
    <t>€637m p/m</t>
  </si>
  <si>
    <t>244,2 km</t>
  </si>
  <si>
    <t>€22M - €33M</t>
  </si>
  <si>
    <t>€281m p/m</t>
  </si>
  <si>
    <t>21 (3)</t>
  </si>
  <si>
    <t>200,1 km</t>
  </si>
  <si>
    <t>Simon Sohm</t>
  </si>
  <si>
    <t>€35M - €43M</t>
  </si>
  <si>
    <t>18 (4)</t>
  </si>
  <si>
    <t>217,2 km</t>
  </si>
  <si>
    <t>Michel Ndary Adopo</t>
  </si>
  <si>
    <t>€17,5M - €22M</t>
  </si>
  <si>
    <t>194,4 km</t>
  </si>
  <si>
    <t>Danilo Cataldi</t>
  </si>
  <si>
    <t>185,5 km</t>
  </si>
  <si>
    <t>Gabriele Piccinini</t>
  </si>
  <si>
    <t>€1,4M - €3M</t>
  </si>
  <si>
    <t>180,9 km</t>
  </si>
  <si>
    <t>Yunus Musah</t>
  </si>
  <si>
    <t>€57M - €69M</t>
  </si>
  <si>
    <t>€215m p/m</t>
  </si>
  <si>
    <t>USA</t>
  </si>
  <si>
    <t>16 (6)</t>
  </si>
  <si>
    <t>186,1 km</t>
  </si>
  <si>
    <t>Máximo Perrone</t>
  </si>
  <si>
    <t>€59M - €90M</t>
  </si>
  <si>
    <t>166,0 km</t>
  </si>
  <si>
    <t>Nicolò Rovella</t>
  </si>
  <si>
    <t>€311m p/m</t>
  </si>
  <si>
    <t>€50m - €500m</t>
  </si>
  <si>
    <t>14 (3)</t>
  </si>
  <si>
    <t>146,6 km</t>
  </si>
  <si>
    <t>€57M - €86M</t>
  </si>
  <si>
    <t>Passes em Prog /90</t>
  </si>
  <si>
    <t>% Ações com sucesso</t>
  </si>
  <si>
    <t>€109m p/m</t>
  </si>
  <si>
    <t>190 cm</t>
  </si>
  <si>
    <t>189 cm</t>
  </si>
  <si>
    <t>Trn</t>
  </si>
  <si>
    <t>Internazionale de Milano</t>
  </si>
  <si>
    <t>Genoa</t>
  </si>
  <si>
    <t>195 cm</t>
  </si>
  <si>
    <t>Índice de Dominância Aérea (IDA)</t>
  </si>
  <si>
    <r>
      <rPr>
        <b/>
        <sz val="9"/>
        <color theme="0"/>
        <rFont val="Verdana"/>
        <family val="2"/>
      </rPr>
      <t xml:space="preserve">Cabs </t>
    </r>
    <r>
      <rPr>
        <b/>
        <sz val="9"/>
        <color rgb="FFC00000"/>
        <rFont val="Verdana"/>
        <family val="2"/>
      </rPr>
      <t>Perdidos</t>
    </r>
  </si>
  <si>
    <r>
      <rPr>
        <b/>
        <sz val="9"/>
        <color theme="0"/>
        <rFont val="Verdana"/>
        <family val="2"/>
      </rPr>
      <t>Cabs</t>
    </r>
    <r>
      <rPr>
        <b/>
        <sz val="9"/>
        <color theme="4" tint="-0.499984740745262"/>
        <rFont val="Verdana"/>
        <family val="2"/>
      </rPr>
      <t xml:space="preserve"> </t>
    </r>
    <r>
      <rPr>
        <b/>
        <sz val="9"/>
        <color rgb="FFC00000"/>
        <rFont val="Verdana"/>
        <family val="2"/>
      </rPr>
      <t>Perdidos</t>
    </r>
    <r>
      <rPr>
        <b/>
        <sz val="9"/>
        <color theme="4" tint="-0.499984740745262"/>
        <rFont val="Verdana"/>
        <family val="2"/>
      </rPr>
      <t xml:space="preserve"> </t>
    </r>
    <r>
      <rPr>
        <b/>
        <sz val="9"/>
        <color theme="0"/>
        <rFont val="Verdana"/>
        <family val="2"/>
      </rPr>
      <t>/90</t>
    </r>
  </si>
  <si>
    <r>
      <t xml:space="preserve">% Cabs </t>
    </r>
    <r>
      <rPr>
        <b/>
        <sz val="9"/>
        <color rgb="FFFBAFB1"/>
        <rFont val="Verdana"/>
        <family val="2"/>
      </rPr>
      <t>perdidos</t>
    </r>
  </si>
  <si>
    <t>D (C)</t>
  </si>
  <si>
    <t>Marcos Senesi</t>
  </si>
  <si>
    <t>Bournemouth</t>
  </si>
  <si>
    <t>€17,5M - €21M</t>
  </si>
  <si>
    <t>€303m p/m</t>
  </si>
  <si>
    <t>276,2 km</t>
  </si>
  <si>
    <t>MO (EC)</t>
  </si>
  <si>
    <t>Vincenzo Grifo</t>
  </si>
  <si>
    <t>Freiburg</t>
  </si>
  <si>
    <t>€251m p/m</t>
  </si>
  <si>
    <t>270,5 km</t>
  </si>
  <si>
    <t>D (E)</t>
  </si>
  <si>
    <t>Emerson</t>
  </si>
  <si>
    <t>Marseille</t>
  </si>
  <si>
    <t>€116m p/m</t>
  </si>
  <si>
    <t>220,0 km</t>
  </si>
  <si>
    <t>Diego Coppola</t>
  </si>
  <si>
    <t>Paris FC</t>
  </si>
  <si>
    <t>€126m p/m</t>
  </si>
  <si>
    <t>187,9 km</t>
  </si>
  <si>
    <t>MD, M (C)</t>
  </si>
  <si>
    <t>Liziero</t>
  </si>
  <si>
    <t>Nacional</t>
  </si>
  <si>
    <t>€425m - €4,2M</t>
  </si>
  <si>
    <t>€12,25m p/m</t>
  </si>
  <si>
    <t>187,7 km</t>
  </si>
  <si>
    <t>GER</t>
  </si>
  <si>
    <t>Fabio Chiarodia</t>
  </si>
  <si>
    <t>Gladbach</t>
  </si>
  <si>
    <t>€14M - €21M</t>
  </si>
  <si>
    <t>€83,5m p/m</t>
  </si>
  <si>
    <t>150,8 km</t>
  </si>
  <si>
    <t>D/DA (E)</t>
  </si>
  <si>
    <t>Nicolas Cozza</t>
  </si>
  <si>
    <t>Nantes</t>
  </si>
  <si>
    <t>€1M - €2,2M</t>
  </si>
  <si>
    <t>150,7 km</t>
  </si>
  <si>
    <t>Filippo Mané</t>
  </si>
  <si>
    <t>Dortmund</t>
  </si>
  <si>
    <t>€42m p/m</t>
  </si>
  <si>
    <t>11 (3)</t>
  </si>
  <si>
    <t>127,3 km</t>
  </si>
  <si>
    <t>MO (DC)</t>
  </si>
  <si>
    <t>Facundo Buonanotte</t>
  </si>
  <si>
    <t>Leeds Utd</t>
  </si>
  <si>
    <t>174 cm</t>
  </si>
  <si>
    <t>€89M - €134M</t>
  </si>
  <si>
    <t>€238m p/m</t>
  </si>
  <si>
    <t>13 (3)</t>
  </si>
  <si>
    <t>136,0 km</t>
  </si>
  <si>
    <t>Nicolás Capaldo</t>
  </si>
  <si>
    <t>Hamburg</t>
  </si>
  <si>
    <t>€160m - €7,6M</t>
  </si>
  <si>
    <t>8 (7)</t>
  </si>
  <si>
    <t>124,3 km</t>
  </si>
  <si>
    <t>Flair Index</t>
  </si>
  <si>
    <t>0,13</t>
  </si>
  <si>
    <t>1,06</t>
  </si>
  <si>
    <t>0,99</t>
  </si>
  <si>
    <t>1,92</t>
  </si>
  <si>
    <t>0,23</t>
  </si>
  <si>
    <t>0,95</t>
  </si>
  <si>
    <t>2,3</t>
  </si>
  <si>
    <t>2,21</t>
  </si>
  <si>
    <t>0,25</t>
  </si>
  <si>
    <t>0,14</t>
  </si>
  <si>
    <t>1,79</t>
  </si>
  <si>
    <t>3,87</t>
  </si>
  <si>
    <t>0,91</t>
  </si>
  <si>
    <t>1,77</t>
  </si>
  <si>
    <t>0,62</t>
  </si>
  <si>
    <t>1,54</t>
  </si>
  <si>
    <t>0,85</t>
  </si>
  <si>
    <t>5,32</t>
  </si>
  <si>
    <t>6,39</t>
  </si>
  <si>
    <t>Lecce</t>
  </si>
  <si>
    <t>20 (1)</t>
  </si>
  <si>
    <t>Cremonese</t>
  </si>
  <si>
    <t>Flair Index (Geral)</t>
  </si>
  <si>
    <t>Índice de Impacto do Goleiro</t>
  </si>
  <si>
    <t>Les</t>
  </si>
  <si>
    <t>€46m p/m</t>
  </si>
  <si>
    <t>€7,2M - €11M</t>
  </si>
  <si>
    <t>Percentagem de Defesas Prevista</t>
  </si>
  <si>
    <t>Napoli</t>
  </si>
  <si>
    <t>Udinese</t>
  </si>
  <si>
    <t>€31m p/m</t>
  </si>
  <si>
    <t>% Defesas Esperadas</t>
  </si>
  <si>
    <t>% de Defesas Realizadas</t>
  </si>
  <si>
    <t>21 (1)</t>
  </si>
  <si>
    <t>25 (1)</t>
  </si>
  <si>
    <t>Daniele Rugani</t>
  </si>
  <si>
    <t>€7,6M - €9,6M</t>
  </si>
  <si>
    <t>€386m p/m</t>
  </si>
  <si>
    <t>24 (2)</t>
  </si>
  <si>
    <t>248,7 km</t>
  </si>
  <si>
    <t>1.09</t>
  </si>
  <si>
    <t>Alessandro Marcandalli</t>
  </si>
  <si>
    <t>€10,5M - €13M</t>
  </si>
  <si>
    <t>€54,5m p/m</t>
  </si>
  <si>
    <t>234,2 km</t>
  </si>
  <si>
    <t>0.83</t>
  </si>
  <si>
    <t>Alessandro Circati</t>
  </si>
  <si>
    <t>€90M - €113M</t>
  </si>
  <si>
    <t>€66,5m p/m</t>
  </si>
  <si>
    <t>AUS</t>
  </si>
  <si>
    <t>233,0 km</t>
  </si>
  <si>
    <t>1.16</t>
  </si>
  <si>
    <t>Giorgio Scalvini</t>
  </si>
  <si>
    <t>€129M - €161M</t>
  </si>
  <si>
    <t>228,3 km</t>
  </si>
  <si>
    <t>0.52</t>
  </si>
  <si>
    <t>Lautaro Valenti</t>
  </si>
  <si>
    <t>€7,2M - €10,5M</t>
  </si>
  <si>
    <t>227,7 km</t>
  </si>
  <si>
    <t>2.3</t>
  </si>
  <si>
    <t>Nicolò Bertola</t>
  </si>
  <si>
    <t>€74M - €88M</t>
  </si>
  <si>
    <t>€8,25m p/m</t>
  </si>
  <si>
    <t>224,9 km</t>
  </si>
  <si>
    <t>1.95</t>
  </si>
  <si>
    <t>Federico Baschirotto</t>
  </si>
  <si>
    <t>€7,6M - €9,4M</t>
  </si>
  <si>
    <t>211,5 km</t>
  </si>
  <si>
    <t>Enrico Delprato</t>
  </si>
  <si>
    <t>€13M - €15,5M</t>
  </si>
  <si>
    <t>€131m p/m</t>
  </si>
  <si>
    <t>237,6 km</t>
  </si>
  <si>
    <t>Francesco Acerbi</t>
  </si>
  <si>
    <t>€455m p/m</t>
  </si>
  <si>
    <t>210,5 km</t>
  </si>
  <si>
    <t>€467m p/m</t>
  </si>
  <si>
    <t>Antonio Caracciolo</t>
  </si>
  <si>
    <t>€230m - €650m</t>
  </si>
  <si>
    <t>195,4 km</t>
  </si>
  <si>
    <t>0.24</t>
  </si>
  <si>
    <t>Matteo Gabbia</t>
  </si>
  <si>
    <t>€62M - €94M</t>
  </si>
  <si>
    <t>€280m p/m</t>
  </si>
  <si>
    <t>197,5 km</t>
  </si>
  <si>
    <t>1.82</t>
  </si>
  <si>
    <t>Giovanni Di Lorenzo</t>
  </si>
  <si>
    <t>15 (3)</t>
  </si>
  <si>
    <t>298,2 km</t>
  </si>
  <si>
    <t>Andrea Cambiaso</t>
  </si>
  <si>
    <t>€71M - €89M</t>
  </si>
  <si>
    <t>€370m p/m</t>
  </si>
  <si>
    <t>285,3 km</t>
  </si>
  <si>
    <t>Raoul Bellanova</t>
  </si>
  <si>
    <t>€60M - €91M</t>
  </si>
  <si>
    <t>283,2 km</t>
  </si>
  <si>
    <t>Lorenzo De Silvestri</t>
  </si>
  <si>
    <t>€24m - €250m</t>
  </si>
  <si>
    <t>243,7 km</t>
  </si>
  <si>
    <t>Antonino Gallo</t>
  </si>
  <si>
    <t>182 cm</t>
  </si>
  <si>
    <t>€550m - €9,2M</t>
  </si>
  <si>
    <t>€80,5m p/m</t>
  </si>
  <si>
    <t>241,3 km</t>
  </si>
  <si>
    <t>Emanuele Valeri</t>
  </si>
  <si>
    <t>€117m p/m</t>
  </si>
  <si>
    <t>259,2 km</t>
  </si>
  <si>
    <t>Samuele Angori</t>
  </si>
  <si>
    <t>€28M - €42M</t>
  </si>
  <si>
    <t>€91,5m p/m</t>
  </si>
  <si>
    <t>249,8 km</t>
  </si>
  <si>
    <t>Stefano Sabelli</t>
  </si>
  <si>
    <t>€120m - €1,2M</t>
  </si>
  <si>
    <t>261,4 km</t>
  </si>
  <si>
    <t>Niccolò Fortini</t>
  </si>
  <si>
    <t>€95m p/m</t>
  </si>
  <si>
    <t>20 (8)</t>
  </si>
  <si>
    <t>264,5 km</t>
  </si>
  <si>
    <t>Diferença Defesas Esperadas - Defesas Feitas</t>
  </si>
  <si>
    <t>172 cm</t>
  </si>
  <si>
    <t>24 (4)</t>
  </si>
  <si>
    <t>40 (1)</t>
  </si>
  <si>
    <t>32 (4)</t>
  </si>
  <si>
    <t>35 (2)</t>
  </si>
  <si>
    <t>28 (2)</t>
  </si>
  <si>
    <t>€7,75m p/m</t>
  </si>
  <si>
    <t>COL</t>
  </si>
  <si>
    <t>Remo</t>
  </si>
  <si>
    <t>Weibmar Asprilla</t>
  </si>
  <si>
    <t>€45m - €450m</t>
  </si>
  <si>
    <t>€16,25m p/m</t>
  </si>
  <si>
    <t>Goiás</t>
  </si>
  <si>
    <t>Tadeu</t>
  </si>
  <si>
    <t>€26m - €250m</t>
  </si>
  <si>
    <t>€17,25m p/m</t>
  </si>
  <si>
    <t>Retrô</t>
  </si>
  <si>
    <t>Alexander</t>
  </si>
  <si>
    <t>€0 - €95m</t>
  </si>
  <si>
    <t>Athletic Club (MG)</t>
  </si>
  <si>
    <t>William Cuesta</t>
  </si>
  <si>
    <t>€10,5m p/m</t>
  </si>
  <si>
    <t>Náutico</t>
  </si>
  <si>
    <t>Javier Bustillos</t>
  </si>
  <si>
    <t>€100m</t>
  </si>
  <si>
    <t>PER</t>
  </si>
  <si>
    <t>Amazonas</t>
  </si>
  <si>
    <t>Italo Espinoza</t>
  </si>
  <si>
    <t>€150m - €475m</t>
  </si>
  <si>
    <t>€18,75m p/m</t>
  </si>
  <si>
    <t>Juventude</t>
  </si>
  <si>
    <t>Jori</t>
  </si>
  <si>
    <t>€4,5m - €45m</t>
  </si>
  <si>
    <t>€8,5m p/m</t>
  </si>
  <si>
    <t>Guarani FC</t>
  </si>
  <si>
    <t>Fabian Volpi</t>
  </si>
  <si>
    <t>€7m - €70m</t>
  </si>
  <si>
    <t>€5,25m p/m</t>
  </si>
  <si>
    <t>Ituano</t>
  </si>
  <si>
    <t>Sergio Román</t>
  </si>
  <si>
    <t>€90m - €900m</t>
  </si>
  <si>
    <t>€19m p/m</t>
  </si>
  <si>
    <t>Athletico Paranaense</t>
  </si>
  <si>
    <t>Facundo Perrone</t>
  </si>
  <si>
    <t>€160m - €1,6M</t>
  </si>
  <si>
    <t>€14,75m p/m</t>
  </si>
  <si>
    <t>xG de Pênaltis Enfrentados</t>
  </si>
  <si>
    <t>xG de Pênaltis Defendidos</t>
  </si>
  <si>
    <t>xG de Pênaltis Enfrentados /90</t>
  </si>
  <si>
    <t>xG de Pênaltis Defendidos /90</t>
  </si>
  <si>
    <t>Diferença (Defendidos -  Esperados)</t>
  </si>
  <si>
    <t>23,53</t>
  </si>
  <si>
    <t>13,56</t>
  </si>
  <si>
    <t>8,83</t>
  </si>
  <si>
    <t>8,99</t>
  </si>
  <si>
    <t>10,68</t>
  </si>
  <si>
    <t>11,25</t>
  </si>
  <si>
    <t>18,44</t>
  </si>
  <si>
    <t>9,26</t>
  </si>
  <si>
    <t>8,37</t>
  </si>
  <si>
    <t>10,83</t>
  </si>
  <si>
    <t>0,48</t>
  </si>
  <si>
    <t>1,08</t>
  </si>
  <si>
    <t>0,92</t>
  </si>
  <si>
    <t>0,02</t>
  </si>
  <si>
    <t>0,39</t>
  </si>
  <si>
    <t>1,36</t>
  </si>
  <si>
    <t>0,78</t>
  </si>
  <si>
    <t>1,51</t>
  </si>
  <si>
    <t>0,76</t>
  </si>
  <si>
    <t>3,26</t>
  </si>
  <si>
    <t>4,59</t>
  </si>
  <si>
    <t>2,79</t>
  </si>
  <si>
    <t>0,87</t>
  </si>
  <si>
    <t>1,75</t>
  </si>
  <si>
    <t>3,29</t>
  </si>
  <si>
    <t>1,1</t>
  </si>
  <si>
    <t>1,12</t>
  </si>
  <si>
    <t>0,68</t>
  </si>
  <si>
    <t>2,32</t>
  </si>
  <si>
    <t>1,3</t>
  </si>
  <si>
    <t>4,17</t>
  </si>
  <si>
    <t>1,52</t>
  </si>
  <si>
    <t>3,27</t>
  </si>
  <si>
    <t>0,2</t>
  </si>
  <si>
    <t>2,96</t>
  </si>
  <si>
    <t>0,57</t>
  </si>
  <si>
    <t>3,64</t>
  </si>
  <si>
    <t>3,98</t>
  </si>
  <si>
    <t>5,6</t>
  </si>
  <si>
    <t>1,26</t>
  </si>
  <si>
    <t>3,1</t>
  </si>
  <si>
    <t>2,37</t>
  </si>
  <si>
    <t>3,99</t>
  </si>
  <si>
    <t>2,64</t>
  </si>
  <si>
    <t>4,68</t>
  </si>
  <si>
    <t>0,56</t>
  </si>
  <si>
    <t>Kaio Jorge</t>
  </si>
  <si>
    <t>Cruzeiro</t>
  </si>
  <si>
    <t>12M € - 20M €</t>
  </si>
  <si>
    <t>59m € - 68m € p/m</t>
  </si>
  <si>
    <t>43 (5)</t>
  </si>
  <si>
    <t>17.24</t>
  </si>
  <si>
    <t>4.86</t>
  </si>
  <si>
    <t>454,8 km</t>
  </si>
  <si>
    <t>Arthur Cabral</t>
  </si>
  <si>
    <t>Botafogo</t>
  </si>
  <si>
    <t>18M €</t>
  </si>
  <si>
    <t>282m € - 325m € p/m</t>
  </si>
  <si>
    <t>44 (15)</t>
  </si>
  <si>
    <t>9.2</t>
  </si>
  <si>
    <t>3.83</t>
  </si>
  <si>
    <t>389,4 km</t>
  </si>
  <si>
    <t>PAR</t>
  </si>
  <si>
    <t>Isidro Pitta</t>
  </si>
  <si>
    <t>RB Bragantino</t>
  </si>
  <si>
    <t>11M € - 16M €</t>
  </si>
  <si>
    <t>60m € - 71,5m € p/m</t>
  </si>
  <si>
    <t>23 (21)</t>
  </si>
  <si>
    <t>13.14</t>
  </si>
  <si>
    <t>2.66</t>
  </si>
  <si>
    <t>266,1 km</t>
  </si>
  <si>
    <t>Reinier</t>
  </si>
  <si>
    <t>Atlético Mineiro</t>
  </si>
  <si>
    <t>7,6M € - 11M €</t>
  </si>
  <si>
    <t>67m € - 77,5m € p/m</t>
  </si>
  <si>
    <t>54 (5)</t>
  </si>
  <si>
    <t>11.12</t>
  </si>
  <si>
    <t>6.12</t>
  </si>
  <si>
    <t>516,7 km</t>
  </si>
  <si>
    <t>Mateo Cassierra</t>
  </si>
  <si>
    <t>8,6M € - 10,5M €</t>
  </si>
  <si>
    <t>58m € - 66m € p/m</t>
  </si>
  <si>
    <t>55 (1)</t>
  </si>
  <si>
    <t>16.59</t>
  </si>
  <si>
    <t>3.94</t>
  </si>
  <si>
    <t>541,3 km</t>
  </si>
  <si>
    <t>URU</t>
  </si>
  <si>
    <t>Jhonatan Candia</t>
  </si>
  <si>
    <t>Barracas Central</t>
  </si>
  <si>
    <t>200m € - 2M €</t>
  </si>
  <si>
    <t>20,5m € - 34m € p/m</t>
  </si>
  <si>
    <t>26 (11)</t>
  </si>
  <si>
    <t>6.88</t>
  </si>
  <si>
    <t>1.66</t>
  </si>
  <si>
    <t>261,0 km</t>
  </si>
  <si>
    <t>Gustavo Henrique</t>
  </si>
  <si>
    <t>Anápolis</t>
  </si>
  <si>
    <t>240m € - 700m €</t>
  </si>
  <si>
    <t>11,5m € - 13m € p/m</t>
  </si>
  <si>
    <t>28 (4)</t>
  </si>
  <si>
    <t>5.17</t>
  </si>
  <si>
    <t>4.1</t>
  </si>
  <si>
    <t>270,9 km</t>
  </si>
  <si>
    <t>Derek</t>
  </si>
  <si>
    <t>650m € - 1,4M €</t>
  </si>
  <si>
    <t>13,25m € - 15,5m € p/m</t>
  </si>
  <si>
    <t>22 (17)</t>
  </si>
  <si>
    <t>8.38</t>
  </si>
  <si>
    <t>3.67</t>
  </si>
  <si>
    <t>250,5 km</t>
  </si>
  <si>
    <t>VEN</t>
  </si>
  <si>
    <t>Brayan Alcócer</t>
  </si>
  <si>
    <t>Metropolitanos</t>
  </si>
  <si>
    <t>45m € - 450m €</t>
  </si>
  <si>
    <t>2,1m € - 2,6m € p/m</t>
  </si>
  <si>
    <t>4.21</t>
  </si>
  <si>
    <t>4.33</t>
  </si>
  <si>
    <t>255,3 km</t>
  </si>
  <si>
    <t>Cristian Núñez</t>
  </si>
  <si>
    <t>Guaraní (PAR)</t>
  </si>
  <si>
    <t>166 cm</t>
  </si>
  <si>
    <t>850m € - 1,9M €</t>
  </si>
  <si>
    <t>7,25m € - 9m € p/m</t>
  </si>
  <si>
    <t>28 (3)</t>
  </si>
  <si>
    <t>5.91</t>
  </si>
  <si>
    <t>3.41</t>
  </si>
  <si>
    <t>329,4 km</t>
  </si>
  <si>
    <t>CHI</t>
  </si>
  <si>
    <t>Patricio Romero Fernández</t>
  </si>
  <si>
    <t>U. de Concepción</t>
  </si>
  <si>
    <t>130m € - 1,3M €</t>
  </si>
  <si>
    <t>975 € - 1,2m € p/m</t>
  </si>
  <si>
    <t>37 (7)</t>
  </si>
  <si>
    <t>7.57</t>
  </si>
  <si>
    <t>1.55</t>
  </si>
  <si>
    <t>340,4 km</t>
  </si>
  <si>
    <t>Lucas Ríos</t>
  </si>
  <si>
    <t>Atlanta</t>
  </si>
  <si>
    <t>60m € - 600m €</t>
  </si>
  <si>
    <t>950 € - 1,5m € p/m</t>
  </si>
  <si>
    <t>6.46</t>
  </si>
  <si>
    <t>2.98</t>
  </si>
  <si>
    <t>349,8 km</t>
  </si>
  <si>
    <t>Brian Blando</t>
  </si>
  <si>
    <t>Agropecuario Argentino</t>
  </si>
  <si>
    <t>4,7m € - 7m € p/m</t>
  </si>
  <si>
    <t>27 (4)</t>
  </si>
  <si>
    <t>10.77</t>
  </si>
  <si>
    <t>1.98</t>
  </si>
  <si>
    <t>245,7 km</t>
  </si>
  <si>
    <t>Enzo Copetti</t>
  </si>
  <si>
    <t>Rosario Central</t>
  </si>
  <si>
    <t>6,2M € - 10,5M €</t>
  </si>
  <si>
    <t>45m € - 72m € p/m</t>
  </si>
  <si>
    <t>27 (8)</t>
  </si>
  <si>
    <t>9.29</t>
  </si>
  <si>
    <t>2.87</t>
  </si>
  <si>
    <t>296,3 km</t>
  </si>
  <si>
    <t>Nicolás Cordero</t>
  </si>
  <si>
    <t>Aldosivi</t>
  </si>
  <si>
    <t>180m € - 1,8M €</t>
  </si>
  <si>
    <t>8,25m € - 13,25m € p/m</t>
  </si>
  <si>
    <t>38 (1)</t>
  </si>
  <si>
    <t>12.36</t>
  </si>
  <si>
    <t>2.91</t>
  </si>
  <si>
    <t>394,4 km</t>
  </si>
  <si>
    <t>Germán Estigarribia</t>
  </si>
  <si>
    <t>Dep. Recoleta</t>
  </si>
  <si>
    <t>Pé Preferido Desconhecido</t>
  </si>
  <si>
    <t>Desconhecido</t>
  </si>
  <si>
    <t>1,2m € - 1,8m € p/m</t>
  </si>
  <si>
    <t>31 (3)</t>
  </si>
  <si>
    <t>6.77</t>
  </si>
  <si>
    <t>2.34</t>
  </si>
  <si>
    <t>332,2 km</t>
  </si>
  <si>
    <t>Federico Girotti</t>
  </si>
  <si>
    <t>Alianza</t>
  </si>
  <si>
    <t>11m € - 16m € p/m</t>
  </si>
  <si>
    <t>11.62</t>
  </si>
  <si>
    <t>2.93</t>
  </si>
  <si>
    <t>365,2 km</t>
  </si>
  <si>
    <t>Álvaro López</t>
  </si>
  <si>
    <t>Albion</t>
  </si>
  <si>
    <t>1,5m € - 2,5m € p/m</t>
  </si>
  <si>
    <t>38 (10)</t>
  </si>
  <si>
    <t>11.27</t>
  </si>
  <si>
    <t>2.27</t>
  </si>
  <si>
    <t>302,3 km</t>
  </si>
  <si>
    <t>Lautaro Palacios</t>
  </si>
  <si>
    <t>D. Copiapó</t>
  </si>
  <si>
    <t>0 € - 90m €</t>
  </si>
  <si>
    <t>11,75m € - 17,75m € p/m</t>
  </si>
  <si>
    <t>36 (2)</t>
  </si>
  <si>
    <t>13.34</t>
  </si>
  <si>
    <t>2.68</t>
  </si>
  <si>
    <t>356,9 km</t>
  </si>
  <si>
    <t>Octavio Bianchi</t>
  </si>
  <si>
    <t>Gimnasia (Jujuy)</t>
  </si>
  <si>
    <t>3,8m € - 6m € p/m</t>
  </si>
  <si>
    <t>6.6</t>
  </si>
  <si>
    <t>1.27</t>
  </si>
  <si>
    <t>302,9 km</t>
  </si>
  <si>
    <t>Antony Alonso</t>
  </si>
  <si>
    <t>Dep. Riestra</t>
  </si>
  <si>
    <t>275m € - 2,8M €</t>
  </si>
  <si>
    <t>12,75m € - 18,5m € p/m</t>
  </si>
  <si>
    <t>5.62</t>
  </si>
  <si>
    <t>2.28</t>
  </si>
  <si>
    <t>282,7 km</t>
  </si>
  <si>
    <t>Ramiro Ruiz Rodríguez</t>
  </si>
  <si>
    <t>Atl. Tucumán</t>
  </si>
  <si>
    <t>700m € - 6,8M €</t>
  </si>
  <si>
    <t>13,25m € - 22m € p/m</t>
  </si>
  <si>
    <t>8.65</t>
  </si>
  <si>
    <t>2.2</t>
  </si>
  <si>
    <t>281,9 km</t>
  </si>
  <si>
    <t>Alexis Cuello</t>
  </si>
  <si>
    <t>San Lorenzo</t>
  </si>
  <si>
    <t>5M € - 6,6M €</t>
  </si>
  <si>
    <t>41m € - 59,5m € p/m</t>
  </si>
  <si>
    <t>39 (3)</t>
  </si>
  <si>
    <t>9.52</t>
  </si>
  <si>
    <t>5.33</t>
  </si>
  <si>
    <t>405,1 km</t>
  </si>
  <si>
    <t>Facundo Pons</t>
  </si>
  <si>
    <t>San Martín (Tucumán)</t>
  </si>
  <si>
    <t>7,75m € - 12,25m € p/m</t>
  </si>
  <si>
    <t>7.33</t>
  </si>
  <si>
    <t>1.75</t>
  </si>
  <si>
    <t>233,4 km</t>
  </si>
  <si>
    <t>Alexis Villarroel</t>
  </si>
  <si>
    <t>Estudiantes Unidos (B)</t>
  </si>
  <si>
    <t>2m € - 7m €</t>
  </si>
  <si>
    <t>230 € - 400 € p/m</t>
  </si>
  <si>
    <t>29 (2)</t>
  </si>
  <si>
    <t>10.98</t>
  </si>
  <si>
    <t>1.71</t>
  </si>
  <si>
    <t>0,0 km</t>
  </si>
  <si>
    <t>Iván Maggi</t>
  </si>
  <si>
    <t>Sportivo Luqueño</t>
  </si>
  <si>
    <t>70m € - 700m €</t>
  </si>
  <si>
    <t>10,5m € - 16,75m € p/m</t>
  </si>
  <si>
    <t>43 (2)</t>
  </si>
  <si>
    <t>10.76</t>
  </si>
  <si>
    <t>2.31</t>
  </si>
  <si>
    <t>303,0 km</t>
  </si>
  <si>
    <t>Jairo Vásquez</t>
  </si>
  <si>
    <t>Camioneros (C. Olivia)</t>
  </si>
  <si>
    <t>0 € - 4,5m €</t>
  </si>
  <si>
    <t>200 € - 330 € p/m</t>
  </si>
  <si>
    <t>2.14</t>
  </si>
  <si>
    <t>Ignacio Russo</t>
  </si>
  <si>
    <t>Tigre</t>
  </si>
  <si>
    <t>7,8M € - 10,5M €</t>
  </si>
  <si>
    <t>19,25m € - 27,5m € p/m</t>
  </si>
  <si>
    <t>29 (3)</t>
  </si>
  <si>
    <t>11.89</t>
  </si>
  <si>
    <t>4.46</t>
  </si>
  <si>
    <t>379,5 km</t>
  </si>
  <si>
    <t>Alan Cantero</t>
  </si>
  <si>
    <t>7m € - 11m € p/m</t>
  </si>
  <si>
    <t>31 (2)</t>
  </si>
  <si>
    <t>9.55</t>
  </si>
  <si>
    <t>4.12</t>
  </si>
  <si>
    <t>280,2 km</t>
  </si>
  <si>
    <t>Leo Ceara</t>
  </si>
  <si>
    <t>Kashima</t>
  </si>
  <si>
    <t>103m € - 174m € p/m</t>
  </si>
  <si>
    <t>36 (3)</t>
  </si>
  <si>
    <t>13.56</t>
  </si>
  <si>
    <t>6.42</t>
  </si>
  <si>
    <t>358,6 km</t>
  </si>
  <si>
    <t>Rafael Ratão</t>
  </si>
  <si>
    <t>SH Shenhua</t>
  </si>
  <si>
    <t>51,5m € - 81m € p/m</t>
  </si>
  <si>
    <t>9.9</t>
  </si>
  <si>
    <t>6.89</t>
  </si>
  <si>
    <t>222,1 km</t>
  </si>
  <si>
    <t>Cryzan</t>
  </si>
  <si>
    <t>Shandong</t>
  </si>
  <si>
    <t>178m € - 267m € p/m</t>
  </si>
  <si>
    <t>10.03</t>
  </si>
  <si>
    <t>3.73</t>
  </si>
  <si>
    <t>116,9 km</t>
  </si>
  <si>
    <t>Matheus Jesus</t>
  </si>
  <si>
    <t>Nagasaki</t>
  </si>
  <si>
    <t>24m € - 36,5m € p/m</t>
  </si>
  <si>
    <t>25 (7)</t>
  </si>
  <si>
    <t>7.49</t>
  </si>
  <si>
    <t>2.63</t>
  </si>
  <si>
    <t>291,8 km</t>
  </si>
  <si>
    <t>Carlos Vinícius</t>
  </si>
  <si>
    <t>Grêmio</t>
  </si>
  <si>
    <t>4,4M €</t>
  </si>
  <si>
    <t>101m € - 139m € p/m</t>
  </si>
  <si>
    <t>40 (5)</t>
  </si>
  <si>
    <t>13.95</t>
  </si>
  <si>
    <t>5.24</t>
  </si>
  <si>
    <t>385,6 km</t>
  </si>
  <si>
    <t>Mario Sergio</t>
  </si>
  <si>
    <t>Sapporo</t>
  </si>
  <si>
    <t>50m € - 500m €</t>
  </si>
  <si>
    <t>19,5m € - 30m € p/m</t>
  </si>
  <si>
    <t>39 (1)</t>
  </si>
  <si>
    <t>12.41</t>
  </si>
  <si>
    <t>5.49</t>
  </si>
  <si>
    <t>João Klauss</t>
  </si>
  <si>
    <t>LA Galaxy</t>
  </si>
  <si>
    <t>51m € - 83m € p/m</t>
  </si>
  <si>
    <t>53 (5)</t>
  </si>
  <si>
    <t>22.74</t>
  </si>
  <si>
    <t>3.93</t>
  </si>
  <si>
    <t>342,0 km</t>
  </si>
  <si>
    <t>Matheus Peixoto</t>
  </si>
  <si>
    <t>Iwata</t>
  </si>
  <si>
    <t>100m € - 1M €</t>
  </si>
  <si>
    <t>21m € - 30m € p/m</t>
  </si>
  <si>
    <t>31 (15)</t>
  </si>
  <si>
    <t>8.76</t>
  </si>
  <si>
    <t>3.19</t>
  </si>
  <si>
    <t>350,9 km</t>
  </si>
  <si>
    <t>Juninho Piauiense</t>
  </si>
  <si>
    <t>Muharraq</t>
  </si>
  <si>
    <t>9,75m € - 15,5m € p/m</t>
  </si>
  <si>
    <t>10.22</t>
  </si>
  <si>
    <t>2.65</t>
  </si>
  <si>
    <t>302,7 km</t>
  </si>
  <si>
    <t>Alisson Safira</t>
  </si>
  <si>
    <t>350m € - 3,6M €</t>
  </si>
  <si>
    <t>15,25m € - 21,5m € p/m</t>
  </si>
  <si>
    <t>46 (6)</t>
  </si>
  <si>
    <t>11.8</t>
  </si>
  <si>
    <t>3.8</t>
  </si>
  <si>
    <t>397,5 km</t>
  </si>
  <si>
    <t>Rafael Navarro</t>
  </si>
  <si>
    <t>Colorado</t>
  </si>
  <si>
    <t>74,5m € - 108m € p/m</t>
  </si>
  <si>
    <t>15.24</t>
  </si>
  <si>
    <t>5.04</t>
  </si>
  <si>
    <t>29,3 km</t>
  </si>
  <si>
    <t>Marcelo Ryan</t>
  </si>
  <si>
    <t>FC Tokyo</t>
  </si>
  <si>
    <t>29,5m € - 46,5m € p/m</t>
  </si>
  <si>
    <t>41 (4)</t>
  </si>
  <si>
    <t>16.78</t>
  </si>
  <si>
    <t>4.84</t>
  </si>
  <si>
    <t>313,8 km</t>
  </si>
  <si>
    <t>Matheus Babi</t>
  </si>
  <si>
    <t>Suwon FC</t>
  </si>
  <si>
    <t>13m € - 19,75m € p/m</t>
  </si>
  <si>
    <t>15.46</t>
  </si>
  <si>
    <t>1.17</t>
  </si>
  <si>
    <t>203,3 km</t>
  </si>
  <si>
    <t>Dominic Vinícius</t>
  </si>
  <si>
    <t>SJZ Gongfu</t>
  </si>
  <si>
    <t>18,25m € - 28,5m € p/m</t>
  </si>
  <si>
    <t>29 (1)</t>
  </si>
  <si>
    <t>10.6</t>
  </si>
  <si>
    <t>1.83</t>
  </si>
  <si>
    <t>Gabriel Barbosa</t>
  </si>
  <si>
    <t>Santos</t>
  </si>
  <si>
    <t>35m € - 9,2M €</t>
  </si>
  <si>
    <t>302m € - 424m € p/m</t>
  </si>
  <si>
    <t>18.26</t>
  </si>
  <si>
    <t>7.24</t>
  </si>
  <si>
    <t>443,8 km</t>
  </si>
  <si>
    <t>Wesley Moraes</t>
  </si>
  <si>
    <t>Peng City</t>
  </si>
  <si>
    <t>70,5m € - 104m € p/m</t>
  </si>
  <si>
    <t>10.51</t>
  </si>
  <si>
    <t>Gabriel Santos</t>
  </si>
  <si>
    <t>Seoul E-Land</t>
  </si>
  <si>
    <t>7,25m € - 12m € p/m</t>
  </si>
  <si>
    <t>25 (11)</t>
  </si>
  <si>
    <t>8.68</t>
  </si>
  <si>
    <t>2.81</t>
  </si>
  <si>
    <t>62,1 km</t>
  </si>
  <si>
    <t>Mathias Pinto</t>
  </si>
  <si>
    <t>Santa Cruz</t>
  </si>
  <si>
    <t>725 € - 1,2m € p/m</t>
  </si>
  <si>
    <t>25 (9)</t>
  </si>
  <si>
    <t>5.43</t>
  </si>
  <si>
    <t>3.9</t>
  </si>
  <si>
    <t>255,5 km</t>
  </si>
  <si>
    <t>Gonzalo Álvarez</t>
  </si>
  <si>
    <t>1,2m € - 1,7m € p/m</t>
  </si>
  <si>
    <t>28 (5)</t>
  </si>
  <si>
    <t>4.45</t>
  </si>
  <si>
    <t>1.86</t>
  </si>
  <si>
    <t>286,2 km</t>
  </si>
  <si>
    <t>Diego Valencia</t>
  </si>
  <si>
    <t>Univ. Católica</t>
  </si>
  <si>
    <t>75m € - 750m €</t>
  </si>
  <si>
    <t>11,5m € - 19m € p/m</t>
  </si>
  <si>
    <t>19 (20)</t>
  </si>
  <si>
    <t>10.13</t>
  </si>
  <si>
    <t>2.11</t>
  </si>
  <si>
    <t>262,1 km</t>
  </si>
  <si>
    <t>Sebastián Pérez</t>
  </si>
  <si>
    <t>Puerto Montt</t>
  </si>
  <si>
    <t>450 € - 750 € p/m</t>
  </si>
  <si>
    <t>4.05</t>
  </si>
  <si>
    <t>247,0 km</t>
  </si>
  <si>
    <t>Maximiliano Rodríguez</t>
  </si>
  <si>
    <t>Huachipato</t>
  </si>
  <si>
    <t>2,5m € - 4,3m € p/m</t>
  </si>
  <si>
    <t>34 (2)</t>
  </si>
  <si>
    <t>11.95</t>
  </si>
  <si>
    <t>312,5 km</t>
  </si>
  <si>
    <t>Gonzalo Tapia</t>
  </si>
  <si>
    <t>São Paulo</t>
  </si>
  <si>
    <t>10,5M € - 12,5M €</t>
  </si>
  <si>
    <t>34,5m € - 48m € p/m</t>
  </si>
  <si>
    <t>27 (13)</t>
  </si>
  <si>
    <t>8.75</t>
  </si>
  <si>
    <t>4.76</t>
  </si>
  <si>
    <t>300,7 km</t>
  </si>
  <si>
    <t>Bruno Barticciotto</t>
  </si>
  <si>
    <t>Talleres</t>
  </si>
  <si>
    <t>7,2M € - 12M €</t>
  </si>
  <si>
    <t>42,5m € - 66m € p/m</t>
  </si>
  <si>
    <t>9.67</t>
  </si>
  <si>
    <t>323,1 km</t>
  </si>
  <si>
    <t>Mauro Manotas</t>
  </si>
  <si>
    <t>Real Cartagena</t>
  </si>
  <si>
    <t>14m € - 130m €</t>
  </si>
  <si>
    <t>18,25m € - 27,5m € p/m</t>
  </si>
  <si>
    <t>17 (30)</t>
  </si>
  <si>
    <t>10.95</t>
  </si>
  <si>
    <t>1.18</t>
  </si>
  <si>
    <t>269,8 km</t>
  </si>
  <si>
    <t>Rafael Santos Borré</t>
  </si>
  <si>
    <t>Internacional</t>
  </si>
  <si>
    <t>272m € - 382m € p/m</t>
  </si>
  <si>
    <t>45 (2)</t>
  </si>
  <si>
    <t>13.09</t>
  </si>
  <si>
    <t>5.8</t>
  </si>
  <si>
    <t>494,8 km</t>
  </si>
  <si>
    <t>Nicolás Fernández</t>
  </si>
  <si>
    <t>Belgrano</t>
  </si>
  <si>
    <t>167 cm</t>
  </si>
  <si>
    <t>100m € - 12,5M €</t>
  </si>
  <si>
    <t>28,5m € - 43,5m € p/m</t>
  </si>
  <si>
    <t>5.88</t>
  </si>
  <si>
    <t>3.5</t>
  </si>
  <si>
    <t>255,9 km</t>
  </si>
  <si>
    <t>Alex Valera</t>
  </si>
  <si>
    <t>Universitario</t>
  </si>
  <si>
    <t>19,75m € - 29m € p/m</t>
  </si>
  <si>
    <t>15.38</t>
  </si>
  <si>
    <t>2.48</t>
  </si>
  <si>
    <t>359,8 km</t>
  </si>
  <si>
    <t>Leonardo Heredia</t>
  </si>
  <si>
    <t>Platense</t>
  </si>
  <si>
    <t>700m € - 7,2M €</t>
  </si>
  <si>
    <t>11,25m € - 17,5m € p/m</t>
  </si>
  <si>
    <t>35 (1)</t>
  </si>
  <si>
    <t>13.18</t>
  </si>
  <si>
    <t>6.44</t>
  </si>
  <si>
    <t>336,5 km</t>
  </si>
  <si>
    <t>Nicolás Sosa</t>
  </si>
  <si>
    <t>Racing</t>
  </si>
  <si>
    <t>6,5m € - 10m € p/m</t>
  </si>
  <si>
    <t>30 (2)</t>
  </si>
  <si>
    <t>5.31</t>
  </si>
  <si>
    <t>293,9 km</t>
  </si>
  <si>
    <t>Miguel Merentiel</t>
  </si>
  <si>
    <t>Boca Juniors</t>
  </si>
  <si>
    <t>11,5M € - 18M €</t>
  </si>
  <si>
    <t>70m € - 114m € p/m</t>
  </si>
  <si>
    <t>14.76</t>
  </si>
  <si>
    <t>4.28</t>
  </si>
  <si>
    <t>464,2 km</t>
  </si>
  <si>
    <t>Gonzalo Carneiro</t>
  </si>
  <si>
    <t>18,75m € - 29,5m € p/m</t>
  </si>
  <si>
    <t>27 (11)</t>
  </si>
  <si>
    <t>1.93</t>
  </si>
  <si>
    <t>264,3 km</t>
  </si>
  <si>
    <t>Diego Coelho</t>
  </si>
  <si>
    <t>Audax</t>
  </si>
  <si>
    <t>3,8m € - 6,5m € p/m</t>
  </si>
  <si>
    <t>6.91</t>
  </si>
  <si>
    <t>0.7</t>
  </si>
  <si>
    <t>269,2 km</t>
  </si>
  <si>
    <t>Santiago Paiva</t>
  </si>
  <si>
    <t>Cerro</t>
  </si>
  <si>
    <t>4,2m € - 6,75m € p/m</t>
  </si>
  <si>
    <t>4.95</t>
  </si>
  <si>
    <t>1.24</t>
  </si>
  <si>
    <t>239,7 km</t>
  </si>
  <si>
    <t>Pablo López</t>
  </si>
  <si>
    <t>Tacuarembó FC</t>
  </si>
  <si>
    <t>169 cm</t>
  </si>
  <si>
    <t>1,2m € - 1,9m € p/m</t>
  </si>
  <si>
    <t>26 (1)</t>
  </si>
  <si>
    <t>4.09</t>
  </si>
  <si>
    <t>1.7</t>
  </si>
  <si>
    <t>258,9 km</t>
  </si>
  <si>
    <t>José Neris</t>
  </si>
  <si>
    <t>Emelec</t>
  </si>
  <si>
    <t>8,75m € - 15,5m € p/m</t>
  </si>
  <si>
    <t>6.39</t>
  </si>
  <si>
    <t>2.29</t>
  </si>
  <si>
    <t>259,7 km</t>
  </si>
  <si>
    <t>Thiago Vecino</t>
  </si>
  <si>
    <t>O'Higgins</t>
  </si>
  <si>
    <t>4,8m € - 7,5m € p/m</t>
  </si>
  <si>
    <t>11.96</t>
  </si>
  <si>
    <t>348,4 km</t>
  </si>
  <si>
    <t>Matías Arezo</t>
  </si>
  <si>
    <t>Peñarol</t>
  </si>
  <si>
    <t>85m € - 850m €</t>
  </si>
  <si>
    <t>107m € - 161m € p/m</t>
  </si>
  <si>
    <t>46 (2)</t>
  </si>
  <si>
    <t>17.42</t>
  </si>
  <si>
    <t>3.95</t>
  </si>
  <si>
    <t>464,9 km</t>
  </si>
  <si>
    <t>Salomón Rodríguez</t>
  </si>
  <si>
    <t>MC Torque</t>
  </si>
  <si>
    <t>12,75m € - 19,25m € p/m</t>
  </si>
  <si>
    <t>1.3</t>
  </si>
  <si>
    <t>318,9 km</t>
  </si>
  <si>
    <t>Walter González</t>
  </si>
  <si>
    <t>4,7m € - 8m € p/m</t>
  </si>
  <si>
    <t>33 (1)</t>
  </si>
  <si>
    <t>9.33</t>
  </si>
  <si>
    <t>2.13</t>
  </si>
  <si>
    <t>312,0 km</t>
  </si>
  <si>
    <t>Sebastián Ferreira</t>
  </si>
  <si>
    <t>Olimpia</t>
  </si>
  <si>
    <t>110m € - 1,1M €</t>
  </si>
  <si>
    <t>17,5m € - 25,5m € p/m</t>
  </si>
  <si>
    <t>7.54</t>
  </si>
  <si>
    <t>1.99</t>
  </si>
  <si>
    <t>266,3 km</t>
  </si>
  <si>
    <t>Álex Arce</t>
  </si>
  <si>
    <t>Independiente Rivadavia</t>
  </si>
  <si>
    <t>30m € - 47,5m € p/m</t>
  </si>
  <si>
    <t>15.8</t>
  </si>
  <si>
    <t>294,9 km</t>
  </si>
  <si>
    <t>Nahuel Bustos</t>
  </si>
  <si>
    <t>Independiente Santa Fe</t>
  </si>
  <si>
    <t>42m € - 71,5m € p/m</t>
  </si>
  <si>
    <t>38 (5)</t>
  </si>
  <si>
    <t>8.99</t>
  </si>
  <si>
    <t>3.62</t>
  </si>
  <si>
    <t>296,7 km</t>
  </si>
  <si>
    <t>Tomás Molina</t>
  </si>
  <si>
    <t>Argentinos Jrs.</t>
  </si>
  <si>
    <t>18,5m € - 26,5m € p/m</t>
  </si>
  <si>
    <t>17.79</t>
  </si>
  <si>
    <t>2.42</t>
  </si>
  <si>
    <t>424,5 km</t>
  </si>
  <si>
    <t>ECU</t>
  </si>
  <si>
    <t>Miguel Parrales</t>
  </si>
  <si>
    <t>Barcelona S.C.</t>
  </si>
  <si>
    <t>18,25m € - 27m € p/m</t>
  </si>
  <si>
    <t>15.55</t>
  </si>
  <si>
    <t>3.59</t>
  </si>
  <si>
    <t>383,7 km</t>
  </si>
  <si>
    <t>Michael Estrada</t>
  </si>
  <si>
    <t>Liga de Quito</t>
  </si>
  <si>
    <t>23m € - 34,5m € p/m</t>
  </si>
  <si>
    <t>34 (1)</t>
  </si>
  <si>
    <t>12.73</t>
  </si>
  <si>
    <t>1.58</t>
  </si>
  <si>
    <t>327,0 km</t>
  </si>
  <si>
    <t>BOL</t>
  </si>
  <si>
    <t>Carmelo Algarañaz</t>
  </si>
  <si>
    <t>The Strongest</t>
  </si>
  <si>
    <t>5,5m € - 9,25m € p/m</t>
  </si>
  <si>
    <t>40 (6)</t>
  </si>
  <si>
    <t>10.74</t>
  </si>
  <si>
    <t>7.18</t>
  </si>
  <si>
    <t>341,8 km</t>
  </si>
  <si>
    <t>Bryan Angulo</t>
  </si>
  <si>
    <t>Deportivo Moquegua</t>
  </si>
  <si>
    <t>6,25m € - 9m € p/m</t>
  </si>
  <si>
    <t>7.37</t>
  </si>
  <si>
    <t>2.18</t>
  </si>
  <si>
    <t>229,3 km</t>
  </si>
  <si>
    <t>José Angulo</t>
  </si>
  <si>
    <t>Manta</t>
  </si>
  <si>
    <t>5m € - 8,75m € p/m</t>
  </si>
  <si>
    <t>7.6</t>
  </si>
  <si>
    <t>2.95</t>
  </si>
  <si>
    <t>226,6 km</t>
  </si>
  <si>
    <t>Eric Ramírez</t>
  </si>
  <si>
    <t>Carabobo</t>
  </si>
  <si>
    <t>7,5m € - 12,5m € p/m</t>
  </si>
  <si>
    <t>12.51</t>
  </si>
  <si>
    <t>1.35</t>
  </si>
  <si>
    <t>251,7 km</t>
  </si>
  <si>
    <t>Víctor Abrego</t>
  </si>
  <si>
    <t>2.72</t>
  </si>
  <si>
    <t>337,9 km</t>
  </si>
  <si>
    <t>Byron Palacios</t>
  </si>
  <si>
    <t>U. Católica (Quito)</t>
  </si>
  <si>
    <t>8m € - 12,75m € p/m</t>
  </si>
  <si>
    <t>12.72</t>
  </si>
  <si>
    <t>337,5 km</t>
  </si>
  <si>
    <t>Maximiliano Salas</t>
  </si>
  <si>
    <t>River Plate</t>
  </si>
  <si>
    <t>5,8M € - 7,6M €</t>
  </si>
  <si>
    <t>33m € - 51m € p/m</t>
  </si>
  <si>
    <t>11.74</t>
  </si>
  <si>
    <t>317,3 km</t>
  </si>
  <si>
    <t>Saúl Guarirapa</t>
  </si>
  <si>
    <t>Zhejiang</t>
  </si>
  <si>
    <t>38,5m € - 57m € p/m</t>
  </si>
  <si>
    <t>10.69</t>
  </si>
  <si>
    <t>1.06</t>
  </si>
  <si>
    <t>105,1 km</t>
  </si>
  <si>
    <t>Santiago Rodríguez</t>
  </si>
  <si>
    <t>Gimnasia (Mendoza)</t>
  </si>
  <si>
    <t>171 cm</t>
  </si>
  <si>
    <t>2,2M € - 4,9M €</t>
  </si>
  <si>
    <t>21,5m € - 33m € p/m</t>
  </si>
  <si>
    <t>28 (1)</t>
  </si>
  <si>
    <t>5.48</t>
  </si>
  <si>
    <t>2.69</t>
  </si>
  <si>
    <t>231,8 km</t>
  </si>
  <si>
    <t>Rwan Cruz</t>
  </si>
  <si>
    <t>Ludogorets</t>
  </si>
  <si>
    <t>170m € - 12M €</t>
  </si>
  <si>
    <t>22,5m € - 34,5m € p/m</t>
  </si>
  <si>
    <t>8.44</t>
  </si>
  <si>
    <t>2.79</t>
  </si>
  <si>
    <t>235,8 km</t>
  </si>
  <si>
    <t>Leandro Moreira</t>
  </si>
  <si>
    <t>Argentino (Merlo)</t>
  </si>
  <si>
    <t>0 € - 70m €</t>
  </si>
  <si>
    <t>12.26</t>
  </si>
  <si>
    <t>0.99</t>
  </si>
  <si>
    <t>299,3 km</t>
  </si>
  <si>
    <t>Ramiro Pávez</t>
  </si>
  <si>
    <t>Fernández Vial</t>
  </si>
  <si>
    <t>140 € - 250 € p/m</t>
  </si>
  <si>
    <t>6.55</t>
  </si>
  <si>
    <t>2.38</t>
  </si>
  <si>
    <t>Nelson Da Silva</t>
  </si>
  <si>
    <t>Palestino</t>
  </si>
  <si>
    <t>2,9m € - 4,6m € p/m</t>
  </si>
  <si>
    <t>8.83</t>
  </si>
  <si>
    <t>3.46</t>
  </si>
  <si>
    <t>363,3 km</t>
  </si>
  <si>
    <t>Kauã Elias</t>
  </si>
  <si>
    <t>Shakhtar</t>
  </si>
  <si>
    <t>33m € - 47m € p/m</t>
  </si>
  <si>
    <t>8.6</t>
  </si>
  <si>
    <t>3.23</t>
  </si>
  <si>
    <t>289,2 km</t>
  </si>
  <si>
    <t>Charles</t>
  </si>
  <si>
    <t>Serra Branca</t>
  </si>
  <si>
    <t>1,5m € - 14m €</t>
  </si>
  <si>
    <t>4,6m € - 6,75m € p/m</t>
  </si>
  <si>
    <t>4.72</t>
  </si>
  <si>
    <t>334,8 km</t>
  </si>
  <si>
    <t>Alonso Barría</t>
  </si>
  <si>
    <t>Artigas de Rivera</t>
  </si>
  <si>
    <t>N/D</t>
  </si>
  <si>
    <t>12.55</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</si>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</sst>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
    <numFmt numFmtId="165" formatCode="0.0%"/>
    <numFmt numFmtId="166" formatCode="_-[$€-2]\ * #,##0.00_ ;_-[$€-2]\ * \-#,##0.00\ ;_-[$€-2]\ * &quot;-&quot;??_ ;_-@_ "/>
    <numFmt numFmtId="167" formatCode="_-[$€-2]\ * #,##0.00_-;\-[$€-2]\ * #,##0.00_-;_-[$€-2]\ * &quot;-&quot;??_-;_-@_-"/>
    <numFmt numFmtId="168" formatCode="0.000"/>
    <numFmt numFmtId="169" formatCode="0.0000"/>
    <numFmt numFmtId="170" formatCode="[$€-2]\ #,##0;[Red]\-[$€-2]\ #,##0"/>
  </numFmts>
  <fonts count="94" x14ac:knownFonts="1">
    <font>
      <sz val="11"/>
      <color theme="1"/>
      <name val="Calibri"/>
      <family val="2"/>
      <scheme val="minor"/>
    </font>
    <font>
      <b/>
      <sz val="9"/>
      <color theme="1"/>
      <name val="Verdana"/>
      <family val="2"/>
    </font>
    <font>
      <sz val="9"/>
      <color theme="1"/>
      <name val="Verdana"/>
      <family val="2"/>
    </font>
    <font>
      <b/>
      <sz val="11"/>
      <color theme="1"/>
      <name val="Calibri"/>
      <family val="2"/>
      <scheme val="minor"/>
    </font>
    <font>
      <b/>
      <sz val="9"/>
      <color theme="0" tint="0.79998168889431442"/>
      <name val="Verdana"/>
      <family val="2"/>
    </font>
    <font>
      <b/>
      <sz val="12"/>
      <color theme="1"/>
      <name val="Calibri"/>
      <family val="2"/>
      <scheme val="minor"/>
    </font>
    <font>
      <sz val="10"/>
      <color theme="1"/>
      <name val="Calibri"/>
      <family val="2"/>
      <scheme val="minor"/>
    </font>
    <font>
      <sz val="11"/>
      <color theme="1"/>
      <name val="Calibri"/>
      <family val="2"/>
      <scheme val="minor"/>
    </font>
    <font>
      <b/>
      <sz val="8"/>
      <color theme="0" tint="0.79998168889431442"/>
      <name val="Verdana"/>
      <family val="2"/>
    </font>
    <font>
      <b/>
      <sz val="9"/>
      <color theme="1" tint="4.9989318521683403E-2"/>
      <name val="Verdana"/>
      <family val="2"/>
    </font>
    <font>
      <b/>
      <sz val="8"/>
      <color theme="1" tint="4.9989318521683403E-2"/>
      <name val="Verdana"/>
      <family val="2"/>
    </font>
    <font>
      <b/>
      <i/>
      <sz val="10"/>
      <color theme="1" tint="4.9989318521683403E-2"/>
      <name val="Calibri"/>
      <family val="2"/>
      <scheme val="minor"/>
    </font>
    <font>
      <b/>
      <sz val="8"/>
      <color theme="1"/>
      <name val="Verdana"/>
      <family val="2"/>
    </font>
    <font>
      <b/>
      <sz val="9"/>
      <color theme="7" tint="0.39997558519241921"/>
      <name val="Verdana"/>
      <family val="2"/>
    </font>
    <font>
      <b/>
      <sz val="9"/>
      <color theme="5" tint="0.39997558519241921"/>
      <name val="Verdana"/>
      <family val="2"/>
    </font>
    <font>
      <b/>
      <sz val="9"/>
      <color rgb="FFFFFF00"/>
      <name val="Verdana"/>
      <family val="2"/>
    </font>
    <font>
      <b/>
      <sz val="9"/>
      <color theme="7" tint="0.79998168889431442"/>
      <name val="Verdana"/>
      <family val="2"/>
    </font>
    <font>
      <b/>
      <sz val="9"/>
      <color theme="0" tint="0.39997558519241921"/>
      <name val="Verdana"/>
      <family val="2"/>
    </font>
    <font>
      <sz val="11"/>
      <color theme="1"/>
      <name val="Calibri"/>
      <family val="2"/>
    </font>
    <font>
      <b/>
      <sz val="11"/>
      <color theme="1" tint="4.9989318521683403E-2"/>
      <name val="Calibri"/>
      <family val="2"/>
      <scheme val="minor"/>
    </font>
    <font>
      <b/>
      <sz val="12"/>
      <color theme="1"/>
      <name val="Calibri"/>
      <family val="2"/>
    </font>
    <font>
      <b/>
      <sz val="9"/>
      <color theme="4" tint="-0.499984740745262"/>
      <name val="Verdana"/>
      <family val="2"/>
    </font>
    <font>
      <b/>
      <sz val="9"/>
      <color theme="0" tint="0.59999389629810485"/>
      <name val="Verdana"/>
      <family val="2"/>
    </font>
    <font>
      <b/>
      <sz val="11"/>
      <color theme="1"/>
      <name val="Calibri"/>
      <family val="2"/>
    </font>
    <font>
      <b/>
      <sz val="9"/>
      <color theme="1" tint="0.14999847407452621"/>
      <name val="Verdana"/>
      <family val="2"/>
    </font>
    <font>
      <b/>
      <sz val="9"/>
      <color theme="5" tint="0.59999389629810485"/>
      <name val="Verdana"/>
      <family val="2"/>
    </font>
    <font>
      <b/>
      <i/>
      <u/>
      <sz val="11"/>
      <color theme="1"/>
      <name val="Calibri"/>
      <family val="2"/>
      <scheme val="minor"/>
    </font>
    <font>
      <b/>
      <sz val="8"/>
      <color theme="0" tint="0.39997558519241921"/>
      <name val="Verdana"/>
      <family val="2"/>
    </font>
    <font>
      <b/>
      <i/>
      <sz val="11"/>
      <color theme="1"/>
      <name val="Calibri"/>
      <family val="2"/>
      <scheme val="minor"/>
    </font>
    <font>
      <b/>
      <sz val="8"/>
      <color theme="7" tint="0.39997558519241921"/>
      <name val="Verdana"/>
      <family val="2"/>
    </font>
    <font>
      <b/>
      <sz val="8"/>
      <color theme="0" tint="0.59999389629810485"/>
      <name val="Verdana"/>
      <family val="2"/>
    </font>
    <font>
      <b/>
      <sz val="8"/>
      <color rgb="FFFF0000"/>
      <name val="Verdana"/>
      <family val="2"/>
    </font>
    <font>
      <b/>
      <i/>
      <sz val="11"/>
      <color theme="1" tint="0.14999847407452621"/>
      <name val="Verdana"/>
      <family val="2"/>
    </font>
    <font>
      <b/>
      <sz val="9"/>
      <color rgb="FFFF9B9B"/>
      <name val="Verdana"/>
      <family val="2"/>
    </font>
    <font>
      <b/>
      <sz val="9"/>
      <color rgb="FFC00000"/>
      <name val="Verdana"/>
      <family val="2"/>
    </font>
    <font>
      <b/>
      <i/>
      <sz val="11"/>
      <color theme="1"/>
      <name val="Calibri"/>
      <family val="2"/>
    </font>
    <font>
      <b/>
      <sz val="9"/>
      <color theme="7" tint="0.59999389629810485"/>
      <name val="Verdana"/>
      <family val="2"/>
    </font>
    <font>
      <b/>
      <sz val="10"/>
      <color rgb="FF00B0F0"/>
      <name val="Verdana"/>
      <family val="2"/>
    </font>
    <font>
      <b/>
      <sz val="10"/>
      <color theme="4" tint="0.59999389629810485"/>
      <name val="Verdana"/>
      <family val="2"/>
    </font>
    <font>
      <b/>
      <sz val="9"/>
      <color theme="3" tint="-0.499984740745262"/>
      <name val="Verdana"/>
      <family val="2"/>
    </font>
    <font>
      <b/>
      <sz val="9"/>
      <color rgb="FFFF0000"/>
      <name val="Verdana"/>
      <family val="2"/>
    </font>
    <font>
      <b/>
      <sz val="11"/>
      <color theme="1" tint="0.14999847407452621"/>
      <name val="Calibri"/>
      <family val="2"/>
    </font>
    <font>
      <b/>
      <sz val="9"/>
      <color rgb="FF17230F"/>
      <name val="Verdana"/>
      <family val="2"/>
    </font>
    <font>
      <b/>
      <sz val="14"/>
      <color theme="4" tint="-0.499984740745262"/>
      <name val="Calibri"/>
      <family val="2"/>
      <scheme val="minor"/>
    </font>
    <font>
      <b/>
      <sz val="11"/>
      <color theme="0" tint="0.79998168889431442"/>
      <name val="Calibri"/>
      <family val="2"/>
    </font>
    <font>
      <b/>
      <sz val="8"/>
      <color theme="5" tint="0.39997558519241921"/>
      <name val="Verdana"/>
      <family val="2"/>
    </font>
    <font>
      <b/>
      <sz val="9"/>
      <color theme="4" tint="0.79998168889431442"/>
      <name val="Verdana"/>
      <family val="2"/>
    </font>
    <font>
      <b/>
      <sz val="9"/>
      <color indexed="81"/>
      <name val="Segoe UI"/>
      <family val="2"/>
    </font>
    <font>
      <b/>
      <sz val="9"/>
      <color theme="5" tint="-0.249977111117893"/>
      <name val="Verdana"/>
      <family val="2"/>
    </font>
    <font>
      <sz val="9"/>
      <color indexed="81"/>
      <name val="Segoe UI"/>
      <family val="2"/>
    </font>
    <font>
      <b/>
      <sz val="10"/>
      <color indexed="81"/>
      <name val="Segoe UI"/>
      <family val="2"/>
    </font>
    <font>
      <b/>
      <sz val="9"/>
      <color rgb="FFFFC000"/>
      <name val="Verdana"/>
      <family val="2"/>
    </font>
    <font>
      <sz val="8"/>
      <name val="Calibri"/>
      <family val="2"/>
      <scheme val="minor"/>
    </font>
    <font>
      <i/>
      <sz val="11"/>
      <color theme="1"/>
      <name val="Calibri"/>
      <family val="2"/>
      <scheme val="minor"/>
    </font>
    <font>
      <sz val="14"/>
      <color theme="1"/>
      <name val="Calibri"/>
      <family val="2"/>
      <scheme val="minor"/>
    </font>
    <font>
      <b/>
      <sz val="11"/>
      <color theme="0" tint="0.79998168889431442"/>
      <name val="Calibri"/>
      <family val="2"/>
      <scheme val="minor"/>
    </font>
    <font>
      <b/>
      <sz val="12"/>
      <color theme="0" tint="0.39997558519241921"/>
      <name val="Calibri"/>
      <family val="2"/>
      <scheme val="minor"/>
    </font>
    <font>
      <b/>
      <sz val="12"/>
      <color theme="1" tint="4.9989318521683403E-2"/>
      <name val="Calibri"/>
      <family val="2"/>
      <scheme val="minor"/>
    </font>
    <font>
      <b/>
      <sz val="9"/>
      <color theme="0" tint="0.79998168889431442"/>
      <name val="Calibri"/>
      <family val="2"/>
      <scheme val="minor"/>
    </font>
    <font>
      <b/>
      <sz val="8"/>
      <color theme="0" tint="0.79998168889431442"/>
      <name val="Calibri"/>
      <family val="2"/>
      <scheme val="minor"/>
    </font>
    <font>
      <b/>
      <sz val="14"/>
      <color theme="1"/>
      <name val="Calibri"/>
      <family val="2"/>
      <scheme val="minor"/>
    </font>
    <font>
      <b/>
      <sz val="10"/>
      <color theme="0" tint="0.79998168889431442"/>
      <name val="Calibri"/>
      <family val="2"/>
      <scheme val="minor"/>
    </font>
    <font>
      <b/>
      <sz val="16"/>
      <color theme="0" tint="0.79998168889431442"/>
      <name val="Calibri"/>
      <family val="2"/>
      <scheme val="minor"/>
    </font>
    <font>
      <b/>
      <sz val="10"/>
      <color theme="1"/>
      <name val="Calibri"/>
      <family val="2"/>
      <scheme val="minor"/>
    </font>
    <font>
      <b/>
      <sz val="11"/>
      <color rgb="FFFFC000"/>
      <name val="Calibri"/>
      <family val="2"/>
      <scheme val="minor"/>
    </font>
    <font>
      <b/>
      <sz val="12"/>
      <color rgb="FFFFC000"/>
      <name val="Calibri"/>
      <family val="2"/>
      <scheme val="minor"/>
    </font>
    <font>
      <b/>
      <sz val="14"/>
      <color theme="0" tint="0.39997558519241921"/>
      <name val="Calibri"/>
      <family val="2"/>
      <scheme val="minor"/>
    </font>
    <font>
      <b/>
      <sz val="12"/>
      <color theme="0" tint="0.79998168889431442"/>
      <name val="Calibri"/>
      <family val="2"/>
      <scheme val="minor"/>
    </font>
    <font>
      <b/>
      <sz val="9"/>
      <color theme="0" tint="-4.9989318521683403E-2"/>
      <name val="Verdana"/>
      <family val="2"/>
    </font>
    <font>
      <b/>
      <sz val="11"/>
      <color theme="0"/>
      <name val="Calibri"/>
      <family val="2"/>
    </font>
    <font>
      <b/>
      <sz val="11"/>
      <color theme="0" tint="-4.9989318521683403E-2"/>
      <name val="Calibri"/>
      <family val="2"/>
      <scheme val="minor"/>
    </font>
    <font>
      <b/>
      <sz val="11"/>
      <color theme="0" tint="-4.9989318521683403E-2"/>
      <name val="Calibri"/>
      <family val="2"/>
    </font>
    <font>
      <sz val="11"/>
      <color theme="0" tint="-4.9989318521683403E-2"/>
      <name val="Calibri"/>
      <family val="2"/>
      <scheme val="minor"/>
    </font>
    <font>
      <b/>
      <sz val="9"/>
      <color theme="5" tint="0.79998168889431442"/>
      <name val="Verdana"/>
      <family val="2"/>
    </font>
    <font>
      <b/>
      <sz val="11"/>
      <color theme="1" tint="4.9989318521683403E-2"/>
      <name val="Calibri"/>
      <family val="2"/>
    </font>
    <font>
      <sz val="11"/>
      <color theme="1" tint="4.9989318521683403E-2"/>
      <name val="Calibri"/>
      <family val="2"/>
      <scheme val="minor"/>
    </font>
    <font>
      <b/>
      <sz val="11"/>
      <color theme="0"/>
      <name val="Calibri"/>
      <family val="2"/>
      <scheme val="minor"/>
    </font>
    <font>
      <b/>
      <sz val="10"/>
      <color theme="1" tint="4.9989318521683403E-2"/>
      <name val="Verdana"/>
      <family val="2"/>
    </font>
    <font>
      <b/>
      <sz val="9"/>
      <color theme="0"/>
      <name val="Verdana"/>
      <family val="2"/>
    </font>
    <font>
      <b/>
      <sz val="11"/>
      <color rgb="FF9A0000"/>
      <name val="Calibri"/>
      <family val="2"/>
      <scheme val="minor"/>
    </font>
    <font>
      <b/>
      <sz val="11"/>
      <color theme="4" tint="0.39997558519241921"/>
      <name val="Calibri"/>
      <family val="2"/>
      <scheme val="minor"/>
    </font>
    <font>
      <b/>
      <sz val="9"/>
      <color rgb="FFF8696B"/>
      <name val="Verdana"/>
      <family val="2"/>
    </font>
    <font>
      <b/>
      <sz val="8"/>
      <color theme="4" tint="0.39997558519241921"/>
      <name val="Verdana"/>
      <family val="2"/>
    </font>
    <font>
      <b/>
      <sz val="9"/>
      <color theme="4" tint="0.39997558519241921"/>
      <name val="Verdana"/>
      <family val="2"/>
    </font>
    <font>
      <b/>
      <sz val="9"/>
      <color rgb="FFFFC85B"/>
      <name val="Verdana"/>
      <family val="2"/>
    </font>
    <font>
      <sz val="11"/>
      <color theme="2" tint="-0.89999084444715716"/>
      <name val="Calibri"/>
      <family val="2"/>
      <scheme val="minor"/>
    </font>
    <font>
      <sz val="10"/>
      <color theme="0" tint="0.79998168889431442"/>
      <name val="Verdana"/>
      <family val="2"/>
    </font>
    <font>
      <b/>
      <sz val="10"/>
      <color theme="0" tint="0.79998168889431442"/>
      <name val="Verdana"/>
      <family val="2"/>
    </font>
    <font>
      <b/>
      <sz val="11"/>
      <color theme="7" tint="0.59999389629810485"/>
      <name val="Calibri"/>
      <family val="2"/>
    </font>
    <font>
      <b/>
      <sz val="11"/>
      <color rgb="FFFBABAD"/>
      <name val="Calibri"/>
      <family val="2"/>
    </font>
    <font>
      <b/>
      <sz val="9"/>
      <color theme="3" tint="-0.249977111117893"/>
      <name val="Verdana"/>
      <family val="2"/>
    </font>
    <font>
      <b/>
      <sz val="11"/>
      <color theme="7" tint="0.79998168889431442"/>
      <name val="Calibri"/>
      <family val="2"/>
    </font>
    <font>
      <b/>
      <sz val="11"/>
      <color theme="7" tint="0.39997558519241921"/>
      <name val="Calibri"/>
      <family val="2"/>
      <scheme val="minor"/>
    </font>
    <font>
      <b/>
      <sz val="9"/>
      <color rgb="FFFBAFB1"/>
      <name val="Verdana"/>
      <family val="2"/>
    </font>
  </fonts>
  <fills count="75">
    <fill>
      <patternFill patternType="none"/>
    </fill>
    <fill>
      <patternFill patternType="gray125"/>
    </fill>
    <fill>
      <patternFill patternType="solid">
        <fgColor rgb="FFEEEEEE"/>
        <bgColor indexed="64"/>
      </patternFill>
    </fill>
    <fill>
      <patternFill patternType="solid">
        <fgColor rgb="FFFFFF00"/>
        <bgColor indexed="64"/>
      </patternFill>
    </fill>
    <fill>
      <patternFill patternType="solid">
        <fgColor theme="0"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rgb="FFFF9393"/>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5" tint="-0.499984740745262"/>
        <bgColor indexed="64"/>
      </patternFill>
    </fill>
    <fill>
      <patternFill patternType="solid">
        <fgColor rgb="FFC00000"/>
        <bgColor indexed="64"/>
      </patternFill>
    </fill>
    <fill>
      <patternFill patternType="solid">
        <fgColor rgb="FFFF0000"/>
        <bgColor indexed="64"/>
      </patternFill>
    </fill>
    <fill>
      <patternFill patternType="solid">
        <fgColor rgb="FF00B0F0"/>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2" tint="-0.89999084444715716"/>
        <bgColor indexed="64"/>
      </patternFill>
    </fill>
    <fill>
      <patternFill patternType="solid">
        <fgColor theme="3" tint="-0.499984740745262"/>
        <bgColor indexed="64"/>
      </patternFill>
    </fill>
    <fill>
      <patternFill patternType="solid">
        <fgColor theme="2" tint="-0.749992370372631"/>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7979"/>
        <bgColor indexed="64"/>
      </patternFill>
    </fill>
    <fill>
      <patternFill patternType="solid">
        <fgColor rgb="FFFFC5C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59999389629810485"/>
        <bgColor indexed="64"/>
      </patternFill>
    </fill>
    <fill>
      <patternFill patternType="solid">
        <fgColor theme="8" tint="-0.499984740745262"/>
        <bgColor indexed="64"/>
      </patternFill>
    </fill>
    <fill>
      <patternFill patternType="solid">
        <fgColor rgb="FF002060"/>
        <bgColor indexed="64"/>
      </patternFill>
    </fill>
    <fill>
      <patternFill patternType="solid">
        <fgColor rgb="FFAD1457"/>
        <bgColor indexed="64"/>
      </patternFill>
    </fill>
    <fill>
      <patternFill patternType="solid">
        <fgColor rgb="FF3B071D"/>
        <bgColor indexed="64"/>
      </patternFill>
    </fill>
    <fill>
      <patternFill patternType="solid">
        <fgColor rgb="FF680C33"/>
        <bgColor indexed="64"/>
      </patternFill>
    </fill>
    <fill>
      <patternFill patternType="solid">
        <fgColor theme="7" tint="-0.499984740745262"/>
        <bgColor indexed="64"/>
      </patternFill>
    </fill>
    <fill>
      <patternFill patternType="solid">
        <fgColor rgb="FFE36713"/>
        <bgColor indexed="64"/>
      </patternFill>
    </fill>
    <fill>
      <patternFill patternType="solid">
        <fgColor rgb="FF7030A0"/>
        <bgColor indexed="64"/>
      </patternFill>
    </fill>
    <fill>
      <patternFill patternType="solid">
        <fgColor theme="8" tint="-0.249977111117893"/>
        <bgColor indexed="64"/>
      </patternFill>
    </fill>
    <fill>
      <patternFill patternType="solid">
        <fgColor rgb="FFFF6737"/>
        <bgColor indexed="64"/>
      </patternFill>
    </fill>
    <fill>
      <patternFill patternType="solid">
        <fgColor rgb="FFFFC9C9"/>
        <bgColor indexed="64"/>
      </patternFill>
    </fill>
    <fill>
      <patternFill patternType="solid">
        <fgColor rgb="FF0070C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480000"/>
        <bgColor indexed="64"/>
      </patternFill>
    </fill>
    <fill>
      <patternFill patternType="solid">
        <fgColor rgb="FFF9F9F9"/>
        <bgColor indexed="64"/>
      </patternFill>
    </fill>
    <fill>
      <patternFill patternType="solid">
        <fgColor rgb="FFA20000"/>
        <bgColor indexed="64"/>
      </patternFill>
    </fill>
    <fill>
      <patternFill patternType="solid">
        <fgColor rgb="FF684D00"/>
        <bgColor indexed="64"/>
      </patternFill>
    </fill>
    <fill>
      <patternFill patternType="solid">
        <fgColor rgb="FF9A0000"/>
        <bgColor indexed="64"/>
      </patternFill>
    </fill>
    <fill>
      <patternFill patternType="solid">
        <fgColor rgb="FF001132"/>
        <bgColor indexed="64"/>
      </patternFill>
    </fill>
    <fill>
      <patternFill patternType="solid">
        <fgColor rgb="FFE66914"/>
        <bgColor indexed="64"/>
      </patternFill>
    </fill>
    <fill>
      <patternFill patternType="solid">
        <fgColor rgb="FFA40000"/>
        <bgColor indexed="64"/>
      </patternFill>
    </fill>
    <fill>
      <patternFill patternType="solid">
        <fgColor rgb="FF205382"/>
        <bgColor indexed="64"/>
      </patternFill>
    </fill>
    <fill>
      <patternFill patternType="solid">
        <fgColor theme="1"/>
        <bgColor indexed="64"/>
      </patternFill>
    </fill>
    <fill>
      <patternFill patternType="solid">
        <fgColor rgb="FFFFF2CC"/>
        <bgColor indexed="64"/>
      </patternFill>
    </fill>
    <fill>
      <patternFill patternType="solid">
        <fgColor rgb="FF004F8A"/>
        <bgColor indexed="64"/>
      </patternFill>
    </fill>
    <fill>
      <patternFill patternType="solid">
        <fgColor rgb="FF833C0C"/>
        <bgColor indexed="64"/>
      </patternFill>
    </fill>
    <fill>
      <patternFill patternType="solid">
        <fgColor rgb="FFC65911"/>
        <bgColor indexed="64"/>
      </patternFill>
    </fill>
    <fill>
      <patternFill patternType="solid">
        <fgColor rgb="FF0D0D0D"/>
        <bgColor indexed="64"/>
      </patternFill>
    </fill>
    <fill>
      <patternFill patternType="solid">
        <fgColor rgb="FF7E0000"/>
        <bgColor indexed="64"/>
      </patternFill>
    </fill>
    <fill>
      <patternFill patternType="solid">
        <fgColor rgb="FF23559B"/>
        <bgColor indexed="64"/>
      </patternFill>
    </fill>
    <fill>
      <patternFill patternType="solid">
        <fgColor rgb="FFBF8F00"/>
        <bgColor indexed="64"/>
      </patternFill>
    </fill>
    <fill>
      <patternFill patternType="solid">
        <fgColor rgb="FF806000"/>
        <bgColor indexed="64"/>
      </patternFill>
    </fill>
    <fill>
      <patternFill patternType="solid">
        <fgColor rgb="FF161616"/>
        <bgColor indexed="64"/>
      </patternFill>
    </fill>
    <fill>
      <patternFill patternType="solid">
        <fgColor rgb="FF262626"/>
        <bgColor indexed="64"/>
      </patternFill>
    </fill>
    <fill>
      <patternFill patternType="solid">
        <fgColor rgb="FF222B35"/>
        <bgColor indexed="64"/>
      </patternFill>
    </fill>
    <fill>
      <patternFill patternType="solid">
        <fgColor rgb="FFDE0000"/>
        <bgColor indexed="64"/>
      </patternFill>
    </fill>
  </fills>
  <borders count="19">
    <border>
      <left/>
      <right/>
      <top/>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rgb="FF000000"/>
      </top>
      <bottom style="medium">
        <color indexed="64"/>
      </bottom>
      <diagonal/>
    </border>
    <border>
      <left style="medium">
        <color rgb="FF000000"/>
      </left>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medium">
        <color indexed="64"/>
      </left>
      <right/>
      <top/>
      <bottom style="medium">
        <color indexed="64"/>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s>
  <cellStyleXfs count="3">
    <xf numFmtId="0" fontId="0" fillId="0" borderId="0"/>
    <xf numFmtId="43" fontId="7" fillId="0" borderId="0" applyFont="0" applyFill="0" applyBorder="0" applyAlignment="0" applyProtection="0"/>
    <xf numFmtId="9" fontId="7" fillId="0" borderId="0" applyFont="0" applyFill="0" applyBorder="0" applyAlignment="0" applyProtection="0"/>
  </cellStyleXfs>
  <cellXfs count="431">
    <xf numFmtId="0" fontId="0" fillId="0" borderId="0" xfId="0"/>
    <xf numFmtId="0" fontId="0" fillId="0" borderId="0" xfId="0" applyAlignment="1">
      <alignment horizontal="center"/>
    </xf>
    <xf numFmtId="0" fontId="0" fillId="4" borderId="2" xfId="0" applyFill="1" applyBorder="1" applyAlignment="1">
      <alignment horizontal="center" vertical="center"/>
    </xf>
    <xf numFmtId="0" fontId="0" fillId="5" borderId="2" xfId="0" applyFill="1" applyBorder="1" applyAlignment="1">
      <alignment horizontal="center" vertical="center"/>
    </xf>
    <xf numFmtId="0" fontId="4" fillId="6" borderId="2" xfId="0" applyFont="1" applyFill="1" applyBorder="1" applyAlignment="1">
      <alignment horizontal="center" vertical="center" wrapText="1"/>
    </xf>
    <xf numFmtId="2" fontId="0" fillId="4" borderId="2" xfId="0" applyNumberFormat="1" applyFill="1" applyBorder="1" applyAlignment="1">
      <alignment horizontal="center" vertical="center"/>
    </xf>
    <xf numFmtId="1" fontId="0" fillId="4" borderId="2" xfId="0" applyNumberFormat="1" applyFill="1" applyBorder="1" applyAlignment="1">
      <alignment horizontal="center" vertical="center"/>
    </xf>
    <xf numFmtId="0" fontId="5" fillId="5" borderId="2" xfId="0" applyFont="1" applyFill="1" applyBorder="1" applyAlignment="1">
      <alignment horizontal="center" vertical="center"/>
    </xf>
    <xf numFmtId="0" fontId="4" fillId="6" borderId="4" xfId="0" applyFont="1" applyFill="1" applyBorder="1" applyAlignment="1">
      <alignment horizontal="center" vertical="center" wrapText="1"/>
    </xf>
    <xf numFmtId="0" fontId="0" fillId="7" borderId="2" xfId="0" applyFill="1" applyBorder="1" applyAlignment="1">
      <alignment horizontal="left" vertical="center"/>
    </xf>
    <xf numFmtId="43" fontId="4" fillId="6" borderId="2" xfId="1" applyFont="1" applyFill="1" applyBorder="1" applyAlignment="1">
      <alignment horizontal="center" vertical="center" wrapText="1"/>
    </xf>
    <xf numFmtId="43" fontId="0" fillId="0" borderId="0" xfId="1" applyFont="1"/>
    <xf numFmtId="9" fontId="0" fillId="4" borderId="2" xfId="2" applyFont="1" applyFill="1" applyBorder="1" applyAlignment="1">
      <alignment horizontal="center" vertical="center"/>
    </xf>
    <xf numFmtId="0" fontId="0" fillId="0" borderId="0" xfId="0" applyAlignment="1">
      <alignment horizontal="center" vertical="center"/>
    </xf>
    <xf numFmtId="0" fontId="8" fillId="6" borderId="2" xfId="0" applyFont="1" applyFill="1" applyBorder="1" applyAlignment="1">
      <alignment horizontal="center" vertical="center" wrapText="1"/>
    </xf>
    <xf numFmtId="0" fontId="1" fillId="12" borderId="2" xfId="0" applyFont="1" applyFill="1" applyBorder="1" applyAlignment="1">
      <alignment horizontal="center" vertical="center" wrapText="1"/>
    </xf>
    <xf numFmtId="0" fontId="4" fillId="10" borderId="2" xfId="0" applyFont="1" applyFill="1" applyBorder="1" applyAlignment="1">
      <alignment horizontal="center" vertical="center" wrapText="1"/>
    </xf>
    <xf numFmtId="0" fontId="4" fillId="16"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0" fontId="9" fillId="3" borderId="2" xfId="0" applyFont="1" applyFill="1" applyBorder="1" applyAlignment="1">
      <alignment horizontal="center" vertical="center" wrapText="1"/>
    </xf>
    <xf numFmtId="165" fontId="0" fillId="4" borderId="2" xfId="2" applyNumberFormat="1" applyFont="1" applyFill="1" applyBorder="1" applyAlignment="1">
      <alignment horizontal="center" vertical="center"/>
    </xf>
    <xf numFmtId="10" fontId="0" fillId="4" borderId="2" xfId="2" applyNumberFormat="1" applyFont="1" applyFill="1" applyBorder="1" applyAlignment="1">
      <alignment horizontal="center" vertical="center"/>
    </xf>
    <xf numFmtId="0" fontId="4" fillId="18" borderId="2" xfId="0" applyFont="1" applyFill="1" applyBorder="1" applyAlignment="1">
      <alignment horizontal="center" vertical="center" wrapText="1"/>
    </xf>
    <xf numFmtId="0" fontId="8" fillId="18" borderId="2" xfId="0" applyFont="1" applyFill="1" applyBorder="1" applyAlignment="1">
      <alignment horizontal="center" vertical="center" wrapText="1"/>
    </xf>
    <xf numFmtId="164" fontId="0" fillId="4" borderId="2" xfId="0" applyNumberFormat="1" applyFill="1" applyBorder="1" applyAlignment="1">
      <alignment horizontal="center" vertical="center"/>
    </xf>
    <xf numFmtId="0" fontId="4" fillId="12" borderId="2" xfId="0" applyFont="1" applyFill="1" applyBorder="1" applyAlignment="1">
      <alignment horizontal="center" vertical="center" wrapText="1"/>
    </xf>
    <xf numFmtId="0" fontId="4" fillId="19" borderId="2" xfId="0" applyFont="1" applyFill="1" applyBorder="1" applyAlignment="1">
      <alignment horizontal="center" vertical="center" wrapText="1"/>
    </xf>
    <xf numFmtId="0" fontId="4" fillId="19" borderId="4" xfId="0" applyFont="1" applyFill="1" applyBorder="1" applyAlignment="1">
      <alignment horizontal="center" vertical="center" wrapText="1"/>
    </xf>
    <xf numFmtId="0" fontId="0" fillId="8" borderId="2" xfId="0" applyFill="1" applyBorder="1" applyAlignment="1">
      <alignment horizontal="left" vertical="center"/>
    </xf>
    <xf numFmtId="0" fontId="11" fillId="4" borderId="2" xfId="0" applyFont="1" applyFill="1" applyBorder="1" applyAlignment="1">
      <alignment horizontal="center" vertical="center"/>
    </xf>
    <xf numFmtId="0" fontId="1" fillId="13" borderId="2" xfId="0" applyFont="1" applyFill="1" applyBorder="1" applyAlignment="1">
      <alignment horizontal="center" vertical="center" wrapText="1"/>
    </xf>
    <xf numFmtId="0" fontId="12" fillId="13" borderId="2" xfId="0" applyFont="1" applyFill="1" applyBorder="1" applyAlignment="1">
      <alignment horizontal="center" vertical="center" wrapText="1"/>
    </xf>
    <xf numFmtId="0" fontId="4" fillId="22" borderId="2" xfId="0" applyFont="1" applyFill="1" applyBorder="1" applyAlignment="1">
      <alignment horizontal="center" vertical="center" wrapText="1"/>
    </xf>
    <xf numFmtId="0" fontId="1" fillId="17" borderId="2" xfId="0" applyFont="1" applyFill="1" applyBorder="1" applyAlignment="1">
      <alignment horizontal="center" vertical="center" wrapText="1"/>
    </xf>
    <xf numFmtId="0" fontId="1" fillId="5" borderId="2" xfId="0" applyFont="1" applyFill="1" applyBorder="1" applyAlignment="1">
      <alignment horizontal="center" vertical="center" wrapText="1"/>
    </xf>
    <xf numFmtId="14" fontId="0" fillId="8" borderId="2" xfId="0" applyNumberFormat="1" applyFill="1" applyBorder="1" applyAlignment="1">
      <alignment horizontal="center" vertical="center"/>
    </xf>
    <xf numFmtId="0" fontId="5" fillId="8" borderId="2" xfId="0" applyFont="1" applyFill="1" applyBorder="1" applyAlignment="1">
      <alignment horizontal="center" vertical="center"/>
    </xf>
    <xf numFmtId="0" fontId="4" fillId="15" borderId="2" xfId="0" applyFont="1" applyFill="1" applyBorder="1" applyAlignment="1">
      <alignment horizontal="center" vertical="center" wrapText="1"/>
    </xf>
    <xf numFmtId="0" fontId="9" fillId="17" borderId="2"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13" fillId="26" borderId="2" xfId="0" applyFont="1" applyFill="1" applyBorder="1" applyAlignment="1">
      <alignment horizontal="center" vertical="center" wrapText="1"/>
    </xf>
    <xf numFmtId="0" fontId="14" fillId="25" borderId="2"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4" xfId="0" applyFont="1" applyFill="1" applyBorder="1" applyAlignment="1">
      <alignment horizontal="center" vertical="center" wrapText="1"/>
    </xf>
    <xf numFmtId="0" fontId="15" fillId="27" borderId="2" xfId="0" applyFont="1" applyFill="1" applyBorder="1" applyAlignment="1">
      <alignment horizontal="center" vertical="center" wrapText="1"/>
    </xf>
    <xf numFmtId="0" fontId="16" fillId="26"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3" fillId="27" borderId="2" xfId="0" applyFont="1" applyFill="1" applyBorder="1" applyAlignment="1">
      <alignment horizontal="center" vertical="center" wrapText="1"/>
    </xf>
    <xf numFmtId="43" fontId="1" fillId="3" borderId="2" xfId="1" applyFont="1" applyFill="1" applyBorder="1" applyAlignment="1">
      <alignment horizontal="center" vertical="center" wrapText="1"/>
    </xf>
    <xf numFmtId="43" fontId="1" fillId="20" borderId="2" xfId="1" applyFont="1" applyFill="1" applyBorder="1" applyAlignment="1">
      <alignment horizontal="center" vertical="center" wrapText="1"/>
    </xf>
    <xf numFmtId="0" fontId="9" fillId="30" borderId="4" xfId="0" applyFont="1" applyFill="1" applyBorder="1" applyAlignment="1">
      <alignment horizontal="center" vertical="center" wrapText="1"/>
    </xf>
    <xf numFmtId="0" fontId="9" fillId="29" borderId="2" xfId="0" applyFont="1" applyFill="1" applyBorder="1" applyAlignment="1">
      <alignment horizontal="center" vertical="center" wrapText="1"/>
    </xf>
    <xf numFmtId="0" fontId="1" fillId="28" borderId="2" xfId="0" applyFont="1" applyFill="1" applyBorder="1" applyAlignment="1">
      <alignment horizontal="center" vertical="center" wrapText="1"/>
    </xf>
    <xf numFmtId="0" fontId="0" fillId="0" borderId="0" xfId="0" applyAlignment="1">
      <alignment horizontal="left"/>
    </xf>
    <xf numFmtId="0" fontId="18" fillId="2" borderId="3" xfId="0" applyFont="1" applyFill="1" applyBorder="1" applyAlignment="1">
      <alignment horizontal="center" vertical="center" wrapText="1"/>
    </xf>
    <xf numFmtId="1" fontId="18" fillId="2" borderId="3" xfId="0" applyNumberFormat="1" applyFont="1" applyFill="1" applyBorder="1" applyAlignment="1">
      <alignment horizontal="center" vertical="center" wrapText="1"/>
    </xf>
    <xf numFmtId="2" fontId="18" fillId="2" borderId="3" xfId="0" applyNumberFormat="1" applyFont="1" applyFill="1" applyBorder="1" applyAlignment="1">
      <alignment horizontal="center" vertical="center" wrapText="1"/>
    </xf>
    <xf numFmtId="0" fontId="18" fillId="2" borderId="1" xfId="0" applyFont="1" applyFill="1" applyBorder="1" applyAlignment="1">
      <alignment horizontal="center" vertical="center" wrapText="1"/>
    </xf>
    <xf numFmtId="165" fontId="18" fillId="2" borderId="3" xfId="2" applyNumberFormat="1" applyFont="1" applyFill="1" applyBorder="1" applyAlignment="1">
      <alignment horizontal="center" vertical="center" wrapText="1"/>
    </xf>
    <xf numFmtId="3" fontId="18" fillId="2" borderId="3" xfId="0" applyNumberFormat="1" applyFont="1" applyFill="1" applyBorder="1" applyAlignment="1">
      <alignment horizontal="center" vertical="center" wrapText="1"/>
    </xf>
    <xf numFmtId="4" fontId="18" fillId="2" borderId="3" xfId="0" applyNumberFormat="1" applyFont="1" applyFill="1" applyBorder="1" applyAlignment="1">
      <alignment horizontal="center" vertical="center" wrapText="1"/>
    </xf>
    <xf numFmtId="10" fontId="18" fillId="2" borderId="3" xfId="2" applyNumberFormat="1" applyFont="1" applyFill="1" applyBorder="1" applyAlignment="1">
      <alignment horizontal="center" vertical="center" wrapText="1"/>
    </xf>
    <xf numFmtId="14" fontId="0" fillId="4" borderId="2" xfId="0" applyNumberFormat="1" applyFill="1" applyBorder="1" applyAlignment="1">
      <alignment horizontal="center" vertical="center"/>
    </xf>
    <xf numFmtId="0" fontId="18" fillId="8" borderId="3" xfId="0" applyFont="1" applyFill="1" applyBorder="1" applyAlignment="1">
      <alignment vertical="center" wrapText="1"/>
    </xf>
    <xf numFmtId="0" fontId="18" fillId="8" borderId="3" xfId="0" applyFont="1" applyFill="1" applyBorder="1" applyAlignment="1">
      <alignment horizontal="center" vertical="center" wrapText="1"/>
    </xf>
    <xf numFmtId="0" fontId="6" fillId="8" borderId="3" xfId="0" applyFont="1" applyFill="1" applyBorder="1" applyAlignment="1">
      <alignment vertical="center" wrapText="1"/>
    </xf>
    <xf numFmtId="0" fontId="6" fillId="8" borderId="3" xfId="0" applyFont="1" applyFill="1" applyBorder="1" applyAlignment="1">
      <alignment horizontal="center" vertical="center" wrapText="1"/>
    </xf>
    <xf numFmtId="0" fontId="5" fillId="5" borderId="2" xfId="0" applyFont="1" applyFill="1" applyBorder="1" applyAlignment="1">
      <alignment horizontal="left" vertical="center"/>
    </xf>
    <xf numFmtId="0" fontId="20" fillId="5" borderId="3" xfId="0" applyFont="1" applyFill="1" applyBorder="1" applyAlignment="1">
      <alignment vertical="center" wrapText="1"/>
    </xf>
    <xf numFmtId="0" fontId="12" fillId="3" borderId="2" xfId="0" applyFont="1" applyFill="1" applyBorder="1" applyAlignment="1">
      <alignment horizontal="center" vertical="center" wrapText="1"/>
    </xf>
    <xf numFmtId="0" fontId="13" fillId="27" borderId="0" xfId="0" applyFont="1" applyFill="1" applyAlignment="1">
      <alignment horizontal="center" vertical="center" wrapText="1"/>
    </xf>
    <xf numFmtId="0" fontId="22" fillId="17" borderId="2" xfId="0" applyFont="1" applyFill="1" applyBorder="1" applyAlignment="1">
      <alignment horizontal="center" vertical="center" wrapText="1"/>
    </xf>
    <xf numFmtId="1" fontId="18" fillId="2" borderId="1" xfId="0" applyNumberFormat="1" applyFont="1" applyFill="1" applyBorder="1" applyAlignment="1">
      <alignment horizontal="center" vertical="center" wrapText="1"/>
    </xf>
    <xf numFmtId="2" fontId="18" fillId="2" borderId="1" xfId="0" applyNumberFormat="1"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1" borderId="2" xfId="0" applyFont="1" applyFill="1" applyBorder="1" applyAlignment="1">
      <alignment horizontal="center" vertical="center" wrapText="1"/>
    </xf>
    <xf numFmtId="10" fontId="18" fillId="2" borderId="1" xfId="2" applyNumberFormat="1" applyFont="1" applyFill="1" applyBorder="1" applyAlignment="1">
      <alignment horizontal="center" vertical="center" wrapText="1"/>
    </xf>
    <xf numFmtId="0" fontId="9" fillId="34" borderId="2" xfId="0" applyFont="1" applyFill="1" applyBorder="1" applyAlignment="1">
      <alignment horizontal="center" vertical="center" wrapText="1"/>
    </xf>
    <xf numFmtId="0" fontId="9" fillId="33" borderId="2" xfId="0" applyFont="1" applyFill="1" applyBorder="1" applyAlignment="1">
      <alignment horizontal="center" vertical="center" wrapText="1"/>
    </xf>
    <xf numFmtId="0" fontId="9" fillId="20" borderId="2" xfId="0" applyFont="1" applyFill="1" applyBorder="1" applyAlignment="1">
      <alignment horizontal="center" vertical="center" wrapText="1"/>
    </xf>
    <xf numFmtId="3" fontId="18" fillId="2" borderId="1" xfId="0" applyNumberFormat="1" applyFont="1" applyFill="1" applyBorder="1" applyAlignment="1">
      <alignment horizontal="center" vertical="center" wrapText="1"/>
    </xf>
    <xf numFmtId="10" fontId="23" fillId="2" borderId="1" xfId="2" applyNumberFormat="1" applyFont="1" applyFill="1" applyBorder="1" applyAlignment="1">
      <alignment horizontal="center" vertical="center" wrapText="1"/>
    </xf>
    <xf numFmtId="0" fontId="13" fillId="21" borderId="2" xfId="0" applyFont="1" applyFill="1" applyBorder="1" applyAlignment="1">
      <alignment horizontal="center" vertical="center" wrapText="1"/>
    </xf>
    <xf numFmtId="0" fontId="5" fillId="12" borderId="2" xfId="0" applyFont="1" applyFill="1" applyBorder="1" applyAlignment="1">
      <alignment horizontal="center" vertical="center"/>
    </xf>
    <xf numFmtId="0" fontId="24" fillId="28" borderId="2" xfId="0" applyFont="1" applyFill="1" applyBorder="1" applyAlignment="1">
      <alignment horizontal="center" vertical="center" wrapText="1"/>
    </xf>
    <xf numFmtId="0" fontId="1" fillId="20" borderId="2" xfId="0" applyFont="1" applyFill="1" applyBorder="1" applyAlignment="1">
      <alignment horizontal="center" vertical="center" wrapText="1"/>
    </xf>
    <xf numFmtId="0" fontId="4" fillId="36" borderId="2" xfId="0" applyFont="1" applyFill="1" applyBorder="1" applyAlignment="1">
      <alignment horizontal="center" vertical="center" wrapText="1"/>
    </xf>
    <xf numFmtId="0" fontId="4" fillId="37" borderId="2" xfId="0" applyFont="1" applyFill="1" applyBorder="1" applyAlignment="1">
      <alignment horizontal="center" vertical="center" wrapText="1"/>
    </xf>
    <xf numFmtId="43" fontId="13" fillId="21" borderId="2" xfId="1" applyFont="1" applyFill="1" applyBorder="1" applyAlignment="1">
      <alignment horizontal="center" vertical="center" wrapText="1"/>
    </xf>
    <xf numFmtId="1" fontId="26" fillId="3" borderId="2" xfId="0" applyNumberFormat="1" applyFont="1" applyFill="1" applyBorder="1" applyAlignment="1">
      <alignment horizontal="center" vertical="center"/>
    </xf>
    <xf numFmtId="0" fontId="27" fillId="10" borderId="2" xfId="0" applyFont="1" applyFill="1" applyBorder="1" applyAlignment="1">
      <alignment horizontal="center" vertical="center" wrapText="1"/>
    </xf>
    <xf numFmtId="0" fontId="28" fillId="8" borderId="2" xfId="0" applyFont="1" applyFill="1" applyBorder="1" applyAlignment="1">
      <alignment horizontal="left" vertical="center"/>
    </xf>
    <xf numFmtId="0" fontId="4" fillId="38" borderId="2" xfId="0" applyFont="1" applyFill="1" applyBorder="1" applyAlignment="1">
      <alignment horizontal="center" vertical="center" wrapText="1"/>
    </xf>
    <xf numFmtId="0" fontId="5" fillId="5" borderId="3" xfId="0" applyFont="1" applyFill="1" applyBorder="1" applyAlignment="1">
      <alignment vertical="center" wrapText="1"/>
    </xf>
    <xf numFmtId="165" fontId="0" fillId="4" borderId="2" xfId="0" applyNumberFormat="1" applyFill="1" applyBorder="1" applyAlignment="1">
      <alignment horizontal="center" vertical="center"/>
    </xf>
    <xf numFmtId="43" fontId="0" fillId="0" borderId="0" xfId="1" applyFont="1" applyAlignment="1">
      <alignment horizontal="center"/>
    </xf>
    <xf numFmtId="0" fontId="30" fillId="38" borderId="2" xfId="0" applyFont="1" applyFill="1" applyBorder="1" applyAlignment="1">
      <alignment horizontal="center" vertical="center" wrapText="1"/>
    </xf>
    <xf numFmtId="0" fontId="31" fillId="39" borderId="2" xfId="0" applyFont="1" applyFill="1" applyBorder="1" applyAlignment="1">
      <alignment horizontal="center" vertical="center" wrapText="1"/>
    </xf>
    <xf numFmtId="167" fontId="0" fillId="0" borderId="0" xfId="0" applyNumberFormat="1"/>
    <xf numFmtId="10" fontId="0" fillId="4" borderId="2" xfId="0" applyNumberFormat="1" applyFill="1" applyBorder="1" applyAlignment="1">
      <alignment horizontal="center" vertical="center"/>
    </xf>
    <xf numFmtId="10" fontId="0" fillId="0" borderId="0" xfId="2" applyNumberFormat="1" applyFont="1"/>
    <xf numFmtId="43" fontId="32" fillId="11" borderId="2" xfId="1" applyFont="1" applyFill="1" applyBorder="1" applyAlignment="1">
      <alignment horizontal="center" vertical="center" wrapText="1"/>
    </xf>
    <xf numFmtId="0" fontId="24" fillId="11" borderId="2" xfId="0" applyFont="1" applyFill="1" applyBorder="1" applyAlignment="1">
      <alignment horizontal="center" vertical="center" wrapText="1"/>
    </xf>
    <xf numFmtId="0" fontId="0" fillId="40" borderId="2" xfId="0" applyFill="1" applyBorder="1"/>
    <xf numFmtId="10" fontId="18" fillId="2" borderId="3" xfId="0" applyNumberFormat="1" applyFont="1" applyFill="1" applyBorder="1" applyAlignment="1">
      <alignment horizontal="center" vertical="center" wrapText="1"/>
    </xf>
    <xf numFmtId="0" fontId="1" fillId="31" borderId="2" xfId="0" applyFont="1" applyFill="1" applyBorder="1" applyAlignment="1">
      <alignment horizontal="center" vertical="center" wrapText="1"/>
    </xf>
    <xf numFmtId="0" fontId="1" fillId="32" borderId="2" xfId="0" applyFont="1" applyFill="1" applyBorder="1" applyAlignment="1">
      <alignment horizontal="center" vertical="center" wrapText="1"/>
    </xf>
    <xf numFmtId="2" fontId="0" fillId="4" borderId="7" xfId="0" applyNumberFormat="1" applyFill="1" applyBorder="1" applyAlignment="1">
      <alignment horizontal="center" vertical="center"/>
    </xf>
    <xf numFmtId="43" fontId="32" fillId="11" borderId="6" xfId="1" applyFont="1" applyFill="1" applyBorder="1" applyAlignment="1">
      <alignment horizontal="center" vertical="center" wrapText="1"/>
    </xf>
    <xf numFmtId="43" fontId="1" fillId="5" borderId="2" xfId="1" applyFont="1" applyFill="1" applyBorder="1" applyAlignment="1">
      <alignment horizontal="center" vertical="center" wrapText="1"/>
    </xf>
    <xf numFmtId="43" fontId="1" fillId="5" borderId="5" xfId="1" applyFont="1" applyFill="1" applyBorder="1" applyAlignment="1">
      <alignment horizontal="center" vertical="center" wrapText="1"/>
    </xf>
    <xf numFmtId="43" fontId="1" fillId="8" borderId="2" xfId="1" applyFont="1" applyFill="1" applyBorder="1" applyAlignment="1">
      <alignment horizontal="center" vertical="center" wrapText="1"/>
    </xf>
    <xf numFmtId="43" fontId="4" fillId="41" borderId="2" xfId="1" applyFont="1" applyFill="1" applyBorder="1" applyAlignment="1">
      <alignment horizontal="center" vertical="center" wrapText="1"/>
    </xf>
    <xf numFmtId="43" fontId="33" fillId="41" borderId="2" xfId="1" applyFont="1" applyFill="1" applyBorder="1" applyAlignment="1">
      <alignment horizontal="center" vertical="center" wrapText="1"/>
    </xf>
    <xf numFmtId="43" fontId="13" fillId="41" borderId="2" xfId="1" applyFont="1" applyFill="1" applyBorder="1" applyAlignment="1">
      <alignment horizontal="center" vertical="center" wrapText="1"/>
    </xf>
    <xf numFmtId="43" fontId="34" fillId="5" borderId="2" xfId="1" applyFont="1" applyFill="1" applyBorder="1" applyAlignment="1">
      <alignment horizontal="center" vertical="center" wrapText="1"/>
    </xf>
    <xf numFmtId="43" fontId="9" fillId="8" borderId="2" xfId="1" applyFont="1" applyFill="1" applyBorder="1" applyAlignment="1">
      <alignment horizontal="center" vertical="center" wrapText="1"/>
    </xf>
    <xf numFmtId="0" fontId="9" fillId="17" borderId="4" xfId="0" applyFont="1" applyFill="1" applyBorder="1" applyAlignment="1">
      <alignment horizontal="center" vertical="center" wrapText="1"/>
    </xf>
    <xf numFmtId="0" fontId="34" fillId="20" borderId="4" xfId="0" applyFont="1" applyFill="1" applyBorder="1" applyAlignment="1">
      <alignment horizontal="center" vertical="center" wrapText="1"/>
    </xf>
    <xf numFmtId="0" fontId="9" fillId="20" borderId="4" xfId="0" applyFont="1" applyFill="1" applyBorder="1" applyAlignment="1">
      <alignment horizontal="center" vertical="center" wrapText="1"/>
    </xf>
    <xf numFmtId="0" fontId="25" fillId="15" borderId="2" xfId="0" applyFont="1" applyFill="1" applyBorder="1" applyAlignment="1">
      <alignment horizontal="center" vertical="center" wrapText="1"/>
    </xf>
    <xf numFmtId="0" fontId="0" fillId="24" borderId="1" xfId="0" applyFill="1" applyBorder="1" applyAlignment="1">
      <alignment horizontal="center" vertical="center" wrapText="1"/>
    </xf>
    <xf numFmtId="0" fontId="1" fillId="23" borderId="0" xfId="0" applyFont="1" applyFill="1" applyAlignment="1">
      <alignment horizontal="center" vertical="center" wrapText="1"/>
    </xf>
    <xf numFmtId="0" fontId="4" fillId="14" borderId="4" xfId="0" applyFont="1" applyFill="1" applyBorder="1" applyAlignment="1">
      <alignment horizontal="center" vertical="center" wrapText="1"/>
    </xf>
    <xf numFmtId="0" fontId="4" fillId="15" borderId="4" xfId="0" applyFont="1" applyFill="1" applyBorder="1" applyAlignment="1">
      <alignment horizontal="center" vertical="center" wrapText="1"/>
    </xf>
    <xf numFmtId="0" fontId="4" fillId="21" borderId="4" xfId="0" applyFont="1" applyFill="1" applyBorder="1" applyAlignment="1">
      <alignment horizontal="center" vertical="center" wrapText="1"/>
    </xf>
    <xf numFmtId="0" fontId="4" fillId="10" borderId="4" xfId="0" applyFont="1" applyFill="1" applyBorder="1" applyAlignment="1">
      <alignment horizontal="center" vertical="center" wrapText="1"/>
    </xf>
    <xf numFmtId="0" fontId="9" fillId="28" borderId="4" xfId="0" applyFont="1" applyFill="1" applyBorder="1" applyAlignment="1">
      <alignment horizontal="center" vertical="center" wrapText="1"/>
    </xf>
    <xf numFmtId="0" fontId="9" fillId="13" borderId="4" xfId="0" applyFont="1" applyFill="1" applyBorder="1" applyAlignment="1">
      <alignment horizontal="center" vertical="center" wrapText="1"/>
    </xf>
    <xf numFmtId="0" fontId="12" fillId="28" borderId="2" xfId="0" applyFont="1" applyFill="1" applyBorder="1" applyAlignment="1">
      <alignment horizontal="center" vertical="center" wrapText="1"/>
    </xf>
    <xf numFmtId="0" fontId="8" fillId="41" borderId="2" xfId="0" applyFont="1" applyFill="1" applyBorder="1" applyAlignment="1">
      <alignment horizontal="center" vertical="center" wrapText="1"/>
    </xf>
    <xf numFmtId="0" fontId="4" fillId="26" borderId="2" xfId="0" applyFont="1" applyFill="1" applyBorder="1" applyAlignment="1">
      <alignment horizontal="center" vertical="center" wrapText="1"/>
    </xf>
    <xf numFmtId="0" fontId="34" fillId="12" borderId="2" xfId="0" applyFont="1" applyFill="1" applyBorder="1" applyAlignment="1">
      <alignment horizontal="center" vertical="center" wrapText="1"/>
    </xf>
    <xf numFmtId="1" fontId="28" fillId="5" borderId="2" xfId="0" applyNumberFormat="1" applyFont="1" applyFill="1" applyBorder="1" applyAlignment="1">
      <alignment horizontal="center" vertical="center"/>
    </xf>
    <xf numFmtId="1" fontId="28" fillId="4" borderId="2" xfId="0" applyNumberFormat="1" applyFont="1" applyFill="1" applyBorder="1" applyAlignment="1">
      <alignment horizontal="center" vertical="center"/>
    </xf>
    <xf numFmtId="1" fontId="35" fillId="2" borderId="3" xfId="0" applyNumberFormat="1" applyFont="1" applyFill="1" applyBorder="1" applyAlignment="1">
      <alignment horizontal="center" vertical="center" wrapText="1"/>
    </xf>
    <xf numFmtId="1" fontId="35" fillId="9" borderId="3" xfId="0" applyNumberFormat="1" applyFont="1" applyFill="1" applyBorder="1" applyAlignment="1">
      <alignment horizontal="center" vertical="center" wrapText="1"/>
    </xf>
    <xf numFmtId="0" fontId="9" fillId="24" borderId="4" xfId="0" applyFont="1" applyFill="1" applyBorder="1" applyAlignment="1">
      <alignment horizontal="center" vertical="center" wrapText="1"/>
    </xf>
    <xf numFmtId="14" fontId="0" fillId="16" borderId="2" xfId="0" applyNumberFormat="1" applyFill="1" applyBorder="1" applyAlignment="1">
      <alignment horizontal="center" vertical="center"/>
    </xf>
    <xf numFmtId="0" fontId="36" fillId="36" borderId="2" xfId="0" applyFont="1" applyFill="1" applyBorder="1" applyAlignment="1">
      <alignment horizontal="center" vertical="center" wrapText="1"/>
    </xf>
    <xf numFmtId="167" fontId="0" fillId="0" borderId="0" xfId="0" applyNumberFormat="1" applyAlignment="1">
      <alignment horizontal="center"/>
    </xf>
    <xf numFmtId="0" fontId="4" fillId="43" borderId="2" xfId="0" applyFont="1" applyFill="1" applyBorder="1" applyAlignment="1">
      <alignment horizontal="center" vertical="center" wrapText="1"/>
    </xf>
    <xf numFmtId="2" fontId="3" fillId="4" borderId="2" xfId="0" applyNumberFormat="1" applyFont="1" applyFill="1" applyBorder="1" applyAlignment="1">
      <alignment horizontal="center" vertical="center"/>
    </xf>
    <xf numFmtId="0" fontId="9" fillId="42" borderId="4" xfId="0" applyFont="1" applyFill="1" applyBorder="1" applyAlignment="1">
      <alignment horizontal="center" vertical="center" wrapText="1"/>
    </xf>
    <xf numFmtId="0" fontId="38" fillId="25" borderId="4" xfId="0" applyFont="1" applyFill="1" applyBorder="1" applyAlignment="1">
      <alignment horizontal="center" vertical="center" wrapText="1"/>
    </xf>
    <xf numFmtId="0" fontId="37" fillId="26" borderId="4" xfId="0" applyFont="1" applyFill="1" applyBorder="1" applyAlignment="1">
      <alignment horizontal="center" vertical="center" wrapText="1"/>
    </xf>
    <xf numFmtId="0" fontId="4" fillId="44" borderId="2" xfId="0" applyFont="1" applyFill="1" applyBorder="1" applyAlignment="1">
      <alignment horizontal="center" vertical="center" wrapText="1"/>
    </xf>
    <xf numFmtId="0" fontId="40" fillId="36" borderId="2" xfId="0" applyFont="1" applyFill="1" applyBorder="1" applyAlignment="1">
      <alignment horizontal="center" vertical="center" wrapText="1"/>
    </xf>
    <xf numFmtId="10" fontId="41" fillId="2" borderId="1" xfId="2" applyNumberFormat="1" applyFont="1" applyFill="1" applyBorder="1" applyAlignment="1">
      <alignment horizontal="center" vertical="center" wrapText="1"/>
    </xf>
    <xf numFmtId="0" fontId="22" fillId="9" borderId="2" xfId="0" applyFont="1" applyFill="1" applyBorder="1" applyAlignment="1">
      <alignment horizontal="center" vertical="center" wrapText="1"/>
    </xf>
    <xf numFmtId="0" fontId="4" fillId="37" borderId="0" xfId="0" applyFont="1" applyFill="1" applyAlignment="1">
      <alignment horizontal="center" vertical="center" wrapText="1"/>
    </xf>
    <xf numFmtId="167" fontId="9" fillId="30" borderId="2" xfId="0" applyNumberFormat="1" applyFont="1" applyFill="1" applyBorder="1" applyAlignment="1">
      <alignment horizontal="center" vertical="center" wrapText="1"/>
    </xf>
    <xf numFmtId="0" fontId="40" fillId="6" borderId="2" xfId="0" applyFont="1" applyFill="1" applyBorder="1" applyAlignment="1">
      <alignment horizontal="center" vertical="center" wrapText="1"/>
    </xf>
    <xf numFmtId="0" fontId="40" fillId="4" borderId="2" xfId="0" applyFont="1" applyFill="1" applyBorder="1" applyAlignment="1">
      <alignment horizontal="center" vertical="center" wrapText="1"/>
    </xf>
    <xf numFmtId="2" fontId="3" fillId="8" borderId="2" xfId="0" applyNumberFormat="1" applyFont="1" applyFill="1" applyBorder="1" applyAlignment="1">
      <alignment horizontal="center" vertical="center"/>
    </xf>
    <xf numFmtId="2" fontId="3" fillId="8" borderId="3" xfId="0" applyNumberFormat="1" applyFont="1" applyFill="1" applyBorder="1" applyAlignment="1">
      <alignment horizontal="center" vertical="center" wrapText="1"/>
    </xf>
    <xf numFmtId="0" fontId="5" fillId="4" borderId="2" xfId="0" applyFont="1" applyFill="1" applyBorder="1" applyAlignment="1">
      <alignment horizontal="center" vertical="center"/>
    </xf>
    <xf numFmtId="0" fontId="20" fillId="2" borderId="3" xfId="0" applyFont="1" applyFill="1" applyBorder="1" applyAlignment="1">
      <alignment horizontal="center" vertical="center" wrapText="1"/>
    </xf>
    <xf numFmtId="0" fontId="5" fillId="2" borderId="3" xfId="0" applyFont="1" applyFill="1" applyBorder="1" applyAlignment="1">
      <alignment horizontal="center" vertical="center" wrapText="1"/>
    </xf>
    <xf numFmtId="43" fontId="1" fillId="23" borderId="2" xfId="1" applyFont="1" applyFill="1" applyBorder="1" applyAlignment="1">
      <alignment horizontal="center" vertical="center" wrapText="1"/>
    </xf>
    <xf numFmtId="0" fontId="4" fillId="14" borderId="2" xfId="0" applyFont="1" applyFill="1" applyBorder="1" applyAlignment="1">
      <alignment horizontal="center" vertical="center" wrapText="1"/>
    </xf>
    <xf numFmtId="0" fontId="39" fillId="3" borderId="2" xfId="0" applyFont="1" applyFill="1" applyBorder="1" applyAlignment="1">
      <alignment horizontal="center" vertical="center" wrapText="1"/>
    </xf>
    <xf numFmtId="0" fontId="39" fillId="12" borderId="2" xfId="0" applyFont="1" applyFill="1" applyBorder="1" applyAlignment="1">
      <alignment horizontal="center" vertical="center" wrapText="1"/>
    </xf>
    <xf numFmtId="0" fontId="9" fillId="45" borderId="2" xfId="0" applyFont="1" applyFill="1" applyBorder="1" applyAlignment="1">
      <alignment horizontal="center" vertical="center" wrapText="1"/>
    </xf>
    <xf numFmtId="0" fontId="42" fillId="45" borderId="2" xfId="0" applyFont="1" applyFill="1" applyBorder="1" applyAlignment="1">
      <alignment horizontal="center" vertical="center" wrapText="1"/>
    </xf>
    <xf numFmtId="0" fontId="34" fillId="45" borderId="2" xfId="0" applyFont="1" applyFill="1" applyBorder="1" applyAlignment="1">
      <alignment horizontal="center" vertical="center" wrapText="1"/>
    </xf>
    <xf numFmtId="168" fontId="3" fillId="4" borderId="2" xfId="0" applyNumberFormat="1" applyFont="1" applyFill="1" applyBorder="1" applyAlignment="1">
      <alignment horizontal="center" vertical="center"/>
    </xf>
    <xf numFmtId="1" fontId="3" fillId="4" borderId="2" xfId="0" applyNumberFormat="1" applyFont="1" applyFill="1" applyBorder="1" applyAlignment="1">
      <alignment horizontal="center" vertical="center"/>
    </xf>
    <xf numFmtId="10" fontId="3" fillId="4" borderId="2" xfId="2" applyNumberFormat="1" applyFont="1" applyFill="1" applyBorder="1" applyAlignment="1">
      <alignment horizontal="center" vertical="center"/>
    </xf>
    <xf numFmtId="1" fontId="0" fillId="4" borderId="7" xfId="0" applyNumberFormat="1" applyFill="1" applyBorder="1" applyAlignment="1">
      <alignment horizontal="center" vertical="center"/>
    </xf>
    <xf numFmtId="164" fontId="18" fillId="4" borderId="3" xfId="0" applyNumberFormat="1" applyFont="1" applyFill="1" applyBorder="1" applyAlignment="1">
      <alignment horizontal="center" vertical="center" wrapText="1"/>
    </xf>
    <xf numFmtId="2" fontId="18" fillId="4" borderId="3" xfId="0" applyNumberFormat="1" applyFont="1" applyFill="1" applyBorder="1" applyAlignment="1">
      <alignment horizontal="center" vertical="center" wrapText="1"/>
    </xf>
    <xf numFmtId="1" fontId="18" fillId="4" borderId="3" xfId="0" applyNumberFormat="1" applyFont="1" applyFill="1" applyBorder="1" applyAlignment="1">
      <alignment horizontal="center" vertical="center" wrapText="1"/>
    </xf>
    <xf numFmtId="10" fontId="28" fillId="4" borderId="2" xfId="2" applyNumberFormat="1" applyFont="1" applyFill="1" applyBorder="1" applyAlignment="1">
      <alignment horizontal="center" vertical="center"/>
    </xf>
    <xf numFmtId="2" fontId="18" fillId="4" borderId="1" xfId="0" applyNumberFormat="1" applyFont="1" applyFill="1" applyBorder="1" applyAlignment="1">
      <alignment horizontal="center" vertical="center" wrapText="1"/>
    </xf>
    <xf numFmtId="0" fontId="3" fillId="5" borderId="2" xfId="0" applyFont="1" applyFill="1" applyBorder="1" applyAlignment="1">
      <alignment horizontal="center" vertical="center"/>
    </xf>
    <xf numFmtId="0" fontId="3" fillId="0" borderId="0" xfId="0" applyFont="1"/>
    <xf numFmtId="1" fontId="35" fillId="4" borderId="3" xfId="0" applyNumberFormat="1" applyFont="1" applyFill="1" applyBorder="1" applyAlignment="1">
      <alignment horizontal="center" vertical="center" wrapText="1"/>
    </xf>
    <xf numFmtId="9" fontId="35" fillId="4" borderId="3" xfId="2" applyFont="1" applyFill="1" applyBorder="1" applyAlignment="1">
      <alignment horizontal="center" vertical="center" wrapText="1"/>
    </xf>
    <xf numFmtId="9" fontId="35" fillId="2" borderId="3" xfId="2" applyFont="1" applyFill="1" applyBorder="1" applyAlignment="1">
      <alignment horizontal="center" vertical="center" wrapText="1"/>
    </xf>
    <xf numFmtId="2" fontId="18" fillId="2" borderId="2" xfId="2" applyNumberFormat="1" applyFont="1" applyFill="1" applyBorder="1" applyAlignment="1">
      <alignment horizontal="center" vertical="center" wrapText="1"/>
    </xf>
    <xf numFmtId="0" fontId="34" fillId="28" borderId="2" xfId="0" applyFont="1" applyFill="1" applyBorder="1" applyAlignment="1">
      <alignment horizontal="center" vertical="center" wrapText="1"/>
    </xf>
    <xf numFmtId="0" fontId="1" fillId="23" borderId="2" xfId="0" applyFont="1" applyFill="1" applyBorder="1" applyAlignment="1">
      <alignment horizontal="center" vertical="center" wrapText="1"/>
    </xf>
    <xf numFmtId="1" fontId="35" fillId="2" borderId="1" xfId="0" applyNumberFormat="1" applyFont="1" applyFill="1" applyBorder="1" applyAlignment="1">
      <alignment horizontal="center" vertical="center" wrapText="1"/>
    </xf>
    <xf numFmtId="9" fontId="35" fillId="2" borderId="1" xfId="2" applyFont="1" applyFill="1" applyBorder="1" applyAlignment="1">
      <alignment horizontal="center" vertical="center" wrapText="1"/>
    </xf>
    <xf numFmtId="2" fontId="0" fillId="4" borderId="2" xfId="2" applyNumberFormat="1" applyFont="1" applyFill="1" applyBorder="1" applyAlignment="1">
      <alignment horizontal="center" vertical="center"/>
    </xf>
    <xf numFmtId="0" fontId="43" fillId="4" borderId="2" xfId="0" applyFont="1" applyFill="1" applyBorder="1" applyAlignment="1">
      <alignment horizontal="center" vertical="center" wrapText="1"/>
    </xf>
    <xf numFmtId="14" fontId="0" fillId="2" borderId="3" xfId="0" applyNumberFormat="1" applyFill="1" applyBorder="1" applyAlignment="1">
      <alignment horizontal="center" vertical="center" wrapText="1"/>
    </xf>
    <xf numFmtId="0" fontId="0" fillId="8" borderId="2" xfId="0" applyFill="1" applyBorder="1" applyAlignment="1">
      <alignment horizontal="center" vertical="center"/>
    </xf>
    <xf numFmtId="167" fontId="19" fillId="4" borderId="2" xfId="0" applyNumberFormat="1" applyFont="1" applyFill="1" applyBorder="1" applyAlignment="1">
      <alignment horizontal="center" vertical="center"/>
    </xf>
    <xf numFmtId="2" fontId="0" fillId="0" borderId="0" xfId="0" applyNumberFormat="1" applyAlignment="1">
      <alignment horizontal="center"/>
    </xf>
    <xf numFmtId="2" fontId="23" fillId="4" borderId="1" xfId="0" applyNumberFormat="1" applyFont="1" applyFill="1" applyBorder="1" applyAlignment="1">
      <alignment horizontal="center" vertical="center" wrapText="1"/>
    </xf>
    <xf numFmtId="1" fontId="18" fillId="4" borderId="1" xfId="0" applyNumberFormat="1" applyFont="1" applyFill="1" applyBorder="1" applyAlignment="1">
      <alignment horizontal="center" vertical="center" wrapText="1"/>
    </xf>
    <xf numFmtId="168" fontId="44" fillId="21" borderId="8" xfId="0" applyNumberFormat="1" applyFont="1" applyFill="1" applyBorder="1" applyAlignment="1">
      <alignment horizontal="center" vertical="center" wrapText="1"/>
    </xf>
    <xf numFmtId="169" fontId="44" fillId="21" borderId="8" xfId="0" applyNumberFormat="1" applyFont="1" applyFill="1" applyBorder="1" applyAlignment="1">
      <alignment horizontal="center" vertical="center" wrapText="1"/>
    </xf>
    <xf numFmtId="1" fontId="0" fillId="4" borderId="2" xfId="2" applyNumberFormat="1" applyFont="1" applyFill="1" applyBorder="1" applyAlignment="1">
      <alignment horizontal="center" vertical="center"/>
    </xf>
    <xf numFmtId="2" fontId="18" fillId="2" borderId="3" xfId="2" applyNumberFormat="1" applyFont="1" applyFill="1" applyBorder="1" applyAlignment="1">
      <alignment horizontal="center" vertical="center" wrapText="1"/>
    </xf>
    <xf numFmtId="1" fontId="18" fillId="2" borderId="3" xfId="2" applyNumberFormat="1" applyFont="1" applyFill="1" applyBorder="1" applyAlignment="1">
      <alignment horizontal="center" vertical="center" wrapText="1"/>
    </xf>
    <xf numFmtId="43" fontId="40" fillId="46" borderId="2" xfId="1" applyFont="1" applyFill="1" applyBorder="1" applyAlignment="1">
      <alignment horizontal="center" vertical="center" wrapText="1"/>
    </xf>
    <xf numFmtId="0" fontId="29" fillId="26" borderId="2" xfId="0" applyFont="1" applyFill="1" applyBorder="1" applyAlignment="1">
      <alignment horizontal="center" vertical="center" wrapText="1"/>
    </xf>
    <xf numFmtId="0" fontId="46" fillId="10" borderId="2" xfId="0" applyFont="1" applyFill="1" applyBorder="1" applyAlignment="1">
      <alignment horizontal="center" vertical="center" wrapText="1"/>
    </xf>
    <xf numFmtId="0" fontId="17" fillId="47" borderId="2" xfId="0" applyFont="1" applyFill="1" applyBorder="1" applyAlignment="1">
      <alignment horizontal="center" vertical="center" wrapText="1"/>
    </xf>
    <xf numFmtId="0" fontId="9" fillId="28" borderId="2" xfId="0" applyFont="1" applyFill="1" applyBorder="1" applyAlignment="1">
      <alignment horizontal="center" vertical="center" wrapText="1"/>
    </xf>
    <xf numFmtId="0" fontId="10" fillId="28" borderId="2" xfId="0" applyFont="1" applyFill="1" applyBorder="1" applyAlignment="1">
      <alignment horizontal="center" vertical="center" wrapText="1"/>
    </xf>
    <xf numFmtId="0" fontId="22" fillId="15" borderId="4" xfId="0" applyFont="1" applyFill="1" applyBorder="1" applyAlignment="1">
      <alignment horizontal="center" vertical="center" wrapText="1"/>
    </xf>
    <xf numFmtId="1" fontId="23" fillId="2" borderId="1" xfId="0" applyNumberFormat="1" applyFont="1" applyFill="1" applyBorder="1" applyAlignment="1">
      <alignment horizontal="center" vertical="center" wrapText="1"/>
    </xf>
    <xf numFmtId="2" fontId="23" fillId="2" borderId="1" xfId="0" applyNumberFormat="1" applyFont="1" applyFill="1" applyBorder="1" applyAlignment="1">
      <alignment horizontal="center" vertical="center" wrapText="1"/>
    </xf>
    <xf numFmtId="0" fontId="51" fillId="26" borderId="2" xfId="0" applyFont="1" applyFill="1" applyBorder="1" applyAlignment="1">
      <alignment horizontal="center" vertical="center" wrapText="1"/>
    </xf>
    <xf numFmtId="1" fontId="23" fillId="2" borderId="3" xfId="0" applyNumberFormat="1" applyFont="1" applyFill="1" applyBorder="1" applyAlignment="1">
      <alignment horizontal="center" vertical="center" wrapText="1"/>
    </xf>
    <xf numFmtId="0" fontId="53" fillId="0" borderId="0" xfId="0" applyFont="1" applyAlignment="1">
      <alignment horizontal="center"/>
    </xf>
    <xf numFmtId="0" fontId="54" fillId="0" borderId="0" xfId="0" applyFont="1"/>
    <xf numFmtId="0" fontId="0" fillId="48" borderId="0" xfId="0" applyFill="1"/>
    <xf numFmtId="2" fontId="5" fillId="33" borderId="2" xfId="0" applyNumberFormat="1" applyFont="1" applyFill="1" applyBorder="1" applyAlignment="1">
      <alignment horizontal="center" vertical="center"/>
    </xf>
    <xf numFmtId="0" fontId="55" fillId="14" borderId="2" xfId="0" applyFont="1" applyFill="1" applyBorder="1" applyAlignment="1">
      <alignment horizontal="center" vertical="center" wrapText="1"/>
    </xf>
    <xf numFmtId="2" fontId="5" fillId="24" borderId="2" xfId="0" applyNumberFormat="1" applyFont="1" applyFill="1" applyBorder="1" applyAlignment="1">
      <alignment horizontal="center" vertical="center"/>
    </xf>
    <xf numFmtId="0" fontId="56" fillId="15" borderId="2" xfId="0" applyFont="1" applyFill="1" applyBorder="1" applyAlignment="1">
      <alignment horizontal="center" vertical="center"/>
    </xf>
    <xf numFmtId="164" fontId="5" fillId="33" borderId="2" xfId="0" applyNumberFormat="1" applyFont="1" applyFill="1" applyBorder="1" applyAlignment="1">
      <alignment horizontal="center" vertical="center"/>
    </xf>
    <xf numFmtId="0" fontId="55" fillId="6" borderId="2" xfId="0" applyFont="1" applyFill="1" applyBorder="1" applyAlignment="1">
      <alignment horizontal="center" vertical="center"/>
    </xf>
    <xf numFmtId="0" fontId="55" fillId="19" borderId="2" xfId="0" applyFont="1" applyFill="1" applyBorder="1" applyAlignment="1">
      <alignment horizontal="center" vertical="center"/>
    </xf>
    <xf numFmtId="0" fontId="0" fillId="21" borderId="0" xfId="0" applyFill="1"/>
    <xf numFmtId="1" fontId="5" fillId="33" borderId="2" xfId="0" applyNumberFormat="1" applyFont="1" applyFill="1" applyBorder="1" applyAlignment="1">
      <alignment horizontal="center" vertical="center"/>
    </xf>
    <xf numFmtId="10" fontId="5" fillId="24" borderId="2" xfId="2" applyNumberFormat="1" applyFont="1" applyFill="1" applyBorder="1" applyAlignment="1">
      <alignment horizontal="center" vertical="center"/>
    </xf>
    <xf numFmtId="0" fontId="57" fillId="11" borderId="2" xfId="0" applyFont="1" applyFill="1" applyBorder="1" applyAlignment="1">
      <alignment horizontal="center" vertical="center"/>
    </xf>
    <xf numFmtId="164" fontId="5" fillId="29" borderId="2" xfId="0" applyNumberFormat="1" applyFont="1" applyFill="1" applyBorder="1" applyAlignment="1">
      <alignment horizontal="center" vertical="center"/>
    </xf>
    <xf numFmtId="0" fontId="55" fillId="9" borderId="2" xfId="0" applyFont="1" applyFill="1" applyBorder="1" applyAlignment="1">
      <alignment horizontal="center" vertical="center"/>
    </xf>
    <xf numFmtId="164" fontId="5" fillId="24" borderId="2" xfId="0" applyNumberFormat="1" applyFont="1" applyFill="1" applyBorder="1" applyAlignment="1">
      <alignment horizontal="center" vertical="center"/>
    </xf>
    <xf numFmtId="10" fontId="5" fillId="49" borderId="2" xfId="2" applyNumberFormat="1" applyFont="1" applyFill="1" applyBorder="1" applyAlignment="1">
      <alignment horizontal="center" vertical="center"/>
    </xf>
    <xf numFmtId="10" fontId="5" fillId="8" borderId="2" xfId="2" applyNumberFormat="1" applyFont="1" applyFill="1" applyBorder="1" applyAlignment="1">
      <alignment horizontal="center" vertical="center"/>
    </xf>
    <xf numFmtId="0" fontId="5" fillId="3" borderId="2" xfId="0" applyFont="1" applyFill="1" applyBorder="1" applyAlignment="1">
      <alignment horizontal="center" vertical="center"/>
    </xf>
    <xf numFmtId="164" fontId="5" fillId="49" borderId="2" xfId="0" applyNumberFormat="1" applyFont="1" applyFill="1" applyBorder="1" applyAlignment="1">
      <alignment horizontal="center" vertical="center"/>
    </xf>
    <xf numFmtId="0" fontId="58" fillId="6" borderId="2" xfId="0" applyFont="1" applyFill="1" applyBorder="1" applyAlignment="1">
      <alignment horizontal="center" vertical="center" wrapText="1"/>
    </xf>
    <xf numFmtId="164" fontId="5" fillId="30" borderId="2" xfId="0" applyNumberFormat="1" applyFont="1" applyFill="1" applyBorder="1" applyAlignment="1">
      <alignment horizontal="center" vertical="center"/>
    </xf>
    <xf numFmtId="0" fontId="59" fillId="6" borderId="2" xfId="0" applyFont="1" applyFill="1" applyBorder="1" applyAlignment="1">
      <alignment horizontal="center" vertical="center" wrapText="1"/>
    </xf>
    <xf numFmtId="2" fontId="60" fillId="35" borderId="2" xfId="0" applyNumberFormat="1" applyFont="1" applyFill="1" applyBorder="1" applyAlignment="1">
      <alignment horizontal="center" vertical="center"/>
    </xf>
    <xf numFmtId="0" fontId="61" fillId="6" borderId="2" xfId="0" applyFont="1" applyFill="1" applyBorder="1" applyAlignment="1">
      <alignment horizontal="center" vertical="center" wrapText="1"/>
    </xf>
    <xf numFmtId="1" fontId="3" fillId="4" borderId="2" xfId="2" applyNumberFormat="1" applyFont="1" applyFill="1" applyBorder="1" applyAlignment="1">
      <alignment horizontal="center" vertical="center"/>
    </xf>
    <xf numFmtId="164" fontId="3" fillId="4" borderId="2" xfId="2" applyNumberFormat="1" applyFont="1" applyFill="1" applyBorder="1" applyAlignment="1">
      <alignment horizontal="center" vertical="center"/>
    </xf>
    <xf numFmtId="1" fontId="5" fillId="4" borderId="2" xfId="0" applyNumberFormat="1" applyFont="1" applyFill="1" applyBorder="1" applyAlignment="1">
      <alignment horizontal="center" vertical="center"/>
    </xf>
    <xf numFmtId="0" fontId="63" fillId="8" borderId="2" xfId="0" applyFont="1" applyFill="1" applyBorder="1" applyAlignment="1">
      <alignment horizontal="center" vertical="center"/>
    </xf>
    <xf numFmtId="0" fontId="5" fillId="8" borderId="2" xfId="0" applyFont="1" applyFill="1" applyBorder="1" applyAlignment="1">
      <alignment horizontal="left" vertical="center"/>
    </xf>
    <xf numFmtId="0" fontId="64" fillId="48" borderId="4" xfId="0" applyFont="1" applyFill="1" applyBorder="1" applyAlignment="1">
      <alignment horizontal="center" vertical="center"/>
    </xf>
    <xf numFmtId="0" fontId="64" fillId="48" borderId="4" xfId="0" applyFont="1" applyFill="1" applyBorder="1" applyAlignment="1">
      <alignment horizontal="center" vertical="center" wrapText="1"/>
    </xf>
    <xf numFmtId="0" fontId="55" fillId="6" borderId="2" xfId="0" applyFont="1" applyFill="1" applyBorder="1" applyAlignment="1">
      <alignment horizontal="center" vertical="center" wrapText="1"/>
    </xf>
    <xf numFmtId="0" fontId="55" fillId="19" borderId="2" xfId="0" applyFont="1" applyFill="1" applyBorder="1" applyAlignment="1">
      <alignment horizontal="center" vertical="center" wrapText="1"/>
    </xf>
    <xf numFmtId="0" fontId="65" fillId="26" borderId="2" xfId="0" applyFont="1" applyFill="1" applyBorder="1" applyAlignment="1">
      <alignment horizontal="center" vertical="center"/>
    </xf>
    <xf numFmtId="0" fontId="66" fillId="15" borderId="2" xfId="0" applyFont="1" applyFill="1" applyBorder="1" applyAlignment="1">
      <alignment horizontal="center" vertical="center" wrapText="1"/>
    </xf>
    <xf numFmtId="0" fontId="19" fillId="5" borderId="2" xfId="0" applyFont="1" applyFill="1" applyBorder="1" applyAlignment="1">
      <alignment horizontal="center" vertical="center" wrapText="1"/>
    </xf>
    <xf numFmtId="0" fontId="67" fillId="15" borderId="2" xfId="0" applyFont="1" applyFill="1" applyBorder="1" applyAlignment="1">
      <alignment horizontal="center" vertical="center"/>
    </xf>
    <xf numFmtId="0" fontId="4" fillId="26" borderId="4" xfId="0" applyFont="1" applyFill="1" applyBorder="1" applyAlignment="1">
      <alignment horizontal="center" vertical="center" wrapText="1"/>
    </xf>
    <xf numFmtId="0" fontId="27" fillId="26" borderId="2" xfId="0" applyFont="1" applyFill="1" applyBorder="1" applyAlignment="1">
      <alignment horizontal="center" vertical="center" wrapText="1"/>
    </xf>
    <xf numFmtId="0" fontId="68" fillId="14" borderId="4" xfId="0" applyFont="1" applyFill="1" applyBorder="1" applyAlignment="1">
      <alignment horizontal="center" vertical="center" wrapText="1"/>
    </xf>
    <xf numFmtId="49" fontId="5" fillId="12" borderId="2" xfId="0" applyNumberFormat="1" applyFont="1" applyFill="1" applyBorder="1" applyAlignment="1">
      <alignment horizontal="center" vertical="center"/>
    </xf>
    <xf numFmtId="0" fontId="55" fillId="9" borderId="2" xfId="0" applyFont="1" applyFill="1" applyBorder="1" applyAlignment="1">
      <alignment horizontal="center" vertical="center" wrapText="1"/>
    </xf>
    <xf numFmtId="0" fontId="0" fillId="48" borderId="0" xfId="0" quotePrefix="1" applyFill="1"/>
    <xf numFmtId="0" fontId="0" fillId="40" borderId="2" xfId="0" quotePrefix="1" applyFill="1" applyBorder="1"/>
    <xf numFmtId="2" fontId="18" fillId="2" borderId="1" xfId="2" applyNumberFormat="1" applyFont="1" applyFill="1" applyBorder="1" applyAlignment="1">
      <alignment horizontal="center" vertical="center" wrapText="1"/>
    </xf>
    <xf numFmtId="1" fontId="18" fillId="2" borderId="1" xfId="2" applyNumberFormat="1" applyFont="1" applyFill="1" applyBorder="1" applyAlignment="1">
      <alignment horizontal="center" vertical="center" wrapText="1"/>
    </xf>
    <xf numFmtId="43" fontId="68" fillId="36" borderId="2" xfId="1" applyFont="1" applyFill="1" applyBorder="1" applyAlignment="1">
      <alignment horizontal="center" vertical="center" wrapText="1"/>
    </xf>
    <xf numFmtId="169" fontId="0" fillId="4" borderId="2" xfId="0" applyNumberFormat="1" applyFill="1" applyBorder="1" applyAlignment="1">
      <alignment horizontal="center" vertical="center"/>
    </xf>
    <xf numFmtId="168" fontId="0" fillId="4" borderId="2" xfId="0" applyNumberFormat="1" applyFill="1" applyBorder="1" applyAlignment="1">
      <alignment horizontal="center" vertical="center"/>
    </xf>
    <xf numFmtId="0" fontId="68" fillId="6" borderId="2" xfId="0" applyFont="1" applyFill="1" applyBorder="1" applyAlignment="1">
      <alignment horizontal="center" vertical="center" wrapText="1"/>
    </xf>
    <xf numFmtId="0" fontId="1" fillId="2" borderId="10"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2" fillId="53" borderId="1" xfId="0" applyFont="1" applyFill="1" applyBorder="1" applyAlignment="1">
      <alignment vertical="center" wrapText="1"/>
    </xf>
    <xf numFmtId="14" fontId="2" fillId="53" borderId="1" xfId="0" applyNumberFormat="1" applyFont="1" applyFill="1" applyBorder="1" applyAlignment="1">
      <alignment vertical="center" wrapText="1"/>
    </xf>
    <xf numFmtId="0" fontId="2" fillId="0" borderId="1" xfId="0" applyFont="1" applyBorder="1" applyAlignment="1">
      <alignment vertical="center" wrapText="1"/>
    </xf>
    <xf numFmtId="14" fontId="2" fillId="0" borderId="1" xfId="0" applyNumberFormat="1" applyFont="1" applyBorder="1" applyAlignment="1">
      <alignment vertical="center" wrapText="1"/>
    </xf>
    <xf numFmtId="0" fontId="2" fillId="53" borderId="13" xfId="0" applyFont="1" applyFill="1" applyBorder="1" applyAlignment="1">
      <alignment vertical="center" wrapText="1"/>
    </xf>
    <xf numFmtId="0" fontId="2" fillId="53" borderId="14" xfId="0" applyFont="1" applyFill="1" applyBorder="1" applyAlignment="1">
      <alignment vertical="center" wrapText="1"/>
    </xf>
    <xf numFmtId="0" fontId="2" fillId="0" borderId="13" xfId="0" applyFont="1" applyBorder="1" applyAlignment="1">
      <alignment vertical="center" wrapText="1"/>
    </xf>
    <xf numFmtId="0" fontId="2" fillId="0" borderId="14" xfId="0" applyFont="1" applyBorder="1" applyAlignment="1">
      <alignment vertical="center" wrapText="1"/>
    </xf>
    <xf numFmtId="166" fontId="0" fillId="34" borderId="2" xfId="0" applyNumberFormat="1" applyFill="1" applyBorder="1" applyAlignment="1">
      <alignment horizontal="center" vertical="center"/>
    </xf>
    <xf numFmtId="167" fontId="0" fillId="34" borderId="2" xfId="0" applyNumberFormat="1" applyFill="1" applyBorder="1" applyAlignment="1">
      <alignment horizontal="center" vertical="center"/>
    </xf>
    <xf numFmtId="1" fontId="71" fillId="25" borderId="3" xfId="0" applyNumberFormat="1" applyFont="1" applyFill="1" applyBorder="1" applyAlignment="1">
      <alignment horizontal="center" vertical="center" wrapText="1"/>
    </xf>
    <xf numFmtId="2" fontId="71" fillId="25" borderId="3" xfId="0" applyNumberFormat="1" applyFont="1" applyFill="1" applyBorder="1" applyAlignment="1">
      <alignment horizontal="center" vertical="center" wrapText="1"/>
    </xf>
    <xf numFmtId="167" fontId="18" fillId="33" borderId="3" xfId="0" applyNumberFormat="1" applyFont="1" applyFill="1" applyBorder="1" applyAlignment="1">
      <alignment horizontal="center" vertical="center" wrapText="1"/>
    </xf>
    <xf numFmtId="10" fontId="71" fillId="48" borderId="3" xfId="2" applyNumberFormat="1" applyFont="1" applyFill="1" applyBorder="1" applyAlignment="1">
      <alignment horizontal="center" vertical="center" wrapText="1"/>
    </xf>
    <xf numFmtId="1" fontId="71" fillId="48" borderId="3" xfId="0" applyNumberFormat="1" applyFont="1" applyFill="1" applyBorder="1" applyAlignment="1">
      <alignment horizontal="center" vertical="center" wrapText="1"/>
    </xf>
    <xf numFmtId="2" fontId="71" fillId="48" borderId="3" xfId="0" applyNumberFormat="1" applyFont="1" applyFill="1" applyBorder="1" applyAlignment="1">
      <alignment horizontal="center" vertical="center" wrapText="1"/>
    </xf>
    <xf numFmtId="0" fontId="4" fillId="54" borderId="2" xfId="0" applyFont="1" applyFill="1" applyBorder="1" applyAlignment="1">
      <alignment horizontal="center" vertical="center" wrapText="1"/>
    </xf>
    <xf numFmtId="1" fontId="18" fillId="50" borderId="3" xfId="0" applyNumberFormat="1" applyFont="1" applyFill="1" applyBorder="1" applyAlignment="1">
      <alignment horizontal="center" vertical="center" wrapText="1"/>
    </xf>
    <xf numFmtId="2" fontId="18" fillId="50" borderId="3" xfId="0" applyNumberFormat="1" applyFont="1" applyFill="1" applyBorder="1" applyAlignment="1">
      <alignment horizontal="center" vertical="center" wrapText="1"/>
    </xf>
    <xf numFmtId="0" fontId="4" fillId="55" borderId="2" xfId="0" applyFont="1" applyFill="1" applyBorder="1" applyAlignment="1">
      <alignment horizontal="center" vertical="center" wrapText="1"/>
    </xf>
    <xf numFmtId="0" fontId="17" fillId="54" borderId="2" xfId="0" applyFont="1" applyFill="1" applyBorder="1" applyAlignment="1">
      <alignment horizontal="center" vertical="center" wrapText="1"/>
    </xf>
    <xf numFmtId="0" fontId="22" fillId="54" borderId="2" xfId="0" applyFont="1" applyFill="1" applyBorder="1" applyAlignment="1">
      <alignment horizontal="center" vertical="center" wrapText="1"/>
    </xf>
    <xf numFmtId="1" fontId="70" fillId="48" borderId="2" xfId="0" applyNumberFormat="1" applyFont="1" applyFill="1" applyBorder="1" applyAlignment="1">
      <alignment horizontal="center" vertical="center"/>
    </xf>
    <xf numFmtId="2" fontId="70" fillId="48" borderId="2" xfId="0" applyNumberFormat="1" applyFont="1" applyFill="1" applyBorder="1" applyAlignment="1">
      <alignment horizontal="center" vertical="center"/>
    </xf>
    <xf numFmtId="167" fontId="0" fillId="33" borderId="2" xfId="0" applyNumberFormat="1" applyFill="1" applyBorder="1" applyAlignment="1">
      <alignment horizontal="left" vertical="center"/>
    </xf>
    <xf numFmtId="3" fontId="0" fillId="4" borderId="2" xfId="0" applyNumberFormat="1" applyFill="1" applyBorder="1" applyAlignment="1">
      <alignment horizontal="center" vertical="center"/>
    </xf>
    <xf numFmtId="10" fontId="70" fillId="48" borderId="2" xfId="2" applyNumberFormat="1" applyFont="1" applyFill="1" applyBorder="1" applyAlignment="1">
      <alignment horizontal="center" vertical="center"/>
    </xf>
    <xf numFmtId="43" fontId="68" fillId="56" borderId="2" xfId="1" applyFont="1" applyFill="1" applyBorder="1" applyAlignment="1">
      <alignment horizontal="center" vertical="center" wrapText="1"/>
    </xf>
    <xf numFmtId="3" fontId="71" fillId="48" borderId="3" xfId="0" applyNumberFormat="1" applyFont="1" applyFill="1" applyBorder="1" applyAlignment="1">
      <alignment horizontal="center" vertical="center" wrapText="1"/>
    </xf>
    <xf numFmtId="4" fontId="71" fillId="48" borderId="3" xfId="0" applyNumberFormat="1" applyFont="1" applyFill="1" applyBorder="1" applyAlignment="1">
      <alignment horizontal="center" vertical="center" wrapText="1"/>
    </xf>
    <xf numFmtId="0" fontId="14" fillId="48" borderId="2" xfId="0" applyFont="1" applyFill="1" applyBorder="1" applyAlignment="1">
      <alignment horizontal="center" vertical="center" wrapText="1"/>
    </xf>
    <xf numFmtId="2" fontId="44" fillId="21" borderId="8" xfId="0" applyNumberFormat="1" applyFont="1" applyFill="1" applyBorder="1" applyAlignment="1">
      <alignment horizontal="center" vertical="center" wrapText="1"/>
    </xf>
    <xf numFmtId="0" fontId="73" fillId="14" borderId="2" xfId="0" applyFont="1" applyFill="1" applyBorder="1" applyAlignment="1">
      <alignment horizontal="center" vertical="center" wrapText="1"/>
    </xf>
    <xf numFmtId="166" fontId="0" fillId="33" borderId="2" xfId="0" applyNumberFormat="1" applyFill="1" applyBorder="1" applyAlignment="1">
      <alignment horizontal="center" vertical="center"/>
    </xf>
    <xf numFmtId="1" fontId="70" fillId="48" borderId="2" xfId="2" applyNumberFormat="1" applyFont="1" applyFill="1" applyBorder="1" applyAlignment="1">
      <alignment horizontal="center" vertical="center"/>
    </xf>
    <xf numFmtId="167" fontId="0" fillId="33" borderId="2" xfId="0" applyNumberFormat="1" applyFill="1" applyBorder="1" applyAlignment="1">
      <alignment horizontal="center" vertical="center"/>
    </xf>
    <xf numFmtId="2" fontId="70" fillId="48" borderId="2" xfId="2" applyNumberFormat="1" applyFont="1" applyFill="1" applyBorder="1" applyAlignment="1">
      <alignment horizontal="center" vertical="center"/>
    </xf>
    <xf numFmtId="1" fontId="70" fillId="52" borderId="2" xfId="0" applyNumberFormat="1" applyFont="1" applyFill="1" applyBorder="1" applyAlignment="1">
      <alignment horizontal="center" vertical="center"/>
    </xf>
    <xf numFmtId="2" fontId="30" fillId="38" borderId="2" xfId="0" applyNumberFormat="1" applyFont="1" applyFill="1" applyBorder="1" applyAlignment="1">
      <alignment horizontal="center" vertical="center" wrapText="1"/>
    </xf>
    <xf numFmtId="2" fontId="0" fillId="0" borderId="0" xfId="0" applyNumberFormat="1" applyAlignment="1">
      <alignment horizontal="center" vertical="center"/>
    </xf>
    <xf numFmtId="1" fontId="70" fillId="57" borderId="2" xfId="0" applyNumberFormat="1" applyFont="1" applyFill="1" applyBorder="1" applyAlignment="1">
      <alignment horizontal="center" vertical="center"/>
    </xf>
    <xf numFmtId="2" fontId="70" fillId="57" borderId="2" xfId="0" applyNumberFormat="1" applyFont="1" applyFill="1" applyBorder="1" applyAlignment="1">
      <alignment horizontal="center" vertical="center"/>
    </xf>
    <xf numFmtId="0" fontId="14" fillId="57" borderId="2" xfId="0" applyFont="1" applyFill="1" applyBorder="1" applyAlignment="1">
      <alignment horizontal="center" vertical="center" wrapText="1"/>
    </xf>
    <xf numFmtId="10" fontId="0" fillId="0" borderId="0" xfId="2" applyNumberFormat="1" applyFont="1" applyAlignment="1">
      <alignment horizontal="center"/>
    </xf>
    <xf numFmtId="2" fontId="4" fillId="14" borderId="2" xfId="0" applyNumberFormat="1" applyFont="1" applyFill="1" applyBorder="1" applyAlignment="1">
      <alignment horizontal="center" vertical="center" wrapText="1"/>
    </xf>
    <xf numFmtId="10" fontId="24" fillId="58" borderId="2" xfId="2" applyNumberFormat="1" applyFont="1" applyFill="1" applyBorder="1" applyAlignment="1">
      <alignment horizontal="center" vertical="center" wrapText="1"/>
    </xf>
    <xf numFmtId="0" fontId="70" fillId="48" borderId="2" xfId="0" applyFont="1" applyFill="1" applyBorder="1" applyAlignment="1">
      <alignment horizontal="center" vertical="center"/>
    </xf>
    <xf numFmtId="164" fontId="70" fillId="48" borderId="2" xfId="0" applyNumberFormat="1" applyFont="1" applyFill="1" applyBorder="1" applyAlignment="1">
      <alignment horizontal="center" vertical="center"/>
    </xf>
    <xf numFmtId="1" fontId="72" fillId="25" borderId="2" xfId="0" applyNumberFormat="1" applyFont="1" applyFill="1" applyBorder="1" applyAlignment="1">
      <alignment horizontal="center" vertical="center"/>
    </xf>
    <xf numFmtId="2" fontId="72" fillId="25" borderId="2" xfId="0" applyNumberFormat="1" applyFont="1" applyFill="1" applyBorder="1" applyAlignment="1">
      <alignment horizontal="center" vertical="center"/>
    </xf>
    <xf numFmtId="0" fontId="48" fillId="37" borderId="2" xfId="0" applyFont="1" applyFill="1" applyBorder="1" applyAlignment="1">
      <alignment horizontal="center" vertical="center" wrapText="1"/>
    </xf>
    <xf numFmtId="0" fontId="19" fillId="12" borderId="2" xfId="0" applyFont="1" applyFill="1" applyBorder="1" applyAlignment="1">
      <alignment horizontal="center" vertical="center" wrapText="1"/>
    </xf>
    <xf numFmtId="0" fontId="19" fillId="12" borderId="2" xfId="0" applyFont="1" applyFill="1" applyBorder="1" applyAlignment="1">
      <alignment horizontal="center" vertical="center"/>
    </xf>
    <xf numFmtId="0" fontId="4" fillId="59" borderId="2" xfId="0" applyFont="1" applyFill="1" applyBorder="1" applyAlignment="1">
      <alignment horizontal="center" vertical="center" wrapText="1"/>
    </xf>
    <xf numFmtId="165" fontId="71" fillId="48" borderId="3" xfId="2" applyNumberFormat="1" applyFont="1" applyFill="1" applyBorder="1" applyAlignment="1">
      <alignment horizontal="center" vertical="center" wrapText="1"/>
    </xf>
    <xf numFmtId="1" fontId="71" fillId="52" borderId="3" xfId="0" applyNumberFormat="1" applyFont="1" applyFill="1" applyBorder="1" applyAlignment="1">
      <alignment horizontal="center" vertical="center" wrapText="1"/>
    </xf>
    <xf numFmtId="0" fontId="4" fillId="52" borderId="2" xfId="0" applyFont="1" applyFill="1" applyBorder="1" applyAlignment="1">
      <alignment horizontal="center" vertical="center" wrapText="1"/>
    </xf>
    <xf numFmtId="43" fontId="9" fillId="17" borderId="2" xfId="1" applyFont="1" applyFill="1" applyBorder="1" applyAlignment="1">
      <alignment horizontal="center" vertical="center" wrapText="1"/>
    </xf>
    <xf numFmtId="165" fontId="74" fillId="48" borderId="9" xfId="2" applyNumberFormat="1" applyFont="1" applyFill="1" applyBorder="1" applyAlignment="1">
      <alignment horizontal="center" vertical="center" wrapText="1"/>
    </xf>
    <xf numFmtId="43" fontId="75" fillId="0" borderId="0" xfId="1" applyFont="1"/>
    <xf numFmtId="0" fontId="78" fillId="16" borderId="2" xfId="0" applyFont="1" applyFill="1" applyBorder="1" applyAlignment="1">
      <alignment horizontal="center" vertical="center" wrapText="1"/>
    </xf>
    <xf numFmtId="0" fontId="76" fillId="48" borderId="2" xfId="0" applyFont="1" applyFill="1" applyBorder="1" applyAlignment="1">
      <alignment horizontal="center" vertical="center"/>
    </xf>
    <xf numFmtId="1" fontId="76" fillId="48" borderId="2" xfId="0" applyNumberFormat="1" applyFont="1" applyFill="1" applyBorder="1" applyAlignment="1">
      <alignment horizontal="center" vertical="center"/>
    </xf>
    <xf numFmtId="43" fontId="77" fillId="3" borderId="2" xfId="1" applyFont="1" applyFill="1" applyBorder="1" applyAlignment="1">
      <alignment horizontal="center" vertical="center" wrapText="1"/>
    </xf>
    <xf numFmtId="43" fontId="77" fillId="3" borderId="4" xfId="1" applyFont="1" applyFill="1" applyBorder="1" applyAlignment="1">
      <alignment horizontal="center" vertical="center" wrapText="1"/>
    </xf>
    <xf numFmtId="2" fontId="19" fillId="50" borderId="2" xfId="0" applyNumberFormat="1" applyFont="1" applyFill="1" applyBorder="1" applyAlignment="1">
      <alignment horizontal="center" vertical="center"/>
    </xf>
    <xf numFmtId="2" fontId="74" fillId="50" borderId="3" xfId="2" applyNumberFormat="1" applyFont="1" applyFill="1" applyBorder="1" applyAlignment="1">
      <alignment horizontal="center" vertical="center" wrapText="1"/>
    </xf>
    <xf numFmtId="0" fontId="68" fillId="15" borderId="2" xfId="0" applyFont="1" applyFill="1" applyBorder="1" applyAlignment="1">
      <alignment horizontal="center" vertical="center" wrapText="1"/>
    </xf>
    <xf numFmtId="3" fontId="71" fillId="52" borderId="3" xfId="0" applyNumberFormat="1" applyFont="1" applyFill="1" applyBorder="1" applyAlignment="1">
      <alignment horizontal="center" vertical="center" wrapText="1"/>
    </xf>
    <xf numFmtId="4" fontId="71" fillId="52" borderId="3" xfId="0" applyNumberFormat="1" applyFont="1" applyFill="1" applyBorder="1" applyAlignment="1">
      <alignment horizontal="center" vertical="center" wrapText="1"/>
    </xf>
    <xf numFmtId="2" fontId="76" fillId="48" borderId="2" xfId="0" applyNumberFormat="1" applyFont="1" applyFill="1" applyBorder="1" applyAlignment="1">
      <alignment horizontal="center" vertical="center"/>
    </xf>
    <xf numFmtId="0" fontId="79" fillId="5" borderId="2" xfId="0" applyFont="1" applyFill="1" applyBorder="1" applyAlignment="1">
      <alignment horizontal="center" vertical="center" wrapText="1"/>
    </xf>
    <xf numFmtId="1" fontId="71" fillId="37" borderId="1" xfId="0" applyNumberFormat="1" applyFont="1" applyFill="1" applyBorder="1" applyAlignment="1">
      <alignment horizontal="center" vertical="center" wrapText="1"/>
    </xf>
    <xf numFmtId="2" fontId="71" fillId="37" borderId="1" xfId="0" applyNumberFormat="1" applyFont="1" applyFill="1" applyBorder="1" applyAlignment="1">
      <alignment horizontal="center" vertical="center" wrapText="1"/>
    </xf>
    <xf numFmtId="1" fontId="80" fillId="48" borderId="2" xfId="0" applyNumberFormat="1" applyFont="1" applyFill="1" applyBorder="1" applyAlignment="1">
      <alignment horizontal="center" vertical="center"/>
    </xf>
    <xf numFmtId="2" fontId="80" fillId="48" borderId="2" xfId="0" applyNumberFormat="1" applyFont="1" applyFill="1" applyBorder="1" applyAlignment="1">
      <alignment horizontal="center" vertical="center"/>
    </xf>
    <xf numFmtId="0" fontId="78" fillId="60" borderId="4" xfId="0" applyFont="1" applyFill="1" applyBorder="1" applyAlignment="1">
      <alignment horizontal="center" vertical="center" wrapText="1"/>
    </xf>
    <xf numFmtId="0" fontId="9" fillId="51" borderId="4" xfId="0" applyFont="1" applyFill="1" applyBorder="1" applyAlignment="1">
      <alignment horizontal="center" vertical="center" wrapText="1"/>
    </xf>
    <xf numFmtId="14" fontId="0" fillId="50" borderId="2" xfId="0" applyNumberFormat="1" applyFill="1" applyBorder="1" applyAlignment="1">
      <alignment horizontal="center" vertical="center"/>
    </xf>
    <xf numFmtId="43" fontId="78" fillId="15" borderId="2" xfId="1" applyFont="1" applyFill="1" applyBorder="1" applyAlignment="1">
      <alignment horizontal="center" vertical="center" wrapText="1"/>
    </xf>
    <xf numFmtId="3" fontId="69" fillId="61" borderId="3" xfId="0" applyNumberFormat="1" applyFont="1" applyFill="1" applyBorder="1" applyAlignment="1">
      <alignment horizontal="center" vertical="center" wrapText="1"/>
    </xf>
    <xf numFmtId="4" fontId="69" fillId="61" borderId="3" xfId="0" applyNumberFormat="1" applyFont="1" applyFill="1" applyBorder="1" applyAlignment="1">
      <alignment horizontal="center" vertical="center" wrapText="1"/>
    </xf>
    <xf numFmtId="43" fontId="16" fillId="15" borderId="4" xfId="1" applyFont="1" applyFill="1" applyBorder="1" applyAlignment="1">
      <alignment horizontal="center" vertical="center" wrapText="1"/>
    </xf>
    <xf numFmtId="43" fontId="16" fillId="15" borderId="2" xfId="1" applyFont="1" applyFill="1" applyBorder="1" applyAlignment="1">
      <alignment horizontal="center" vertical="center" wrapText="1"/>
    </xf>
    <xf numFmtId="0" fontId="3" fillId="62" borderId="2" xfId="0" applyFont="1" applyFill="1" applyBorder="1" applyAlignment="1">
      <alignment horizontal="left" vertical="center"/>
    </xf>
    <xf numFmtId="1" fontId="19" fillId="50" borderId="2" xfId="0" applyNumberFormat="1" applyFont="1" applyFill="1" applyBorder="1" applyAlignment="1">
      <alignment horizontal="center" vertical="center"/>
    </xf>
    <xf numFmtId="10" fontId="19" fillId="50" borderId="2" xfId="2" applyNumberFormat="1" applyFont="1" applyFill="1" applyBorder="1" applyAlignment="1">
      <alignment horizontal="center" vertical="center"/>
    </xf>
    <xf numFmtId="0" fontId="81" fillId="25" borderId="2" xfId="0" applyFont="1" applyFill="1" applyBorder="1" applyAlignment="1">
      <alignment horizontal="center" vertical="center" wrapText="1"/>
    </xf>
    <xf numFmtId="0" fontId="13" fillId="25" borderId="2" xfId="0" applyFont="1" applyFill="1" applyBorder="1" applyAlignment="1">
      <alignment horizontal="center" vertical="center" wrapText="1"/>
    </xf>
    <xf numFmtId="0" fontId="40" fillId="25" borderId="2" xfId="0" applyFont="1" applyFill="1" applyBorder="1" applyAlignment="1">
      <alignment horizontal="center" vertical="center" wrapText="1"/>
    </xf>
    <xf numFmtId="0" fontId="82" fillId="25" borderId="2" xfId="0" applyFont="1" applyFill="1" applyBorder="1" applyAlignment="1">
      <alignment horizontal="center" vertical="center" wrapText="1"/>
    </xf>
    <xf numFmtId="0" fontId="83" fillId="25" borderId="2" xfId="0" applyFont="1" applyFill="1" applyBorder="1" applyAlignment="1">
      <alignment horizontal="center" vertical="center" wrapText="1"/>
    </xf>
    <xf numFmtId="1" fontId="76" fillId="25" borderId="2" xfId="0" applyNumberFormat="1" applyFont="1" applyFill="1" applyBorder="1" applyAlignment="1">
      <alignment horizontal="center" vertical="center"/>
    </xf>
    <xf numFmtId="2" fontId="76" fillId="25" borderId="2" xfId="0" applyNumberFormat="1" applyFont="1" applyFill="1" applyBorder="1" applyAlignment="1">
      <alignment horizontal="center" vertical="center"/>
    </xf>
    <xf numFmtId="0" fontId="46" fillId="63" borderId="4" xfId="0" applyFont="1" applyFill="1" applyBorder="1" applyAlignment="1">
      <alignment horizontal="center" vertical="center" wrapText="1"/>
    </xf>
    <xf numFmtId="0" fontId="84" fillId="63" borderId="4" xfId="0" applyFont="1" applyFill="1" applyBorder="1" applyAlignment="1">
      <alignment horizontal="center" vertical="center" wrapText="1"/>
    </xf>
    <xf numFmtId="4" fontId="71" fillId="25" borderId="3" xfId="0" applyNumberFormat="1" applyFont="1" applyFill="1" applyBorder="1" applyAlignment="1">
      <alignment horizontal="center" vertical="center" wrapText="1"/>
    </xf>
    <xf numFmtId="43" fontId="68" fillId="63" borderId="2" xfId="1" applyFont="1" applyFill="1" applyBorder="1" applyAlignment="1">
      <alignment horizontal="center" vertical="center" wrapText="1"/>
    </xf>
    <xf numFmtId="10" fontId="85" fillId="50" borderId="2" xfId="2" applyNumberFormat="1" applyFont="1" applyFill="1" applyBorder="1" applyAlignment="1">
      <alignment horizontal="center" vertical="center"/>
    </xf>
    <xf numFmtId="0" fontId="86" fillId="10" borderId="2" xfId="0" applyFont="1" applyFill="1" applyBorder="1" applyAlignment="1">
      <alignment horizontal="center" vertical="center" wrapText="1"/>
    </xf>
    <xf numFmtId="2" fontId="0" fillId="50" borderId="2" xfId="0" applyNumberFormat="1" applyFill="1" applyBorder="1" applyAlignment="1">
      <alignment horizontal="center" vertical="center"/>
    </xf>
    <xf numFmtId="0" fontId="14" fillId="48" borderId="4" xfId="0" applyFont="1" applyFill="1" applyBorder="1" applyAlignment="1">
      <alignment horizontal="center" vertical="center" wrapText="1"/>
    </xf>
    <xf numFmtId="0" fontId="68" fillId="36" borderId="4" xfId="0" applyFont="1" applyFill="1" applyBorder="1" applyAlignment="1">
      <alignment horizontal="center" vertical="center" wrapText="1"/>
    </xf>
    <xf numFmtId="2" fontId="70" fillId="25" borderId="2" xfId="0" applyNumberFormat="1" applyFont="1" applyFill="1" applyBorder="1" applyAlignment="1">
      <alignment horizontal="center" vertical="center"/>
    </xf>
    <xf numFmtId="2" fontId="70" fillId="26" borderId="2" xfId="0" applyNumberFormat="1" applyFont="1" applyFill="1" applyBorder="1" applyAlignment="1">
      <alignment horizontal="center" vertical="center"/>
    </xf>
    <xf numFmtId="0" fontId="4" fillId="64" borderId="2" xfId="0" applyFont="1" applyFill="1" applyBorder="1" applyAlignment="1">
      <alignment horizontal="center" vertical="center" wrapText="1"/>
    </xf>
    <xf numFmtId="0" fontId="68" fillId="64" borderId="2" xfId="0" applyFont="1" applyFill="1" applyBorder="1" applyAlignment="1">
      <alignment horizontal="center" vertical="center" wrapText="1"/>
    </xf>
    <xf numFmtId="0" fontId="86" fillId="65" borderId="2" xfId="0" applyFont="1" applyFill="1" applyBorder="1" applyAlignment="1">
      <alignment horizontal="center" vertical="center" wrapText="1"/>
    </xf>
    <xf numFmtId="0" fontId="68" fillId="65" borderId="2" xfId="0" applyFont="1" applyFill="1" applyBorder="1" applyAlignment="1">
      <alignment horizontal="center" vertical="center" wrapText="1"/>
    </xf>
    <xf numFmtId="0" fontId="71" fillId="26" borderId="1" xfId="0" applyFont="1" applyFill="1" applyBorder="1" applyAlignment="1">
      <alignment horizontal="center" vertical="center" wrapText="1"/>
    </xf>
    <xf numFmtId="2" fontId="71" fillId="26" borderId="1" xfId="0" applyNumberFormat="1" applyFont="1" applyFill="1" applyBorder="1" applyAlignment="1">
      <alignment horizontal="center" vertical="center" wrapText="1"/>
    </xf>
    <xf numFmtId="1" fontId="88" fillId="26" borderId="1" xfId="2" applyNumberFormat="1" applyFont="1" applyFill="1" applyBorder="1" applyAlignment="1">
      <alignment horizontal="center" vertical="center" wrapText="1"/>
    </xf>
    <xf numFmtId="2" fontId="88" fillId="26" borderId="1" xfId="2" applyNumberFormat="1" applyFont="1" applyFill="1" applyBorder="1" applyAlignment="1">
      <alignment horizontal="center" vertical="center" wrapText="1"/>
    </xf>
    <xf numFmtId="1" fontId="89" fillId="26" borderId="1" xfId="2" applyNumberFormat="1" applyFont="1" applyFill="1" applyBorder="1" applyAlignment="1">
      <alignment horizontal="center" vertical="center" wrapText="1"/>
    </xf>
    <xf numFmtId="2" fontId="89" fillId="26" borderId="1" xfId="2" applyNumberFormat="1" applyFont="1" applyFill="1" applyBorder="1" applyAlignment="1">
      <alignment horizontal="center" vertical="center" wrapText="1"/>
    </xf>
    <xf numFmtId="1" fontId="71" fillId="26" borderId="1" xfId="2" applyNumberFormat="1" applyFont="1" applyFill="1" applyBorder="1" applyAlignment="1">
      <alignment horizontal="center" vertical="center" wrapText="1"/>
    </xf>
    <xf numFmtId="10" fontId="71" fillId="26" borderId="1" xfId="2" applyNumberFormat="1" applyFont="1" applyFill="1" applyBorder="1" applyAlignment="1">
      <alignment horizontal="center" vertical="center" wrapText="1"/>
    </xf>
    <xf numFmtId="0" fontId="90" fillId="50" borderId="2" xfId="0" applyFont="1" applyFill="1" applyBorder="1" applyAlignment="1">
      <alignment horizontal="center" vertical="center" wrapText="1"/>
    </xf>
    <xf numFmtId="165" fontId="91" fillId="26" borderId="3" xfId="0" applyNumberFormat="1" applyFont="1" applyFill="1" applyBorder="1" applyAlignment="1">
      <alignment horizontal="center" vertical="center" wrapText="1"/>
    </xf>
    <xf numFmtId="0" fontId="76" fillId="66" borderId="2" xfId="0" applyFont="1" applyFill="1" applyBorder="1" applyAlignment="1">
      <alignment horizontal="center" vertical="center"/>
    </xf>
    <xf numFmtId="1" fontId="70" fillId="66" borderId="2" xfId="0" applyNumberFormat="1" applyFont="1" applyFill="1" applyBorder="1" applyAlignment="1">
      <alignment horizontal="center" vertical="center"/>
    </xf>
    <xf numFmtId="2" fontId="70" fillId="66" borderId="2" xfId="0" applyNumberFormat="1" applyFont="1" applyFill="1" applyBorder="1" applyAlignment="1">
      <alignment horizontal="center" vertical="center"/>
    </xf>
    <xf numFmtId="168" fontId="91" fillId="25" borderId="15" xfId="0" applyNumberFormat="1" applyFont="1" applyFill="1" applyBorder="1" applyAlignment="1">
      <alignment horizontal="center" vertical="center" wrapText="1"/>
    </xf>
    <xf numFmtId="10" fontId="91" fillId="25" borderId="15" xfId="2" applyNumberFormat="1" applyFont="1" applyFill="1" applyBorder="1" applyAlignment="1">
      <alignment horizontal="center" vertical="center" wrapText="1"/>
    </xf>
    <xf numFmtId="0" fontId="13" fillId="48" borderId="4" xfId="0" applyFont="1" applyFill="1" applyBorder="1" applyAlignment="1">
      <alignment horizontal="center" vertical="center" wrapText="1"/>
    </xf>
    <xf numFmtId="0" fontId="72" fillId="0" borderId="0" xfId="0" applyFont="1"/>
    <xf numFmtId="2" fontId="92" fillId="67" borderId="7" xfId="0" applyNumberFormat="1" applyFont="1" applyFill="1" applyBorder="1" applyAlignment="1">
      <alignment horizontal="center" vertical="center"/>
    </xf>
    <xf numFmtId="167" fontId="78" fillId="68" borderId="2" xfId="0" applyNumberFormat="1" applyFont="1" applyFill="1" applyBorder="1" applyAlignment="1">
      <alignment horizontal="center" vertical="center" wrapText="1"/>
    </xf>
    <xf numFmtId="0" fontId="78" fillId="68" borderId="2" xfId="0" applyFont="1" applyFill="1" applyBorder="1" applyAlignment="1">
      <alignment horizontal="center" vertical="center" wrapText="1"/>
    </xf>
    <xf numFmtId="0" fontId="68" fillId="17" borderId="2" xfId="0" applyFont="1" applyFill="1" applyBorder="1" applyAlignment="1">
      <alignment horizontal="center" vertical="center" wrapText="1"/>
    </xf>
    <xf numFmtId="0" fontId="68" fillId="19" borderId="2" xfId="0" applyFont="1" applyFill="1" applyBorder="1" applyAlignment="1">
      <alignment horizontal="center" vertical="center" wrapText="1"/>
    </xf>
    <xf numFmtId="1" fontId="71" fillId="21" borderId="1" xfId="0" applyNumberFormat="1" applyFont="1" applyFill="1" applyBorder="1" applyAlignment="1">
      <alignment horizontal="center" vertical="center" wrapText="1"/>
    </xf>
    <xf numFmtId="2" fontId="71" fillId="21" borderId="1" xfId="0" applyNumberFormat="1" applyFont="1" applyFill="1" applyBorder="1" applyAlignment="1">
      <alignment horizontal="center" vertical="center" wrapText="1"/>
    </xf>
    <xf numFmtId="10" fontId="18" fillId="50" borderId="1" xfId="2" applyNumberFormat="1" applyFont="1" applyFill="1" applyBorder="1" applyAlignment="1">
      <alignment horizontal="center" vertical="center" wrapText="1"/>
    </xf>
    <xf numFmtId="0" fontId="2" fillId="0" borderId="16" xfId="0" applyFont="1" applyBorder="1" applyAlignment="1">
      <alignment vertical="center" wrapText="1"/>
    </xf>
    <xf numFmtId="0" fontId="2" fillId="0" borderId="17" xfId="0" applyFont="1" applyBorder="1" applyAlignment="1">
      <alignment vertical="center" wrapText="1"/>
    </xf>
    <xf numFmtId="14" fontId="2" fillId="0" borderId="17" xfId="0" applyNumberFormat="1" applyFont="1" applyBorder="1" applyAlignment="1">
      <alignment vertical="center" wrapText="1"/>
    </xf>
    <xf numFmtId="0" fontId="2" fillId="0" borderId="18" xfId="0" applyFont="1" applyBorder="1" applyAlignment="1">
      <alignment vertical="center" wrapText="1"/>
    </xf>
    <xf numFmtId="0" fontId="70" fillId="26" borderId="2" xfId="0" applyFont="1" applyFill="1" applyBorder="1" applyAlignment="1">
      <alignment horizontal="center" vertical="center"/>
    </xf>
    <xf numFmtId="1" fontId="70" fillId="26" borderId="2" xfId="0" applyNumberFormat="1" applyFont="1" applyFill="1" applyBorder="1" applyAlignment="1">
      <alignment horizontal="center" vertical="center"/>
    </xf>
    <xf numFmtId="0" fontId="71" fillId="26" borderId="3" xfId="0" applyFont="1" applyFill="1" applyBorder="1" applyAlignment="1">
      <alignment horizontal="center" vertical="center" wrapText="1"/>
    </xf>
    <xf numFmtId="2" fontId="71" fillId="26" borderId="3" xfId="0" applyNumberFormat="1" applyFont="1" applyFill="1" applyBorder="1" applyAlignment="1">
      <alignment horizontal="center" vertical="center" wrapText="1"/>
    </xf>
    <xf numFmtId="0" fontId="78" fillId="6" borderId="2" xfId="0" applyFont="1" applyFill="1" applyBorder="1" applyAlignment="1">
      <alignment horizontal="center" vertical="center" wrapText="1"/>
    </xf>
    <xf numFmtId="0" fontId="4" fillId="69" borderId="2" xfId="0" applyFont="1" applyFill="1" applyBorder="1" applyAlignment="1">
      <alignment horizontal="center" vertical="center" wrapText="1"/>
    </xf>
    <xf numFmtId="0" fontId="21" fillId="69" borderId="2" xfId="0" applyFont="1" applyFill="1" applyBorder="1" applyAlignment="1">
      <alignment horizontal="center" vertical="center" wrapText="1"/>
    </xf>
    <xf numFmtId="0" fontId="78" fillId="69" borderId="2" xfId="0" applyFont="1" applyFill="1" applyBorder="1" applyAlignment="1">
      <alignment horizontal="center" vertical="center" wrapText="1"/>
    </xf>
    <xf numFmtId="0" fontId="4" fillId="70" borderId="2" xfId="0" applyFont="1" applyFill="1" applyBorder="1" applyAlignment="1">
      <alignment horizontal="center" vertical="center" wrapText="1"/>
    </xf>
    <xf numFmtId="0" fontId="78" fillId="70" borderId="2" xfId="0" applyFont="1" applyFill="1" applyBorder="1" applyAlignment="1">
      <alignment horizontal="center" vertical="center" wrapText="1"/>
    </xf>
    <xf numFmtId="0" fontId="68" fillId="36" borderId="2" xfId="0" applyFont="1" applyFill="1" applyBorder="1" applyAlignment="1">
      <alignment horizontal="center" vertical="center" wrapText="1"/>
    </xf>
    <xf numFmtId="2" fontId="70" fillId="71" borderId="2" xfId="0" applyNumberFormat="1" applyFont="1" applyFill="1" applyBorder="1" applyAlignment="1">
      <alignment horizontal="center" vertical="center"/>
    </xf>
    <xf numFmtId="0" fontId="68" fillId="68" borderId="2" xfId="0" applyFont="1" applyFill="1" applyBorder="1" applyAlignment="1">
      <alignment horizontal="center" vertical="center" wrapText="1"/>
    </xf>
    <xf numFmtId="1" fontId="0" fillId="0" borderId="0" xfId="0" applyNumberFormat="1"/>
    <xf numFmtId="1" fontId="71" fillId="72" borderId="1" xfId="0" applyNumberFormat="1" applyFont="1" applyFill="1" applyBorder="1" applyAlignment="1">
      <alignment horizontal="center" vertical="center" wrapText="1"/>
    </xf>
    <xf numFmtId="1" fontId="70" fillId="72" borderId="2" xfId="0" applyNumberFormat="1" applyFont="1" applyFill="1" applyBorder="1" applyAlignment="1">
      <alignment horizontal="center" vertical="center"/>
    </xf>
    <xf numFmtId="2" fontId="70" fillId="72" borderId="2" xfId="0" applyNumberFormat="1" applyFont="1" applyFill="1" applyBorder="1" applyAlignment="1">
      <alignment horizontal="center" vertical="center"/>
    </xf>
    <xf numFmtId="0" fontId="51" fillId="73" borderId="2" xfId="0" applyFont="1" applyFill="1" applyBorder="1" applyAlignment="1">
      <alignment horizontal="center" vertical="center" wrapText="1"/>
    </xf>
    <xf numFmtId="0" fontId="70" fillId="73" borderId="2" xfId="0" applyFont="1" applyFill="1" applyBorder="1" applyAlignment="1">
      <alignment horizontal="center" vertical="center"/>
    </xf>
    <xf numFmtId="1" fontId="70" fillId="73" borderId="2" xfId="0" applyNumberFormat="1" applyFont="1" applyFill="1" applyBorder="1" applyAlignment="1">
      <alignment horizontal="center" vertical="center"/>
    </xf>
    <xf numFmtId="2" fontId="70" fillId="73" borderId="2" xfId="0" applyNumberFormat="1" applyFont="1" applyFill="1" applyBorder="1" applyAlignment="1">
      <alignment horizontal="center" vertical="center"/>
    </xf>
    <xf numFmtId="0" fontId="68" fillId="6" borderId="4" xfId="0" applyFont="1" applyFill="1" applyBorder="1" applyAlignment="1">
      <alignment horizontal="center" vertical="center" wrapText="1"/>
    </xf>
    <xf numFmtId="2" fontId="70" fillId="72" borderId="2" xfId="2" applyNumberFormat="1" applyFont="1" applyFill="1" applyBorder="1" applyAlignment="1">
      <alignment horizontal="center" vertical="center"/>
    </xf>
    <xf numFmtId="0" fontId="22" fillId="74" borderId="4" xfId="0" applyFont="1" applyFill="1" applyBorder="1" applyAlignment="1">
      <alignment horizontal="center" vertical="center" wrapText="1"/>
    </xf>
    <xf numFmtId="165" fontId="70" fillId="72" borderId="2" xfId="2" applyNumberFormat="1" applyFont="1" applyFill="1" applyBorder="1" applyAlignment="1">
      <alignment horizontal="center" vertical="center"/>
    </xf>
    <xf numFmtId="170" fontId="2" fillId="0" borderId="1" xfId="0" applyNumberFormat="1" applyFont="1" applyBorder="1" applyAlignment="1">
      <alignment vertical="center" wrapText="1"/>
    </xf>
    <xf numFmtId="0" fontId="62" fillId="48" borderId="4" xfId="0" applyFont="1" applyFill="1" applyBorder="1" applyAlignment="1">
      <alignment horizontal="center" vertical="center" wrapText="1"/>
    </xf>
    <xf numFmtId="0" fontId="62" fillId="48" borderId="5" xfId="0" applyFont="1" applyFill="1" applyBorder="1" applyAlignment="1">
      <alignment horizontal="center" vertical="center" wrapText="1"/>
    </xf>
    <xf numFmtId="14" fontId="0" fillId="0" borderId="0" xfId="0" applyNumberFormat="1"/>
  </cellXfs>
  <cellStyles count="3">
    <cellStyle name="Comma" xfId="1" builtinId="3"/>
    <cellStyle name="Normal" xfId="0" builtinId="0"/>
    <cellStyle name="Percent" xfId="2" builtinId="5"/>
  </cellStyles>
  <dxfs count="9">
    <dxf>
      <font>
        <b/>
        <i val="0"/>
        <color theme="0" tint="0.79998168889431442"/>
      </font>
      <fill>
        <patternFill>
          <bgColor rgb="FFC00000"/>
        </patternFill>
      </fill>
    </dxf>
    <dxf>
      <font>
        <b/>
        <i val="0"/>
        <color theme="0" tint="0.79998168889431442"/>
      </font>
      <fill>
        <patternFill patternType="darkGray">
          <fgColor theme="8" tint="-0.24994659260841701"/>
          <bgColor rgb="FF002060"/>
        </patternFill>
      </fill>
    </dxf>
    <dxf>
      <font>
        <b/>
        <i val="0"/>
        <color theme="0" tint="0.79998168889431442"/>
      </font>
      <fill>
        <patternFill patternType="darkGray">
          <fgColor rgb="FF305496"/>
          <bgColor rgb="FF002060"/>
        </patternFill>
      </fill>
    </dxf>
    <dxf>
      <font>
        <b val="0"/>
        <i val="0"/>
        <color theme="0" tint="0.79998168889431442"/>
      </font>
      <fill>
        <patternFill patternType="darkGray">
          <fgColor theme="3" tint="-0.24994659260841701"/>
          <bgColor theme="1" tint="4.9989318521683403E-2"/>
        </patternFill>
      </fill>
    </dxf>
    <dxf>
      <font>
        <b/>
        <i val="0"/>
        <color theme="0" tint="0.79998168889431442"/>
      </font>
      <fill>
        <patternFill patternType="darkGray">
          <fgColor theme="8" tint="-0.24994659260841701"/>
          <bgColor rgb="FF002060"/>
        </patternFill>
      </fill>
    </dxf>
    <dxf>
      <font>
        <b/>
        <i val="0"/>
        <color theme="0" tint="0.79995117038483843"/>
      </font>
      <fill>
        <patternFill patternType="darkGray">
          <fgColor rgb="FF305496"/>
          <bgColor rgb="FF002060"/>
        </patternFill>
      </fill>
    </dxf>
    <dxf>
      <font>
        <b val="0"/>
        <i val="0"/>
        <color theme="0" tint="0.79998168889431442"/>
      </font>
      <fill>
        <patternFill patternType="darkGray">
          <fgColor theme="3" tint="-0.499984740745262"/>
          <bgColor rgb="FF161616"/>
        </patternFill>
      </fill>
    </dxf>
    <dxf>
      <font>
        <b val="0"/>
        <i val="0"/>
        <color theme="0" tint="0.79998168889431442"/>
      </font>
      <fill>
        <patternFill patternType="darkGray">
          <fgColor theme="3" tint="-0.499984740745262"/>
          <bgColor rgb="FF000000"/>
        </patternFill>
      </fill>
    </dxf>
    <dxf>
      <font>
        <b val="0"/>
        <i val="0"/>
        <color theme="0" tint="0.79998168889431442"/>
      </font>
      <fill>
        <patternFill patternType="darkGray">
          <fgColor theme="3" tint="-0.499984740745262"/>
          <bgColor rgb="FF161616"/>
        </patternFill>
      </fill>
    </dxf>
  </dxfs>
  <tableStyles count="0" defaultTableStyle="TableStyleMedium2" defaultPivotStyle="PivotStyleLight16"/>
  <colors>
    <mruColors>
      <color rgb="FF63BE7B"/>
      <color rgb="FF262626"/>
      <color rgb="FF739DCF"/>
      <color rgb="FFC1D3E9"/>
      <color rgb="FF5A8AC6"/>
      <color rgb="FFDE0000"/>
      <color rgb="FF29693E"/>
      <color rgb="FF23559B"/>
      <color rgb="FFC00000"/>
      <color rgb="FFF869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136</xdr:col>
      <xdr:colOff>105833</xdr:colOff>
      <xdr:row>0</xdr:row>
      <xdr:rowOff>21166</xdr:rowOff>
    </xdr:from>
    <xdr:to>
      <xdr:col>137</xdr:col>
      <xdr:colOff>582084</xdr:colOff>
      <xdr:row>0</xdr:row>
      <xdr:rowOff>592666</xdr:rowOff>
    </xdr:to>
    <xdr:sp macro="[0]!Goleiros" textlink="">
      <xdr:nvSpPr>
        <xdr:cNvPr id="2" name="Retângulo 1">
          <a:extLst>
            <a:ext uri="{FF2B5EF4-FFF2-40B4-BE49-F238E27FC236}">
              <a16:creationId xmlns:a16="http://schemas.microsoft.com/office/drawing/2014/main" id="{00000000-0008-0000-0000-000002000000}"/>
            </a:ext>
          </a:extLst>
        </xdr:cNvPr>
        <xdr:cNvSpPr/>
      </xdr:nvSpPr>
      <xdr:spPr>
        <a:xfrm>
          <a:off x="52531433" y="21166"/>
          <a:ext cx="1085851" cy="1714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3" name="Elipse 2">
          <a:extLst>
            <a:ext uri="{FF2B5EF4-FFF2-40B4-BE49-F238E27FC236}">
              <a16:creationId xmlns:a16="http://schemas.microsoft.com/office/drawing/2014/main" id="{00000000-0008-0000-0000-000003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4" name="Elipse 3">
          <a:extLst>
            <a:ext uri="{FF2B5EF4-FFF2-40B4-BE49-F238E27FC236}">
              <a16:creationId xmlns:a16="http://schemas.microsoft.com/office/drawing/2014/main" id="{00000000-0008-0000-0000-000004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5" name="Elipse 4">
          <a:extLst>
            <a:ext uri="{FF2B5EF4-FFF2-40B4-BE49-F238E27FC236}">
              <a16:creationId xmlns:a16="http://schemas.microsoft.com/office/drawing/2014/main" id="{00000000-0008-0000-0000-000005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6" name="Elipse 5">
          <a:extLst>
            <a:ext uri="{FF2B5EF4-FFF2-40B4-BE49-F238E27FC236}">
              <a16:creationId xmlns:a16="http://schemas.microsoft.com/office/drawing/2014/main" id="{00000000-0008-0000-0000-000006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7" name="Elipse 6">
          <a:extLst>
            <a:ext uri="{FF2B5EF4-FFF2-40B4-BE49-F238E27FC236}">
              <a16:creationId xmlns:a16="http://schemas.microsoft.com/office/drawing/2014/main" id="{00000000-0008-0000-0000-000007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8" name="Elipse 7">
          <a:extLst>
            <a:ext uri="{FF2B5EF4-FFF2-40B4-BE49-F238E27FC236}">
              <a16:creationId xmlns:a16="http://schemas.microsoft.com/office/drawing/2014/main" id="{00000000-0008-0000-0000-000008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9" name="Elipse 8">
          <a:extLst>
            <a:ext uri="{FF2B5EF4-FFF2-40B4-BE49-F238E27FC236}">
              <a16:creationId xmlns:a16="http://schemas.microsoft.com/office/drawing/2014/main" id="{00000000-0008-0000-0000-000009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10" name="Elipse 9">
          <a:extLst>
            <a:ext uri="{FF2B5EF4-FFF2-40B4-BE49-F238E27FC236}">
              <a16:creationId xmlns:a16="http://schemas.microsoft.com/office/drawing/2014/main" id="{00000000-0008-0000-0000-00000A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11" name="Elipse 10">
          <a:extLst>
            <a:ext uri="{FF2B5EF4-FFF2-40B4-BE49-F238E27FC236}">
              <a16:creationId xmlns:a16="http://schemas.microsoft.com/office/drawing/2014/main" id="{00000000-0008-0000-0000-00000B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12" name="Elipse 11">
          <a:extLst>
            <a:ext uri="{FF2B5EF4-FFF2-40B4-BE49-F238E27FC236}">
              <a16:creationId xmlns:a16="http://schemas.microsoft.com/office/drawing/2014/main" id="{00000000-0008-0000-0000-00000C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13" name="Elipse 12">
          <a:extLst>
            <a:ext uri="{FF2B5EF4-FFF2-40B4-BE49-F238E27FC236}">
              <a16:creationId xmlns:a16="http://schemas.microsoft.com/office/drawing/2014/main" id="{00000000-0008-0000-0000-00000D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14" name="Elipse 13">
          <a:extLst>
            <a:ext uri="{FF2B5EF4-FFF2-40B4-BE49-F238E27FC236}">
              <a16:creationId xmlns:a16="http://schemas.microsoft.com/office/drawing/2014/main" id="{00000000-0008-0000-0000-00000E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15" name="Elipse 14">
          <a:extLst>
            <a:ext uri="{FF2B5EF4-FFF2-40B4-BE49-F238E27FC236}">
              <a16:creationId xmlns:a16="http://schemas.microsoft.com/office/drawing/2014/main" id="{00000000-0008-0000-0000-00000F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16" name="Elipse 15">
          <a:extLst>
            <a:ext uri="{FF2B5EF4-FFF2-40B4-BE49-F238E27FC236}">
              <a16:creationId xmlns:a16="http://schemas.microsoft.com/office/drawing/2014/main" id="{00000000-0008-0000-0000-000010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42334</xdr:colOff>
      <xdr:row>0</xdr:row>
      <xdr:rowOff>95250</xdr:rowOff>
    </xdr:from>
    <xdr:to>
      <xdr:col>0</xdr:col>
      <xdr:colOff>560918</xdr:colOff>
      <xdr:row>0</xdr:row>
      <xdr:rowOff>518584</xdr:rowOff>
    </xdr:to>
    <xdr:sp macro="[0]!Ajuste_Linhas" textlink="">
      <xdr:nvSpPr>
        <xdr:cNvPr id="17" name="Elipse 16">
          <a:extLst>
            <a:ext uri="{FF2B5EF4-FFF2-40B4-BE49-F238E27FC236}">
              <a16:creationId xmlns:a16="http://schemas.microsoft.com/office/drawing/2014/main" id="{00000000-0008-0000-0000-000011000000}"/>
            </a:ext>
          </a:extLst>
        </xdr:cNvPr>
        <xdr:cNvSpPr/>
      </xdr:nvSpPr>
      <xdr:spPr>
        <a:xfrm>
          <a:off x="42334" y="95250"/>
          <a:ext cx="518584" cy="9948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18" name="Elipse 17">
          <a:extLst>
            <a:ext uri="{FF2B5EF4-FFF2-40B4-BE49-F238E27FC236}">
              <a16:creationId xmlns:a16="http://schemas.microsoft.com/office/drawing/2014/main" id="{00000000-0008-0000-0000-000012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187</xdr:col>
      <xdr:colOff>116417</xdr:colOff>
      <xdr:row>0</xdr:row>
      <xdr:rowOff>31750</xdr:rowOff>
    </xdr:from>
    <xdr:to>
      <xdr:col>188</xdr:col>
      <xdr:colOff>592668</xdr:colOff>
      <xdr:row>0</xdr:row>
      <xdr:rowOff>603250</xdr:rowOff>
    </xdr:to>
    <xdr:sp macro="[0]!Zagueiros" textlink="">
      <xdr:nvSpPr>
        <xdr:cNvPr id="3" name="Retângulo 2">
          <a:extLst>
            <a:ext uri="{FF2B5EF4-FFF2-40B4-BE49-F238E27FC236}">
              <a16:creationId xmlns:a16="http://schemas.microsoft.com/office/drawing/2014/main" id="{00000000-0008-0000-0100-000003000000}"/>
            </a:ext>
          </a:extLst>
        </xdr:cNvPr>
        <xdr:cNvSpPr/>
      </xdr:nvSpPr>
      <xdr:spPr>
        <a:xfrm>
          <a:off x="146843750" y="31750"/>
          <a:ext cx="1090085"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42333</xdr:colOff>
      <xdr:row>0</xdr:row>
      <xdr:rowOff>105833</xdr:rowOff>
    </xdr:from>
    <xdr:to>
      <xdr:col>0</xdr:col>
      <xdr:colOff>560917</xdr:colOff>
      <xdr:row>0</xdr:row>
      <xdr:rowOff>529167</xdr:rowOff>
    </xdr:to>
    <xdr:sp macro="[0]!Ajuste_Linhas" textlink="">
      <xdr:nvSpPr>
        <xdr:cNvPr id="4" name="Elipse 3">
          <a:extLst>
            <a:ext uri="{FF2B5EF4-FFF2-40B4-BE49-F238E27FC236}">
              <a16:creationId xmlns:a16="http://schemas.microsoft.com/office/drawing/2014/main" id="{00000000-0008-0000-0100-000004000000}"/>
            </a:ext>
          </a:extLst>
        </xdr:cNvPr>
        <xdr:cNvSpPr/>
      </xdr:nvSpPr>
      <xdr:spPr>
        <a:xfrm>
          <a:off x="42333" y="105833"/>
          <a:ext cx="518584" cy="804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5" name="Elipse 4">
          <a:extLst>
            <a:ext uri="{FF2B5EF4-FFF2-40B4-BE49-F238E27FC236}">
              <a16:creationId xmlns:a16="http://schemas.microsoft.com/office/drawing/2014/main" id="{00000000-0008-0000-0100-000005000000}"/>
            </a:ext>
          </a:extLst>
        </xdr:cNvPr>
        <xdr:cNvSpPr/>
      </xdr:nvSpPr>
      <xdr:spPr>
        <a:xfrm>
          <a:off x="42333" y="84666"/>
          <a:ext cx="518584" cy="109009"/>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164</xdr:col>
      <xdr:colOff>96877</xdr:colOff>
      <xdr:row>0</xdr:row>
      <xdr:rowOff>0</xdr:rowOff>
    </xdr:from>
    <xdr:to>
      <xdr:col>165</xdr:col>
      <xdr:colOff>486834</xdr:colOff>
      <xdr:row>1</xdr:row>
      <xdr:rowOff>0</xdr:rowOff>
    </xdr:to>
    <xdr:sp macro="[0]!Laterais" textlink="">
      <xdr:nvSpPr>
        <xdr:cNvPr id="2" name="Elipse 1">
          <a:extLst>
            <a:ext uri="{FF2B5EF4-FFF2-40B4-BE49-F238E27FC236}">
              <a16:creationId xmlns:a16="http://schemas.microsoft.com/office/drawing/2014/main" id="{00000000-0008-0000-0200-000002000000}"/>
            </a:ext>
          </a:extLst>
        </xdr:cNvPr>
        <xdr:cNvSpPr/>
      </xdr:nvSpPr>
      <xdr:spPr>
        <a:xfrm>
          <a:off x="142093460" y="0"/>
          <a:ext cx="1437707" cy="624417"/>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chemeClr val="accent4">
                  <a:lumMod val="60000"/>
                  <a:lumOff val="40000"/>
                </a:schemeClr>
              </a:solidFill>
            </a:rPr>
            <a:t>AJUSTES</a:t>
          </a:r>
          <a:endParaRPr lang="pt-BR" sz="1800" b="1">
            <a:solidFill>
              <a:schemeClr val="accent4">
                <a:lumMod val="60000"/>
                <a:lumOff val="40000"/>
              </a:schemeClr>
            </a:solidFill>
          </a:endParaRPr>
        </a:p>
      </xdr:txBody>
    </xdr:sp>
    <xdr:clientData/>
  </xdr:twoCellAnchor>
  <xdr:twoCellAnchor>
    <xdr:from>
      <xdr:col>0</xdr:col>
      <xdr:colOff>42333</xdr:colOff>
      <xdr:row>0</xdr:row>
      <xdr:rowOff>74084</xdr:rowOff>
    </xdr:from>
    <xdr:to>
      <xdr:col>0</xdr:col>
      <xdr:colOff>560917</xdr:colOff>
      <xdr:row>0</xdr:row>
      <xdr:rowOff>497418</xdr:rowOff>
    </xdr:to>
    <xdr:sp macro="[0]!Ajuste_Linhas" textlink="">
      <xdr:nvSpPr>
        <xdr:cNvPr id="5" name="Elipse 4">
          <a:extLst>
            <a:ext uri="{FF2B5EF4-FFF2-40B4-BE49-F238E27FC236}">
              <a16:creationId xmlns:a16="http://schemas.microsoft.com/office/drawing/2014/main" id="{00000000-0008-0000-0200-000005000000}"/>
            </a:ext>
          </a:extLst>
        </xdr:cNvPr>
        <xdr:cNvSpPr/>
      </xdr:nvSpPr>
      <xdr:spPr>
        <a:xfrm>
          <a:off x="42333" y="74084"/>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6" name="Elipse 5">
          <a:extLst>
            <a:ext uri="{FF2B5EF4-FFF2-40B4-BE49-F238E27FC236}">
              <a16:creationId xmlns:a16="http://schemas.microsoft.com/office/drawing/2014/main" id="{00000000-0008-0000-0200-000006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156</xdr:col>
      <xdr:colOff>52917</xdr:colOff>
      <xdr:row>0</xdr:row>
      <xdr:rowOff>21166</xdr:rowOff>
    </xdr:from>
    <xdr:to>
      <xdr:col>157</xdr:col>
      <xdr:colOff>529169</xdr:colOff>
      <xdr:row>0</xdr:row>
      <xdr:rowOff>592666</xdr:rowOff>
    </xdr:to>
    <xdr:sp macro="[0]!Volantes" textlink="">
      <xdr:nvSpPr>
        <xdr:cNvPr id="3" name="Retângulo 2">
          <a:extLst>
            <a:ext uri="{FF2B5EF4-FFF2-40B4-BE49-F238E27FC236}">
              <a16:creationId xmlns:a16="http://schemas.microsoft.com/office/drawing/2014/main" id="{00000000-0008-0000-0300-000003000000}"/>
            </a:ext>
          </a:extLst>
        </xdr:cNvPr>
        <xdr:cNvSpPr/>
      </xdr:nvSpPr>
      <xdr:spPr>
        <a:xfrm>
          <a:off x="104616250" y="21166"/>
          <a:ext cx="1090086"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42333</xdr:colOff>
      <xdr:row>0</xdr:row>
      <xdr:rowOff>105833</xdr:rowOff>
    </xdr:from>
    <xdr:to>
      <xdr:col>0</xdr:col>
      <xdr:colOff>560917</xdr:colOff>
      <xdr:row>0</xdr:row>
      <xdr:rowOff>529167</xdr:rowOff>
    </xdr:to>
    <xdr:sp macro="[0]!Ajuste_Linhas" textlink="">
      <xdr:nvSpPr>
        <xdr:cNvPr id="4" name="Elipse 3">
          <a:extLst>
            <a:ext uri="{FF2B5EF4-FFF2-40B4-BE49-F238E27FC236}">
              <a16:creationId xmlns:a16="http://schemas.microsoft.com/office/drawing/2014/main" id="{00000000-0008-0000-0300-000004000000}"/>
            </a:ext>
          </a:extLst>
        </xdr:cNvPr>
        <xdr:cNvSpPr/>
      </xdr:nvSpPr>
      <xdr:spPr>
        <a:xfrm>
          <a:off x="42333" y="105833"/>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5" name="Elipse 4">
          <a:extLst>
            <a:ext uri="{FF2B5EF4-FFF2-40B4-BE49-F238E27FC236}">
              <a16:creationId xmlns:a16="http://schemas.microsoft.com/office/drawing/2014/main" id="{00000000-0008-0000-0300-000005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173</xdr:col>
      <xdr:colOff>116415</xdr:colOff>
      <xdr:row>0</xdr:row>
      <xdr:rowOff>21167</xdr:rowOff>
    </xdr:from>
    <xdr:to>
      <xdr:col>174</xdr:col>
      <xdr:colOff>592667</xdr:colOff>
      <xdr:row>0</xdr:row>
      <xdr:rowOff>592667</xdr:rowOff>
    </xdr:to>
    <xdr:sp macro="[0]!BoxBox" textlink="">
      <xdr:nvSpPr>
        <xdr:cNvPr id="4" name="Retângulo 3">
          <a:extLst>
            <a:ext uri="{FF2B5EF4-FFF2-40B4-BE49-F238E27FC236}">
              <a16:creationId xmlns:a16="http://schemas.microsoft.com/office/drawing/2014/main" id="{00000000-0008-0000-0400-000004000000}"/>
            </a:ext>
          </a:extLst>
        </xdr:cNvPr>
        <xdr:cNvSpPr/>
      </xdr:nvSpPr>
      <xdr:spPr>
        <a:xfrm>
          <a:off x="121422582" y="21167"/>
          <a:ext cx="1090085"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52917</xdr:colOff>
      <xdr:row>0</xdr:row>
      <xdr:rowOff>95250</xdr:rowOff>
    </xdr:from>
    <xdr:to>
      <xdr:col>0</xdr:col>
      <xdr:colOff>571501</xdr:colOff>
      <xdr:row>0</xdr:row>
      <xdr:rowOff>518584</xdr:rowOff>
    </xdr:to>
    <xdr:sp macro="[0]!Ajuste_Linhas" textlink="">
      <xdr:nvSpPr>
        <xdr:cNvPr id="5" name="Elipse 4">
          <a:extLst>
            <a:ext uri="{FF2B5EF4-FFF2-40B4-BE49-F238E27FC236}">
              <a16:creationId xmlns:a16="http://schemas.microsoft.com/office/drawing/2014/main" id="{00000000-0008-0000-0400-000005000000}"/>
            </a:ext>
          </a:extLst>
        </xdr:cNvPr>
        <xdr:cNvSpPr/>
      </xdr:nvSpPr>
      <xdr:spPr>
        <a:xfrm>
          <a:off x="52917" y="95250"/>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6" name="Elipse 5">
          <a:extLst>
            <a:ext uri="{FF2B5EF4-FFF2-40B4-BE49-F238E27FC236}">
              <a16:creationId xmlns:a16="http://schemas.microsoft.com/office/drawing/2014/main" id="{00000000-0008-0000-0400-000006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160</xdr:col>
      <xdr:colOff>95251</xdr:colOff>
      <xdr:row>0</xdr:row>
      <xdr:rowOff>21166</xdr:rowOff>
    </xdr:from>
    <xdr:to>
      <xdr:col>161</xdr:col>
      <xdr:colOff>571502</xdr:colOff>
      <xdr:row>0</xdr:row>
      <xdr:rowOff>592666</xdr:rowOff>
    </xdr:to>
    <xdr:sp macro="[0]!Armadores" textlink="">
      <xdr:nvSpPr>
        <xdr:cNvPr id="5" name="Retângulo 4">
          <a:extLst>
            <a:ext uri="{FF2B5EF4-FFF2-40B4-BE49-F238E27FC236}">
              <a16:creationId xmlns:a16="http://schemas.microsoft.com/office/drawing/2014/main" id="{00000000-0008-0000-0500-000005000000}"/>
            </a:ext>
          </a:extLst>
        </xdr:cNvPr>
        <xdr:cNvSpPr/>
      </xdr:nvSpPr>
      <xdr:spPr>
        <a:xfrm>
          <a:off x="115411251" y="21166"/>
          <a:ext cx="1090084"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42334</xdr:colOff>
      <xdr:row>0</xdr:row>
      <xdr:rowOff>105834</xdr:rowOff>
    </xdr:from>
    <xdr:to>
      <xdr:col>0</xdr:col>
      <xdr:colOff>560918</xdr:colOff>
      <xdr:row>0</xdr:row>
      <xdr:rowOff>529168</xdr:rowOff>
    </xdr:to>
    <xdr:sp macro="[0]!Ajuste_Linhas" textlink="">
      <xdr:nvSpPr>
        <xdr:cNvPr id="4" name="Elipse 3">
          <a:extLst>
            <a:ext uri="{FF2B5EF4-FFF2-40B4-BE49-F238E27FC236}">
              <a16:creationId xmlns:a16="http://schemas.microsoft.com/office/drawing/2014/main" id="{00000000-0008-0000-0500-000004000000}"/>
            </a:ext>
          </a:extLst>
        </xdr:cNvPr>
        <xdr:cNvSpPr/>
      </xdr:nvSpPr>
      <xdr:spPr>
        <a:xfrm>
          <a:off x="42334" y="105834"/>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6" name="Elipse 5">
          <a:extLst>
            <a:ext uri="{FF2B5EF4-FFF2-40B4-BE49-F238E27FC236}">
              <a16:creationId xmlns:a16="http://schemas.microsoft.com/office/drawing/2014/main" id="{00000000-0008-0000-0500-000006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197</xdr:col>
      <xdr:colOff>116417</xdr:colOff>
      <xdr:row>0</xdr:row>
      <xdr:rowOff>31750</xdr:rowOff>
    </xdr:from>
    <xdr:to>
      <xdr:col>198</xdr:col>
      <xdr:colOff>592667</xdr:colOff>
      <xdr:row>0</xdr:row>
      <xdr:rowOff>603250</xdr:rowOff>
    </xdr:to>
    <xdr:sp macro="[0]!Avançados" textlink="">
      <xdr:nvSpPr>
        <xdr:cNvPr id="2" name="Retângulo 1">
          <a:extLst>
            <a:ext uri="{FF2B5EF4-FFF2-40B4-BE49-F238E27FC236}">
              <a16:creationId xmlns:a16="http://schemas.microsoft.com/office/drawing/2014/main" id="{00000000-0008-0000-0600-000002000000}"/>
            </a:ext>
          </a:extLst>
        </xdr:cNvPr>
        <xdr:cNvSpPr/>
      </xdr:nvSpPr>
      <xdr:spPr>
        <a:xfrm>
          <a:off x="127910167" y="31750"/>
          <a:ext cx="1090083"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52916</xdr:colOff>
      <xdr:row>0</xdr:row>
      <xdr:rowOff>95250</xdr:rowOff>
    </xdr:from>
    <xdr:to>
      <xdr:col>0</xdr:col>
      <xdr:colOff>571500</xdr:colOff>
      <xdr:row>0</xdr:row>
      <xdr:rowOff>518584</xdr:rowOff>
    </xdr:to>
    <xdr:sp macro="[0]!Ajuste_Linhas" textlink="">
      <xdr:nvSpPr>
        <xdr:cNvPr id="4" name="Elipse 3">
          <a:extLst>
            <a:ext uri="{FF2B5EF4-FFF2-40B4-BE49-F238E27FC236}">
              <a16:creationId xmlns:a16="http://schemas.microsoft.com/office/drawing/2014/main" id="{00000000-0008-0000-0600-000004000000}"/>
            </a:ext>
          </a:extLst>
        </xdr:cNvPr>
        <xdr:cNvSpPr/>
      </xdr:nvSpPr>
      <xdr:spPr>
        <a:xfrm>
          <a:off x="52916" y="95250"/>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5" name="Elipse 4">
          <a:extLst>
            <a:ext uri="{FF2B5EF4-FFF2-40B4-BE49-F238E27FC236}">
              <a16:creationId xmlns:a16="http://schemas.microsoft.com/office/drawing/2014/main" id="{00000000-0008-0000-0600-000005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179295</xdr:colOff>
      <xdr:row>15</xdr:row>
      <xdr:rowOff>42334</xdr:rowOff>
    </xdr:from>
    <xdr:to>
      <xdr:col>5</xdr:col>
      <xdr:colOff>750795</xdr:colOff>
      <xdr:row>17</xdr:row>
      <xdr:rowOff>101475</xdr:rowOff>
    </xdr:to>
    <xdr:sp macro="[0]!Ajustes_TEstatisticas" textlink="">
      <xdr:nvSpPr>
        <xdr:cNvPr id="2" name="Retângulo 1">
          <a:extLst>
            <a:ext uri="{FF2B5EF4-FFF2-40B4-BE49-F238E27FC236}">
              <a16:creationId xmlns:a16="http://schemas.microsoft.com/office/drawing/2014/main" id="{942080D7-8FAC-4EAA-98A7-9E711560BCD1}"/>
            </a:ext>
          </a:extLst>
        </xdr:cNvPr>
        <xdr:cNvSpPr/>
      </xdr:nvSpPr>
      <xdr:spPr>
        <a:xfrm>
          <a:off x="4624295" y="5799667"/>
          <a:ext cx="1481667" cy="7788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800" b="1">
              <a:solidFill>
                <a:srgbClr val="FFFF00"/>
              </a:solidFill>
            </a:rPr>
            <a:t>AJUSTES</a:t>
          </a:r>
          <a:endParaRPr lang="pt-BR" sz="1100" b="1">
            <a:solidFill>
              <a:srgbClr val="FFFF00"/>
            </a:solidFill>
          </a:endParaRPr>
        </a:p>
      </xdr:txBody>
    </xdr:sp>
    <xdr:clientData/>
  </xdr:twoCellAnchor>
  <xdr:twoCellAnchor>
    <xdr:from>
      <xdr:col>4</xdr:col>
      <xdr:colOff>444500</xdr:colOff>
      <xdr:row>17</xdr:row>
      <xdr:rowOff>201083</xdr:rowOff>
    </xdr:from>
    <xdr:to>
      <xdr:col>5</xdr:col>
      <xdr:colOff>645583</xdr:colOff>
      <xdr:row>18</xdr:row>
      <xdr:rowOff>264583</xdr:rowOff>
    </xdr:to>
    <xdr:sp macro="[0]!Limpa_TEstatisticas" textlink="">
      <xdr:nvSpPr>
        <xdr:cNvPr id="3" name="Retângulo com Único Canto Aparado 2">
          <a:extLst>
            <a:ext uri="{FF2B5EF4-FFF2-40B4-BE49-F238E27FC236}">
              <a16:creationId xmlns:a16="http://schemas.microsoft.com/office/drawing/2014/main" id="{B9180CA0-4595-4B38-8D63-4572B83AA66D}"/>
            </a:ext>
          </a:extLst>
        </xdr:cNvPr>
        <xdr:cNvSpPr/>
      </xdr:nvSpPr>
      <xdr:spPr>
        <a:xfrm>
          <a:off x="2882900" y="3430058"/>
          <a:ext cx="772583" cy="187325"/>
        </a:xfrm>
        <a:prstGeom prst="snip1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b="1">
              <a:solidFill>
                <a:schemeClr val="bg1">
                  <a:lumMod val="20000"/>
                  <a:lumOff val="80000"/>
                </a:schemeClr>
              </a:solidFill>
            </a:rPr>
            <a:t>L</a:t>
          </a:r>
          <a:r>
            <a:rPr lang="pt-BR" sz="1400" b="1" baseline="0">
              <a:solidFill>
                <a:schemeClr val="bg1">
                  <a:lumMod val="20000"/>
                  <a:lumOff val="80000"/>
                </a:schemeClr>
              </a:solidFill>
            </a:rPr>
            <a:t> I M P A R</a:t>
          </a:r>
          <a:endParaRPr lang="pt-BR" sz="1400" b="1">
            <a:solidFill>
              <a:schemeClr val="bg1">
                <a:lumMod val="20000"/>
                <a:lumOff val="80000"/>
              </a:schemeClr>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217</xdr:col>
      <xdr:colOff>95250</xdr:colOff>
      <xdr:row>0</xdr:row>
      <xdr:rowOff>10583</xdr:rowOff>
    </xdr:from>
    <xdr:to>
      <xdr:col>218</xdr:col>
      <xdr:colOff>571499</xdr:colOff>
      <xdr:row>0</xdr:row>
      <xdr:rowOff>582083</xdr:rowOff>
    </xdr:to>
    <xdr:sp macro="[0]!Overall" textlink="">
      <xdr:nvSpPr>
        <xdr:cNvPr id="4" name="Retângulo 3">
          <a:extLst>
            <a:ext uri="{FF2B5EF4-FFF2-40B4-BE49-F238E27FC236}">
              <a16:creationId xmlns:a16="http://schemas.microsoft.com/office/drawing/2014/main" id="{00000000-0008-0000-0700-000004000000}"/>
            </a:ext>
          </a:extLst>
        </xdr:cNvPr>
        <xdr:cNvSpPr/>
      </xdr:nvSpPr>
      <xdr:spPr>
        <a:xfrm>
          <a:off x="123930833" y="10583"/>
          <a:ext cx="1090083" cy="571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600" b="1">
              <a:solidFill>
                <a:srgbClr val="FFFF00"/>
              </a:solidFill>
            </a:rPr>
            <a:t>AJUSTES</a:t>
          </a:r>
        </a:p>
      </xdr:txBody>
    </xdr:sp>
    <xdr:clientData/>
  </xdr:twoCellAnchor>
  <xdr:twoCellAnchor>
    <xdr:from>
      <xdr:col>0</xdr:col>
      <xdr:colOff>42333</xdr:colOff>
      <xdr:row>0</xdr:row>
      <xdr:rowOff>84666</xdr:rowOff>
    </xdr:from>
    <xdr:to>
      <xdr:col>0</xdr:col>
      <xdr:colOff>560917</xdr:colOff>
      <xdr:row>0</xdr:row>
      <xdr:rowOff>508000</xdr:rowOff>
    </xdr:to>
    <xdr:sp macro="[0]!Ajuste_Linhas" textlink="">
      <xdr:nvSpPr>
        <xdr:cNvPr id="5" name="Elipse 4">
          <a:extLst>
            <a:ext uri="{FF2B5EF4-FFF2-40B4-BE49-F238E27FC236}">
              <a16:creationId xmlns:a16="http://schemas.microsoft.com/office/drawing/2014/main" id="{00000000-0008-0000-0700-000005000000}"/>
            </a:ext>
          </a:extLst>
        </xdr:cNvPr>
        <xdr:cNvSpPr/>
      </xdr:nvSpPr>
      <xdr:spPr>
        <a:xfrm>
          <a:off x="42333" y="84666"/>
          <a:ext cx="518584" cy="423334"/>
        </a:xfrm>
        <a:prstGeom prst="ellipse">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2">
    <tabColor rgb="FFFFAA00"/>
  </sheetPr>
  <dimension ref="A1:EF1001"/>
  <sheetViews>
    <sheetView zoomScale="90" zoomScaleNormal="90" workbookViewId="0">
      <pane xSplit="4" ySplit="1" topLeftCell="E2" activePane="bottomRight" state="frozen"/>
      <selection pane="topRight" activeCell="E1" sqref="E1"/>
      <selection pane="bottomLeft" activeCell="A2" sqref="A2"/>
      <selection pane="bottomRight"/>
    </sheetView>
  </sheetViews>
  <sheetFormatPr defaultRowHeight="15" x14ac:dyDescent="0.25"/>
  <cols>
    <col min="2" max="2" width="30.7109375" style="53" customWidth="1"/>
    <col min="3" max="3" width="12.5703125" customWidth="1"/>
    <col min="4" max="4" width="25.5703125" bestFit="1" customWidth="1"/>
    <col min="5" max="5" width="21.7109375" customWidth="1"/>
    <col min="6" max="6" width="13.28515625" customWidth="1"/>
    <col min="7" max="9" width="15.7109375" customWidth="1"/>
    <col min="10" max="10" width="15.7109375" style="13" customWidth="1"/>
    <col min="11" max="12" width="15.7109375" customWidth="1"/>
    <col min="13" max="80" width="18.7109375" customWidth="1"/>
    <col min="81" max="81" width="18.7109375" style="13" customWidth="1"/>
    <col min="82" max="98" width="18.7109375" customWidth="1"/>
    <col min="99" max="99" width="9.7109375" style="1" customWidth="1"/>
    <col min="100" max="104" width="12.7109375" customWidth="1"/>
    <col min="105" max="105" width="12.7109375" style="1" customWidth="1"/>
    <col min="106" max="106" width="12.7109375" style="140" customWidth="1"/>
    <col min="107" max="136" width="12.7109375" style="1" customWidth="1"/>
  </cols>
  <sheetData>
    <row r="1" spans="1:136" ht="49.5" customHeight="1" thickBot="1" x14ac:dyDescent="0.3">
      <c r="A1" s="103" t="s">
        <v>292</v>
      </c>
      <c r="B1" s="4" t="s">
        <v>20</v>
      </c>
      <c r="C1" s="4" t="s">
        <v>201</v>
      </c>
      <c r="D1" s="4" t="s">
        <v>28</v>
      </c>
      <c r="E1" s="87" t="s">
        <v>217</v>
      </c>
      <c r="F1" s="8" t="s">
        <v>1</v>
      </c>
      <c r="G1" s="8" t="s">
        <v>88</v>
      </c>
      <c r="H1" s="8" t="s">
        <v>29</v>
      </c>
      <c r="I1" s="8" t="s">
        <v>82</v>
      </c>
      <c r="J1" s="82" t="s">
        <v>3</v>
      </c>
      <c r="K1" s="4" t="s">
        <v>216</v>
      </c>
      <c r="L1" s="8" t="s">
        <v>111</v>
      </c>
      <c r="M1" s="90" t="s">
        <v>35</v>
      </c>
      <c r="N1" s="90" t="s">
        <v>398</v>
      </c>
      <c r="O1" s="90" t="s">
        <v>397</v>
      </c>
      <c r="P1" s="128" t="s">
        <v>75</v>
      </c>
      <c r="Q1" s="128" t="s">
        <v>49</v>
      </c>
      <c r="R1" s="128" t="s">
        <v>310</v>
      </c>
      <c r="S1" s="128" t="s">
        <v>27</v>
      </c>
      <c r="T1" s="128" t="s">
        <v>607</v>
      </c>
      <c r="U1" s="128" t="s">
        <v>76</v>
      </c>
      <c r="V1" s="128" t="s">
        <v>70</v>
      </c>
      <c r="W1" s="341" t="s">
        <v>78</v>
      </c>
      <c r="X1" s="128" t="s">
        <v>514</v>
      </c>
      <c r="Y1" s="128" t="s">
        <v>515</v>
      </c>
      <c r="Z1" s="340" t="s">
        <v>510</v>
      </c>
      <c r="AA1" s="340" t="s">
        <v>511</v>
      </c>
      <c r="AB1" s="340" t="s">
        <v>512</v>
      </c>
      <c r="AC1" s="340" t="s">
        <v>414</v>
      </c>
      <c r="AD1" s="340" t="s">
        <v>513</v>
      </c>
      <c r="AE1" s="145" t="s">
        <v>344</v>
      </c>
      <c r="AF1" s="145" t="s">
        <v>345</v>
      </c>
      <c r="AG1" s="144" t="s">
        <v>106</v>
      </c>
      <c r="AH1" s="145" t="s">
        <v>346</v>
      </c>
      <c r="AI1" s="145" t="s">
        <v>347</v>
      </c>
      <c r="AJ1" s="144" t="s">
        <v>351</v>
      </c>
      <c r="AK1" s="145" t="s">
        <v>348</v>
      </c>
      <c r="AL1" s="145" t="s">
        <v>349</v>
      </c>
      <c r="AM1" s="144" t="s">
        <v>350</v>
      </c>
      <c r="AN1" s="126" t="s">
        <v>293</v>
      </c>
      <c r="AO1" s="126" t="s">
        <v>34</v>
      </c>
      <c r="AP1" s="126" t="s">
        <v>509</v>
      </c>
      <c r="AQ1" s="123" t="s">
        <v>77</v>
      </c>
      <c r="AR1" s="123" t="s">
        <v>33</v>
      </c>
      <c r="AS1" s="127" t="s">
        <v>87</v>
      </c>
      <c r="AT1" s="127" t="s">
        <v>139</v>
      </c>
      <c r="AU1" s="425" t="s">
        <v>895</v>
      </c>
      <c r="AV1" s="204" t="s">
        <v>896</v>
      </c>
      <c r="AW1" s="204" t="s">
        <v>400</v>
      </c>
      <c r="AX1" s="204" t="s">
        <v>210</v>
      </c>
      <c r="AY1" s="204" t="s">
        <v>981</v>
      </c>
      <c r="AZ1" s="126" t="s">
        <v>887</v>
      </c>
      <c r="BA1" s="126" t="s">
        <v>452</v>
      </c>
      <c r="BB1" s="126" t="s">
        <v>161</v>
      </c>
      <c r="BC1" s="137" t="s">
        <v>145</v>
      </c>
      <c r="BD1" s="137" t="s">
        <v>146</v>
      </c>
      <c r="BE1" s="143" t="s">
        <v>148</v>
      </c>
      <c r="BF1" s="143" t="s">
        <v>149</v>
      </c>
      <c r="BG1" s="143" t="s">
        <v>334</v>
      </c>
      <c r="BH1" s="143" t="s">
        <v>335</v>
      </c>
      <c r="BI1" s="143" t="s">
        <v>1028</v>
      </c>
      <c r="BJ1" s="143" t="s">
        <v>1030</v>
      </c>
      <c r="BK1" s="143" t="s">
        <v>1029</v>
      </c>
      <c r="BL1" s="143" t="s">
        <v>1031</v>
      </c>
      <c r="BM1" s="143" t="s">
        <v>1032</v>
      </c>
      <c r="BN1" s="143" t="s">
        <v>522</v>
      </c>
      <c r="BO1" s="250" t="s">
        <v>516</v>
      </c>
      <c r="BP1" s="137" t="s">
        <v>159</v>
      </c>
      <c r="BQ1" s="137" t="s">
        <v>539</v>
      </c>
      <c r="BR1" s="137" t="s">
        <v>306</v>
      </c>
      <c r="BS1" s="137" t="s">
        <v>538</v>
      </c>
      <c r="BT1" s="27" t="s">
        <v>160</v>
      </c>
      <c r="BU1" s="125" t="s">
        <v>340</v>
      </c>
      <c r="BV1" s="124" t="s">
        <v>341</v>
      </c>
      <c r="BW1" s="124" t="s">
        <v>32</v>
      </c>
      <c r="BX1" s="280" t="s">
        <v>36</v>
      </c>
      <c r="BY1" s="280" t="s">
        <v>508</v>
      </c>
      <c r="BZ1" s="248" t="s">
        <v>505</v>
      </c>
      <c r="CA1" s="248" t="s">
        <v>506</v>
      </c>
      <c r="CB1" s="248" t="s">
        <v>507</v>
      </c>
      <c r="CC1" s="249" t="s">
        <v>440</v>
      </c>
      <c r="CD1" s="163" t="s">
        <v>387</v>
      </c>
      <c r="CE1" s="163" t="s">
        <v>388</v>
      </c>
      <c r="CF1" s="164" t="s">
        <v>389</v>
      </c>
      <c r="CG1" s="164" t="s">
        <v>390</v>
      </c>
      <c r="CH1" s="165" t="s">
        <v>391</v>
      </c>
      <c r="CI1" s="165" t="s">
        <v>392</v>
      </c>
      <c r="CJ1" s="163" t="s">
        <v>393</v>
      </c>
      <c r="CK1" s="22" t="s">
        <v>342</v>
      </c>
      <c r="CL1" s="22" t="s">
        <v>343</v>
      </c>
      <c r="CM1" s="23" t="s">
        <v>62</v>
      </c>
      <c r="CN1" s="18" t="s">
        <v>308</v>
      </c>
      <c r="CO1" s="18" t="s">
        <v>63</v>
      </c>
      <c r="CP1" s="4" t="s">
        <v>218</v>
      </c>
      <c r="CQ1" s="4" t="s">
        <v>219</v>
      </c>
      <c r="CR1" s="4" t="s">
        <v>220</v>
      </c>
      <c r="CS1" s="122" t="s">
        <v>307</v>
      </c>
      <c r="CT1" s="101" t="s">
        <v>25</v>
      </c>
      <c r="CU1" s="261" t="s">
        <v>14</v>
      </c>
      <c r="CV1" s="262" t="s">
        <v>566</v>
      </c>
      <c r="CW1" s="262" t="s">
        <v>0</v>
      </c>
      <c r="CX1" s="262" t="s">
        <v>1</v>
      </c>
      <c r="CY1" s="262" t="s">
        <v>20</v>
      </c>
      <c r="CZ1" s="262" t="s">
        <v>2</v>
      </c>
      <c r="DA1" s="262" t="s">
        <v>37</v>
      </c>
      <c r="DB1" s="262" t="s">
        <v>3</v>
      </c>
      <c r="DC1" s="262" t="s">
        <v>29</v>
      </c>
      <c r="DD1" s="262" t="s">
        <v>81</v>
      </c>
      <c r="DE1" s="262" t="s">
        <v>720</v>
      </c>
      <c r="DF1" s="262" t="s">
        <v>567</v>
      </c>
      <c r="DG1" s="262" t="s">
        <v>571</v>
      </c>
      <c r="DH1" s="262" t="s">
        <v>721</v>
      </c>
      <c r="DI1" s="262" t="s">
        <v>722</v>
      </c>
      <c r="DJ1" s="262" t="s">
        <v>723</v>
      </c>
      <c r="DK1" s="262" t="s">
        <v>176</v>
      </c>
      <c r="DL1" s="262" t="s">
        <v>724</v>
      </c>
      <c r="DM1" s="262" t="s">
        <v>725</v>
      </c>
      <c r="DN1" s="262" t="s">
        <v>31</v>
      </c>
      <c r="DO1" s="262" t="s">
        <v>342</v>
      </c>
      <c r="DP1" s="262" t="s">
        <v>249</v>
      </c>
      <c r="DQ1" s="262" t="s">
        <v>575</v>
      </c>
      <c r="DR1" s="262" t="s">
        <v>576</v>
      </c>
      <c r="DS1" s="262" t="s">
        <v>577</v>
      </c>
      <c r="DT1" s="262" t="s">
        <v>414</v>
      </c>
      <c r="DU1" s="262" t="s">
        <v>71</v>
      </c>
      <c r="DV1" s="262" t="s">
        <v>520</v>
      </c>
      <c r="DW1" s="262" t="s">
        <v>891</v>
      </c>
      <c r="DX1" s="262" t="s">
        <v>150</v>
      </c>
      <c r="DY1" s="262" t="s">
        <v>177</v>
      </c>
      <c r="DZ1" s="262" t="s">
        <v>726</v>
      </c>
      <c r="EA1" s="262" t="s">
        <v>727</v>
      </c>
      <c r="EB1" s="262" t="s">
        <v>728</v>
      </c>
      <c r="EC1" s="262" t="s">
        <v>445</v>
      </c>
      <c r="ED1" s="262" t="s">
        <v>729</v>
      </c>
      <c r="EE1" s="262" t="s">
        <v>730</v>
      </c>
      <c r="EF1" s="263" t="s">
        <v>572</v>
      </c>
    </row>
    <row r="2" spans="1:136" ht="24.95" customHeight="1" thickBot="1" x14ac:dyDescent="0.3">
      <c r="A2" s="29" t="str">
        <f t="shared" ref="A2:A11" si="0">ROW()-1 &amp; "º"</f>
        <v>1º</v>
      </c>
      <c r="B2" s="67" t="str">
        <f t="shared" ref="B2:B11" si="1">CY2</f>
        <v>Alexander</v>
      </c>
      <c r="C2" s="251" t="str">
        <f t="shared" ref="C2:C11" si="2">CV2</f>
        <v>BRA</v>
      </c>
      <c r="D2" s="28" t="str">
        <f t="shared" ref="D2:D11" si="3">CW2</f>
        <v>Retrô</v>
      </c>
      <c r="E2" s="91" t="str">
        <f t="shared" ref="E2:E11" si="4">DA2</f>
        <v>Pé Direito</v>
      </c>
      <c r="F2" s="156">
        <f t="shared" ref="F2:F11" si="5">CX2</f>
        <v>28</v>
      </c>
      <c r="G2" s="2" t="str">
        <f t="shared" ref="G2:G11" si="6">CZ2</f>
        <v>€0 - €95m</v>
      </c>
      <c r="H2" s="142">
        <f t="shared" ref="H2:H11" si="7">IFERROR(SUBSTITUTE(DC2," cm","")/100,0)</f>
        <v>1.9</v>
      </c>
      <c r="I2" s="62">
        <f t="shared" ref="I2:I11" si="8">IF(DD2="-", "Sem Data Final", DD2)</f>
        <v>47118</v>
      </c>
      <c r="J2" s="272" t="str">
        <f t="shared" ref="J2:J11" si="9">IFERROR(DB2,0)</f>
        <v>€7,75m p/m</v>
      </c>
      <c r="K2" s="89">
        <f t="shared" ref="K2:K11" si="10">IFERROR(AVERAGE(L:L),0)</f>
        <v>43.826666666666668</v>
      </c>
      <c r="L2" s="134">
        <f t="shared" ref="L2:L11" si="11">IFERROR(DF2/90,0)</f>
        <v>50.588888888888889</v>
      </c>
      <c r="M2" s="6">
        <f t="shared" ref="M2:M11" si="12">DE2</f>
        <v>7</v>
      </c>
      <c r="N2" s="5">
        <f t="shared" ref="N2:N11" si="13">IFERROR((DF2/M2),5400)</f>
        <v>650.42857142857144</v>
      </c>
      <c r="O2" s="21">
        <f t="shared" ref="O2:O11" si="14">IFERROR((M2*1)/L2,0)</f>
        <v>0.13837030529321326</v>
      </c>
      <c r="P2" s="2">
        <f t="shared" ref="P2:P11" si="15">DU2</f>
        <v>1210</v>
      </c>
      <c r="Q2" s="2">
        <f t="shared" ref="Q2:Q11" si="16">DV2</f>
        <v>909</v>
      </c>
      <c r="R2" s="5">
        <f t="shared" ref="R2:R11" si="17">IFERROR((Q2/L2),0)</f>
        <v>17.968372501647266</v>
      </c>
      <c r="S2" s="2">
        <f t="shared" ref="S2:S11" si="18">IFERROR(P2-Q2,0)</f>
        <v>301</v>
      </c>
      <c r="T2" s="5">
        <f t="shared" ref="T2:T11" si="19">IFERROR(S2/L2,0)</f>
        <v>5.9499231276081703</v>
      </c>
      <c r="U2" s="94">
        <f t="shared" ref="U2:U11" si="20">IFERROR(((P2-Q2)*1)/P2,0)</f>
        <v>0.24876033057851241</v>
      </c>
      <c r="V2" s="94">
        <f t="shared" ref="V2:V11" si="21">IFERROR((Q2*1)/P2,0)</f>
        <v>0.75123966942148757</v>
      </c>
      <c r="W2" s="2">
        <f t="shared" ref="W2:W11" si="22">IFERROR(Q2-S2,0)</f>
        <v>608</v>
      </c>
      <c r="X2" s="6">
        <f t="shared" ref="X2:X11" si="23">DU2-DS2</f>
        <v>1210</v>
      </c>
      <c r="Y2" s="5">
        <f t="shared" ref="Y2:Y11" si="24">IFERROR(X2/L2,0)</f>
        <v>23.918295629255436</v>
      </c>
      <c r="Z2" s="6">
        <f t="shared" ref="Z2:Z11" si="25">DS2</f>
        <v>0</v>
      </c>
      <c r="AA2" s="5">
        <f t="shared" ref="AA2:AA11" si="26">IFERROR(Z2/L2,0)</f>
        <v>0</v>
      </c>
      <c r="AB2" s="21">
        <f t="shared" ref="AB2:AB11" si="27">IFERROR(Z2/X2,0)</f>
        <v>0</v>
      </c>
      <c r="AC2" s="6">
        <f t="shared" ref="AC2:AC11" si="28">DT2</f>
        <v>0</v>
      </c>
      <c r="AD2" s="5">
        <f t="shared" ref="AD2:AD11" si="29">IFERROR(AC2/L2,0)</f>
        <v>0</v>
      </c>
      <c r="AE2" s="338">
        <f t="shared" ref="AE2:AE11" si="30">DH2</f>
        <v>39</v>
      </c>
      <c r="AF2" s="339">
        <f t="shared" ref="AF2:AF11" si="31">IFERROR(AE2/L2,0)</f>
        <v>0.7709202723479025</v>
      </c>
      <c r="AG2" s="21">
        <f t="shared" ref="AG2:AG11" si="32">IFERROR((AE2*1)/AQ2,0)</f>
        <v>0.24223602484472051</v>
      </c>
      <c r="AH2" s="338">
        <f t="shared" ref="AH2:AH11" si="33">DI2</f>
        <v>24</v>
      </c>
      <c r="AI2" s="339">
        <f t="shared" ref="AI2:AI11" si="34">IFERROR(AH2/L2,0)</f>
        <v>0.47441247529101693</v>
      </c>
      <c r="AJ2" s="21">
        <f t="shared" ref="AJ2:AJ11" si="35">IFERROR((AH2*1)/AQ2,0)</f>
        <v>0.14906832298136646</v>
      </c>
      <c r="AK2" s="338">
        <f t="shared" ref="AK2:AK11" si="36">DJ2</f>
        <v>98</v>
      </c>
      <c r="AL2" s="339">
        <f t="shared" ref="AL2:AL11" si="37">IFERROR(AK2/R2,0)</f>
        <v>5.4540276249847208</v>
      </c>
      <c r="AM2" s="21">
        <f t="shared" ref="AM2:AM11" si="38">IFERROR((AK2*1)/AQ2,0)</f>
        <v>0.60869565217391308</v>
      </c>
      <c r="AN2" s="21">
        <f t="shared" ref="AN2:AN11" si="39">IFERROR((AO2*1)/L2,0)</f>
        <v>0.23720623764550847</v>
      </c>
      <c r="AO2" s="6">
        <f t="shared" ref="AO2:AO11" si="40">DN2</f>
        <v>12</v>
      </c>
      <c r="AP2" s="5">
        <f t="shared" ref="AP2:AP11" si="41">IFERROR(AO2/L2,0)</f>
        <v>0.23720623764550847</v>
      </c>
      <c r="AQ2" s="6">
        <f t="shared" ref="AQ2:AQ11" si="42">IFERROR(DH2+DI2+DJ2,0)</f>
        <v>161</v>
      </c>
      <c r="AR2" s="5">
        <f t="shared" ref="AR2:AR11" si="43">IFERROR(AQ2/L2,0)</f>
        <v>3.1825170217439052</v>
      </c>
      <c r="AS2" s="2">
        <f t="shared" ref="AS2:AS11" si="44">IFERROR((DI2+DJ2+DH2+DG2),0)</f>
        <v>217</v>
      </c>
      <c r="AT2" s="5">
        <f t="shared" ref="AT2:AT11" si="45">IFERROR(AS2/L2,0)</f>
        <v>4.2894794640896112</v>
      </c>
      <c r="AU2" s="426">
        <f t="shared" ref="AU2:AU11" si="46">DW2/100</f>
        <v>0.88</v>
      </c>
      <c r="AV2" s="21">
        <f t="shared" ref="AV2:AV11" si="47">IFERROR(AQ2/AS2,0)</f>
        <v>0.74193548387096775</v>
      </c>
      <c r="AW2" s="20">
        <f t="shared" ref="AW2:AW11" si="48">IFERROR(((DI2+DJ2+BR2)*1)/(AS2-DH2),0)</f>
        <v>0.6966292134831461</v>
      </c>
      <c r="AX2" s="20">
        <f t="shared" ref="AX2:AX11" si="49">IFERROR((BW2*1)/AT2,1)</f>
        <v>0.25806451612903225</v>
      </c>
      <c r="AY2" s="21">
        <f t="shared" ref="AY2:AY11" si="50">AU2-AV2</f>
        <v>0.13806451612903226</v>
      </c>
      <c r="AZ2" s="424">
        <f t="shared" ref="AZ2:AZ11" si="51">(BE2+AF2+(1.5*AI2)+(1.2*AL2)+(2*(DN2/L2))+(M2/L2)*SQRT(L2))</f>
        <v>18.315955397083766</v>
      </c>
      <c r="BA2" s="424">
        <f t="shared" ref="BA2:BA11" si="52">IFERROR((AH2*2+AK2*1.5+AE2*1)/AS2,0)</f>
        <v>1.0783410138248848</v>
      </c>
      <c r="BB2" s="24">
        <f t="shared" ref="BB2:BB11" si="53">IFERROR(DF2/DG2,0)</f>
        <v>81.303571428571431</v>
      </c>
      <c r="BC2" s="5">
        <f t="shared" ref="BC2:BC11" si="54">IFERROR((DG2+DH2+DI2+DJ2)/DG2,0)</f>
        <v>3.875</v>
      </c>
      <c r="BD2" s="5">
        <f t="shared" ref="BD2:BD11" si="55">IFERROR((DG2+DI2+DJ2)/DG2,0)</f>
        <v>3.1785714285714284</v>
      </c>
      <c r="BE2" s="5">
        <f t="shared" ref="BE2:BE11" si="56">IF(DX2="-","Sem Dados",VALUE(SUBSTITUTE(DX2,".",","))
)</f>
        <v>8.83</v>
      </c>
      <c r="BF2" s="5">
        <f t="shared" ref="BF2:BF11" si="57">IFERROR(BE2/L2,0)</f>
        <v>0.17454425653415331</v>
      </c>
      <c r="BG2" s="5">
        <f t="shared" ref="BG2:BG11" si="58">IFERROR(BE2-(BR2*0.79),-100)</f>
        <v>7.25</v>
      </c>
      <c r="BH2" s="5">
        <f t="shared" ref="BH2:BH11" si="59">IFERROR(BG2/L2,0)</f>
        <v>0.14331210191082802</v>
      </c>
      <c r="BI2" s="5">
        <f t="shared" ref="BI2:BI11" si="60">BP2*0.79</f>
        <v>6.32</v>
      </c>
      <c r="BJ2" s="5">
        <f t="shared" ref="BJ2:BJ11" si="61">BI2/L2</f>
        <v>0.12492861849330113</v>
      </c>
      <c r="BK2" s="5">
        <f t="shared" ref="BK2:BK11" si="62">BR2*0.79</f>
        <v>1.58</v>
      </c>
      <c r="BL2" s="5">
        <f t="shared" ref="BL2:BL11" si="63">BK2/L2</f>
        <v>3.1232154623325282E-2</v>
      </c>
      <c r="BM2" s="5">
        <f t="shared" ref="BM2:BM11" si="64">BK2-BI2</f>
        <v>-4.74</v>
      </c>
      <c r="BN2" s="185">
        <f t="shared" ref="BN2:BN11" si="65">IFERROR(BF2/AP2,BF2)</f>
        <v>0.73583333333333334</v>
      </c>
      <c r="BO2" s="21">
        <f t="shared" ref="BO2:BO11" si="66">IFERROR(BE2/(BE2+DG2),0)</f>
        <v>0.13620237544346753</v>
      </c>
      <c r="BP2" s="6">
        <f t="shared" ref="BP2:BP11" si="67">ED2</f>
        <v>8</v>
      </c>
      <c r="BQ2" s="5">
        <f t="shared" ref="BQ2:BQ11" si="68">IFERROR(BP2/L2,0)</f>
        <v>0.15813749176367231</v>
      </c>
      <c r="BR2" s="6">
        <f t="shared" ref="BR2:BR11" si="69">EE2</f>
        <v>2</v>
      </c>
      <c r="BS2" s="5">
        <f t="shared" ref="BS2:BS11" si="70">IFERROR(BR2/L2,0)</f>
        <v>3.9534372940918078E-2</v>
      </c>
      <c r="BT2" s="20">
        <f t="shared" ref="BT2:BT11" si="71">IFERROR((EE2*1)/ED2,-0.000000000001)</f>
        <v>0.25</v>
      </c>
      <c r="BU2" s="20">
        <f t="shared" ref="BU2:BU11" si="72">IFERROR((DG2*1)/SUM(DG:DG),0)</f>
        <v>0.13461538461538461</v>
      </c>
      <c r="BV2" s="6">
        <f t="shared" ref="BV2:BV11" si="73">DG2</f>
        <v>56</v>
      </c>
      <c r="BW2" s="5">
        <f t="shared" ref="BW2:BW11" si="74">IFERROR(BV2/L2,0)</f>
        <v>1.1069624423457061</v>
      </c>
      <c r="BX2" s="286">
        <f t="shared" ref="BX2:BX11" si="75">DZ2</f>
        <v>2</v>
      </c>
      <c r="BY2" s="287">
        <f t="shared" ref="BY2:BY11" si="76">IFERROR(BX2/L2,0)</f>
        <v>3.9534372940918078E-2</v>
      </c>
      <c r="BZ2" s="6">
        <f t="shared" ref="BZ2:BZ11" si="77">IFERROR(CA2*L2,0)</f>
        <v>217.5322222222222</v>
      </c>
      <c r="CA2" s="5">
        <f t="shared" ref="CA2:CA11" si="78">DL2</f>
        <v>4.3</v>
      </c>
      <c r="CB2" s="6">
        <f t="shared" ref="CB2:CB11" si="79">IFERROR(CC2*L2,0)</f>
        <v>414.82888888888886</v>
      </c>
      <c r="CC2" s="5">
        <f t="shared" ref="CC2:CC11" si="80">DM2</f>
        <v>8.1999999999999993</v>
      </c>
      <c r="CD2" s="167">
        <f t="shared" ref="CD2:CD11" si="81">IFERROR((DK2+EA2+(EC2*2.5)+DO2+DZ2),0)</f>
        <v>11</v>
      </c>
      <c r="CE2" s="142">
        <f t="shared" ref="CE2:CE11" si="82">IFERROR(CD2/L2,0)</f>
        <v>0.21743905117504941</v>
      </c>
      <c r="CF2" s="167">
        <f t="shared" ref="CF2:CF11" si="83">IFERROR((DY2+EB2+(EC2*2.5)),0)</f>
        <v>2</v>
      </c>
      <c r="CG2" s="166">
        <f t="shared" ref="CG2:CG11" si="84">IFERROR(CF2/L2,0)</f>
        <v>3.9534372940918078E-2</v>
      </c>
      <c r="CH2" s="167">
        <f t="shared" ref="CH2:CH11" si="85">IFERROR((DK2-DY2)+(EA2-EB2)+(EC2*2.5)+(DO2),0)</f>
        <v>7</v>
      </c>
      <c r="CI2" s="142">
        <f t="shared" ref="CI2:CI11" si="86">IFERROR(CH2/L2,0)</f>
        <v>0.13837030529321326</v>
      </c>
      <c r="CJ2" s="168">
        <f t="shared" ref="CJ2:CJ11" si="87">IFERROR((CF2*1)/CD2,0)</f>
        <v>0.18181818181818182</v>
      </c>
      <c r="CK2" s="2">
        <f t="shared" ref="CK2:CK11" si="88">DO2</f>
        <v>1</v>
      </c>
      <c r="CL2" s="2">
        <f t="shared" ref="CL2:CL11" si="89">DP2</f>
        <v>0</v>
      </c>
      <c r="CM2" s="2">
        <f t="shared" ref="CM2:CM11" si="90">IFERROR(CK2+CL2,0)</f>
        <v>1</v>
      </c>
      <c r="CN2" s="2">
        <f t="shared" ref="CN2:CN11" si="91">DR2</f>
        <v>18</v>
      </c>
      <c r="CO2" s="6">
        <f t="shared" ref="CO2:CO11" si="92">DQ2</f>
        <v>1</v>
      </c>
      <c r="CP2" s="6">
        <f t="shared" ref="CP2:CP11" si="93">IFERROR(DH2+DG2+DI2+DJ2+ED2+DU2+DO2+(DM2*1.33)+(DN2*2)+(DZ2*2.5)+EA2+DK2,0)</f>
        <v>1483.9059999999999</v>
      </c>
      <c r="CQ2" s="6">
        <f t="shared" ref="CQ2:CQ11" si="94">IFERROR(DH2+DI2+DJ2+EE2+DV2+EB2+DY2,0)</f>
        <v>1074</v>
      </c>
      <c r="CR2" s="20">
        <f t="shared" ref="CR2:CR11" si="95">IFERROR((CQ2*1)/CP2,0)</f>
        <v>0.7237655215357307</v>
      </c>
      <c r="CS2" s="121">
        <f t="shared" ref="CS2:CS11" si="96">SUM(AS:AS)</f>
        <v>1785</v>
      </c>
      <c r="CT2" s="5">
        <f t="shared" ref="CT2:CT11" si="97">IFERROR(VALUE(SUBSTITUTE(EF2, ".", ",")),0)</f>
        <v>6.72</v>
      </c>
      <c r="CU2" s="268" t="s">
        <v>19</v>
      </c>
      <c r="CV2" s="264" t="s">
        <v>13</v>
      </c>
      <c r="CW2" s="264" t="s">
        <v>998</v>
      </c>
      <c r="CX2" s="264">
        <v>28</v>
      </c>
      <c r="CY2" s="264" t="s">
        <v>999</v>
      </c>
      <c r="CZ2" s="264" t="s">
        <v>1000</v>
      </c>
      <c r="DA2" s="264" t="s">
        <v>573</v>
      </c>
      <c r="DB2" s="264" t="s">
        <v>988</v>
      </c>
      <c r="DC2" s="264" t="s">
        <v>798</v>
      </c>
      <c r="DD2" s="265">
        <v>47118</v>
      </c>
      <c r="DE2" s="264">
        <v>7</v>
      </c>
      <c r="DF2" s="264">
        <v>4553</v>
      </c>
      <c r="DG2" s="264">
        <v>56</v>
      </c>
      <c r="DH2" s="264">
        <v>39</v>
      </c>
      <c r="DI2" s="264">
        <v>24</v>
      </c>
      <c r="DJ2" s="264">
        <v>98</v>
      </c>
      <c r="DK2" s="264">
        <v>0</v>
      </c>
      <c r="DL2" s="264">
        <v>4.3</v>
      </c>
      <c r="DM2" s="264">
        <v>8.1999999999999993</v>
      </c>
      <c r="DN2" s="264">
        <v>12</v>
      </c>
      <c r="DO2" s="264">
        <v>1</v>
      </c>
      <c r="DP2" s="264">
        <v>0</v>
      </c>
      <c r="DQ2" s="264">
        <v>1</v>
      </c>
      <c r="DR2" s="264">
        <v>18</v>
      </c>
      <c r="DS2" s="264">
        <v>0</v>
      </c>
      <c r="DT2" s="264">
        <v>0</v>
      </c>
      <c r="DU2" s="264">
        <v>1210</v>
      </c>
      <c r="DV2" s="264">
        <v>909</v>
      </c>
      <c r="DW2" s="264">
        <v>88</v>
      </c>
      <c r="DX2" s="264" t="s">
        <v>1035</v>
      </c>
      <c r="DY2" s="264">
        <v>0</v>
      </c>
      <c r="DZ2" s="264">
        <v>2</v>
      </c>
      <c r="EA2" s="264">
        <v>8</v>
      </c>
      <c r="EB2" s="264">
        <v>2</v>
      </c>
      <c r="EC2" s="264">
        <v>0</v>
      </c>
      <c r="ED2" s="264">
        <v>8</v>
      </c>
      <c r="EE2" s="264">
        <v>2</v>
      </c>
      <c r="EF2" s="269">
        <v>6.72</v>
      </c>
    </row>
    <row r="3" spans="1:136" ht="24.95" customHeight="1" thickBot="1" x14ac:dyDescent="0.3">
      <c r="A3" s="29" t="str">
        <f t="shared" si="0"/>
        <v>2º</v>
      </c>
      <c r="B3" s="67" t="str">
        <f t="shared" si="1"/>
        <v>Fabian Volpi</v>
      </c>
      <c r="C3" s="251" t="str">
        <f t="shared" si="2"/>
        <v>BRA</v>
      </c>
      <c r="D3" s="28" t="str">
        <f t="shared" si="3"/>
        <v>Guarani FC</v>
      </c>
      <c r="E3" s="91" t="str">
        <f t="shared" si="4"/>
        <v>Somente Pé Direito</v>
      </c>
      <c r="F3" s="156">
        <f t="shared" si="5"/>
        <v>30</v>
      </c>
      <c r="G3" s="2" t="str">
        <f t="shared" si="6"/>
        <v>€7m - €70m</v>
      </c>
      <c r="H3" s="142">
        <f t="shared" si="7"/>
        <v>1.86</v>
      </c>
      <c r="I3" s="62">
        <f t="shared" si="8"/>
        <v>47118</v>
      </c>
      <c r="J3" s="272" t="str">
        <f t="shared" si="9"/>
        <v>€5,25m p/m</v>
      </c>
      <c r="K3" s="89">
        <f t="shared" si="10"/>
        <v>43.826666666666668</v>
      </c>
      <c r="L3" s="134">
        <f t="shared" si="11"/>
        <v>35.455555555555556</v>
      </c>
      <c r="M3" s="6">
        <f t="shared" si="12"/>
        <v>5</v>
      </c>
      <c r="N3" s="5">
        <f t="shared" si="13"/>
        <v>638.20000000000005</v>
      </c>
      <c r="O3" s="21">
        <f t="shared" si="14"/>
        <v>0.14102162331557505</v>
      </c>
      <c r="P3" s="2">
        <f t="shared" si="15"/>
        <v>840</v>
      </c>
      <c r="Q3" s="2">
        <f t="shared" si="16"/>
        <v>687</v>
      </c>
      <c r="R3" s="5">
        <f t="shared" si="17"/>
        <v>19.376371043560013</v>
      </c>
      <c r="S3" s="2">
        <f t="shared" si="18"/>
        <v>153</v>
      </c>
      <c r="T3" s="5">
        <f t="shared" si="19"/>
        <v>4.3152616734565967</v>
      </c>
      <c r="U3" s="94">
        <f t="shared" si="20"/>
        <v>0.18214285714285713</v>
      </c>
      <c r="V3" s="94">
        <f t="shared" si="21"/>
        <v>0.81785714285714284</v>
      </c>
      <c r="W3" s="2">
        <f t="shared" si="22"/>
        <v>534</v>
      </c>
      <c r="X3" s="6">
        <f t="shared" si="23"/>
        <v>840</v>
      </c>
      <c r="Y3" s="5">
        <f t="shared" si="24"/>
        <v>23.69163271701661</v>
      </c>
      <c r="Z3" s="6">
        <f t="shared" si="25"/>
        <v>0</v>
      </c>
      <c r="AA3" s="5">
        <f t="shared" si="26"/>
        <v>0</v>
      </c>
      <c r="AB3" s="21">
        <f t="shared" si="27"/>
        <v>0</v>
      </c>
      <c r="AC3" s="6">
        <f t="shared" si="28"/>
        <v>0</v>
      </c>
      <c r="AD3" s="5">
        <f t="shared" si="29"/>
        <v>0</v>
      </c>
      <c r="AE3" s="338">
        <f t="shared" si="30"/>
        <v>28</v>
      </c>
      <c r="AF3" s="339">
        <f t="shared" si="31"/>
        <v>0.78972109056722029</v>
      </c>
      <c r="AG3" s="21">
        <f t="shared" si="32"/>
        <v>0.26666666666666666</v>
      </c>
      <c r="AH3" s="338">
        <f t="shared" si="33"/>
        <v>23</v>
      </c>
      <c r="AI3" s="339">
        <f t="shared" si="34"/>
        <v>0.64869946725164529</v>
      </c>
      <c r="AJ3" s="21">
        <f t="shared" si="35"/>
        <v>0.21904761904761905</v>
      </c>
      <c r="AK3" s="338">
        <f t="shared" si="36"/>
        <v>54</v>
      </c>
      <c r="AL3" s="339">
        <f t="shared" si="37"/>
        <v>2.7868995633187774</v>
      </c>
      <c r="AM3" s="21">
        <f t="shared" si="38"/>
        <v>0.51428571428571423</v>
      </c>
      <c r="AN3" s="21">
        <f t="shared" si="39"/>
        <v>0.39486054528361014</v>
      </c>
      <c r="AO3" s="6">
        <f t="shared" si="40"/>
        <v>14</v>
      </c>
      <c r="AP3" s="5">
        <f t="shared" si="41"/>
        <v>0.39486054528361014</v>
      </c>
      <c r="AQ3" s="6">
        <f t="shared" si="42"/>
        <v>105</v>
      </c>
      <c r="AR3" s="5">
        <f t="shared" si="43"/>
        <v>2.9614540896270762</v>
      </c>
      <c r="AS3" s="2">
        <f t="shared" si="44"/>
        <v>139</v>
      </c>
      <c r="AT3" s="5">
        <f t="shared" si="45"/>
        <v>3.9204011281729865</v>
      </c>
      <c r="AU3" s="426">
        <f t="shared" si="46"/>
        <v>0.89</v>
      </c>
      <c r="AV3" s="21">
        <f t="shared" si="47"/>
        <v>0.75539568345323738</v>
      </c>
      <c r="AW3" s="20">
        <f t="shared" si="48"/>
        <v>0.70270270270270274</v>
      </c>
      <c r="AX3" s="20">
        <f t="shared" si="49"/>
        <v>0.2446043165467626</v>
      </c>
      <c r="AY3" s="21">
        <f t="shared" si="50"/>
        <v>0.13460431654676264</v>
      </c>
      <c r="AZ3" s="424">
        <f t="shared" si="51"/>
        <v>17.986478019198795</v>
      </c>
      <c r="BA3" s="424">
        <f t="shared" si="52"/>
        <v>1.1151079136690647</v>
      </c>
      <c r="BB3" s="24">
        <f t="shared" si="53"/>
        <v>93.852941176470594</v>
      </c>
      <c r="BC3" s="5">
        <f t="shared" si="54"/>
        <v>4.0882352941176467</v>
      </c>
      <c r="BD3" s="5">
        <f t="shared" si="55"/>
        <v>3.2647058823529411</v>
      </c>
      <c r="BE3" s="5">
        <f t="shared" si="56"/>
        <v>11.25</v>
      </c>
      <c r="BF3" s="5">
        <f t="shared" si="57"/>
        <v>0.31729865246004385</v>
      </c>
      <c r="BG3" s="5">
        <f t="shared" si="58"/>
        <v>10.46</v>
      </c>
      <c r="BH3" s="5">
        <f t="shared" si="59"/>
        <v>0.29501723597618301</v>
      </c>
      <c r="BI3" s="5">
        <f t="shared" si="60"/>
        <v>3.95</v>
      </c>
      <c r="BJ3" s="5">
        <f t="shared" si="61"/>
        <v>0.1114070824193043</v>
      </c>
      <c r="BK3" s="5">
        <f t="shared" si="62"/>
        <v>0.79</v>
      </c>
      <c r="BL3" s="5">
        <f t="shared" si="63"/>
        <v>2.2281416483860859E-2</v>
      </c>
      <c r="BM3" s="5">
        <f t="shared" si="64"/>
        <v>-3.16</v>
      </c>
      <c r="BN3" s="185">
        <f t="shared" si="65"/>
        <v>0.80357142857142849</v>
      </c>
      <c r="BO3" s="21">
        <f t="shared" si="66"/>
        <v>0.24861878453038674</v>
      </c>
      <c r="BP3" s="6">
        <f t="shared" si="67"/>
        <v>5</v>
      </c>
      <c r="BQ3" s="5">
        <f t="shared" si="68"/>
        <v>0.14102162331557505</v>
      </c>
      <c r="BR3" s="6">
        <f t="shared" si="69"/>
        <v>1</v>
      </c>
      <c r="BS3" s="5">
        <f t="shared" si="70"/>
        <v>2.820432466311501E-2</v>
      </c>
      <c r="BT3" s="20">
        <f t="shared" si="71"/>
        <v>0.2</v>
      </c>
      <c r="BU3" s="20">
        <f t="shared" si="72"/>
        <v>8.1730769230769232E-2</v>
      </c>
      <c r="BV3" s="6">
        <f t="shared" si="73"/>
        <v>34</v>
      </c>
      <c r="BW3" s="5">
        <f t="shared" si="74"/>
        <v>0.95894703854591035</v>
      </c>
      <c r="BX3" s="286">
        <f t="shared" si="75"/>
        <v>1</v>
      </c>
      <c r="BY3" s="287">
        <f t="shared" si="76"/>
        <v>2.820432466311501E-2</v>
      </c>
      <c r="BZ3" s="6">
        <f t="shared" si="77"/>
        <v>141.82222222222222</v>
      </c>
      <c r="CA3" s="5">
        <f t="shared" si="78"/>
        <v>4</v>
      </c>
      <c r="CB3" s="6">
        <f t="shared" si="79"/>
        <v>234.00666666666666</v>
      </c>
      <c r="CC3" s="5">
        <f t="shared" si="80"/>
        <v>6.6</v>
      </c>
      <c r="CD3" s="167">
        <f t="shared" si="81"/>
        <v>9</v>
      </c>
      <c r="CE3" s="142">
        <f t="shared" si="82"/>
        <v>0.25383892196803509</v>
      </c>
      <c r="CF3" s="167">
        <f t="shared" si="83"/>
        <v>1</v>
      </c>
      <c r="CG3" s="166">
        <f t="shared" si="84"/>
        <v>2.820432466311501E-2</v>
      </c>
      <c r="CH3" s="167">
        <f t="shared" si="85"/>
        <v>7</v>
      </c>
      <c r="CI3" s="142">
        <f t="shared" si="86"/>
        <v>0.19743027264180507</v>
      </c>
      <c r="CJ3" s="168">
        <f t="shared" si="87"/>
        <v>0.1111111111111111</v>
      </c>
      <c r="CK3" s="2">
        <f t="shared" si="88"/>
        <v>3</v>
      </c>
      <c r="CL3" s="2">
        <f t="shared" si="89"/>
        <v>0</v>
      </c>
      <c r="CM3" s="2">
        <f t="shared" si="90"/>
        <v>3</v>
      </c>
      <c r="CN3" s="2">
        <f t="shared" si="91"/>
        <v>13</v>
      </c>
      <c r="CO3" s="6">
        <f t="shared" si="92"/>
        <v>3</v>
      </c>
      <c r="CP3" s="6">
        <f t="shared" si="93"/>
        <v>1031.278</v>
      </c>
      <c r="CQ3" s="6">
        <f t="shared" si="94"/>
        <v>794</v>
      </c>
      <c r="CR3" s="20">
        <f t="shared" si="95"/>
        <v>0.76991848948586117</v>
      </c>
      <c r="CS3" s="121">
        <f t="shared" si="96"/>
        <v>1785</v>
      </c>
      <c r="CT3" s="5">
        <f t="shared" si="97"/>
        <v>6.84</v>
      </c>
      <c r="CU3" s="270"/>
      <c r="CV3" s="266" t="s">
        <v>13</v>
      </c>
      <c r="CW3" s="266" t="s">
        <v>1016</v>
      </c>
      <c r="CX3" s="266">
        <v>30</v>
      </c>
      <c r="CY3" s="266" t="s">
        <v>1017</v>
      </c>
      <c r="CZ3" s="266" t="s">
        <v>1018</v>
      </c>
      <c r="DA3" s="266" t="s">
        <v>574</v>
      </c>
      <c r="DB3" s="266" t="s">
        <v>1019</v>
      </c>
      <c r="DC3" s="266" t="s">
        <v>541</v>
      </c>
      <c r="DD3" s="267">
        <v>47118</v>
      </c>
      <c r="DE3" s="266">
        <v>5</v>
      </c>
      <c r="DF3" s="266">
        <v>3191</v>
      </c>
      <c r="DG3" s="266">
        <v>34</v>
      </c>
      <c r="DH3" s="266">
        <v>28</v>
      </c>
      <c r="DI3" s="266">
        <v>23</v>
      </c>
      <c r="DJ3" s="266">
        <v>54</v>
      </c>
      <c r="DK3" s="266">
        <v>0</v>
      </c>
      <c r="DL3" s="266">
        <v>4</v>
      </c>
      <c r="DM3" s="266">
        <v>6.6</v>
      </c>
      <c r="DN3" s="266">
        <v>14</v>
      </c>
      <c r="DO3" s="266">
        <v>3</v>
      </c>
      <c r="DP3" s="266">
        <v>0</v>
      </c>
      <c r="DQ3" s="266">
        <v>3</v>
      </c>
      <c r="DR3" s="266">
        <v>13</v>
      </c>
      <c r="DS3" s="266">
        <v>0</v>
      </c>
      <c r="DT3" s="266">
        <v>0</v>
      </c>
      <c r="DU3" s="266">
        <v>840</v>
      </c>
      <c r="DV3" s="266">
        <v>687</v>
      </c>
      <c r="DW3" s="266">
        <v>89</v>
      </c>
      <c r="DX3" s="266" t="s">
        <v>1038</v>
      </c>
      <c r="DY3" s="266">
        <v>0</v>
      </c>
      <c r="DZ3" s="266">
        <v>1</v>
      </c>
      <c r="EA3" s="266">
        <v>5</v>
      </c>
      <c r="EB3" s="266">
        <v>1</v>
      </c>
      <c r="EC3" s="266">
        <v>0</v>
      </c>
      <c r="ED3" s="266">
        <v>5</v>
      </c>
      <c r="EE3" s="266">
        <v>1</v>
      </c>
      <c r="EF3" s="271">
        <v>6.84</v>
      </c>
    </row>
    <row r="4" spans="1:136" ht="24.95" customHeight="1" thickBot="1" x14ac:dyDescent="0.3">
      <c r="A4" s="29" t="str">
        <f t="shared" si="0"/>
        <v>3º</v>
      </c>
      <c r="B4" s="67" t="str">
        <f t="shared" si="1"/>
        <v>Facundo Perrone</v>
      </c>
      <c r="C4" s="251" t="str">
        <f t="shared" si="2"/>
        <v>ARG</v>
      </c>
      <c r="D4" s="28" t="str">
        <f t="shared" si="3"/>
        <v>Athletico Paranaense</v>
      </c>
      <c r="E4" s="91" t="str">
        <f t="shared" si="4"/>
        <v>Pé Direito</v>
      </c>
      <c r="F4" s="156">
        <f t="shared" si="5"/>
        <v>28</v>
      </c>
      <c r="G4" s="2" t="str">
        <f t="shared" si="6"/>
        <v>€160m - €1,6M</v>
      </c>
      <c r="H4" s="142">
        <f t="shared" si="7"/>
        <v>1.91</v>
      </c>
      <c r="I4" s="62">
        <f t="shared" si="8"/>
        <v>47483</v>
      </c>
      <c r="J4" s="272" t="str">
        <f t="shared" si="9"/>
        <v>€14,75m p/m</v>
      </c>
      <c r="K4" s="89">
        <f t="shared" si="10"/>
        <v>43.826666666666668</v>
      </c>
      <c r="L4" s="134">
        <f t="shared" si="11"/>
        <v>34.233333333333334</v>
      </c>
      <c r="M4" s="6">
        <f t="shared" si="12"/>
        <v>6</v>
      </c>
      <c r="N4" s="5">
        <f t="shared" si="13"/>
        <v>513.5</v>
      </c>
      <c r="O4" s="21">
        <f t="shared" si="14"/>
        <v>0.17526777020447906</v>
      </c>
      <c r="P4" s="2">
        <f t="shared" si="15"/>
        <v>819</v>
      </c>
      <c r="Q4" s="2">
        <f t="shared" si="16"/>
        <v>662</v>
      </c>
      <c r="R4" s="5">
        <f t="shared" si="17"/>
        <v>19.337877312560856</v>
      </c>
      <c r="S4" s="2">
        <f t="shared" si="18"/>
        <v>157</v>
      </c>
      <c r="T4" s="5">
        <f t="shared" si="19"/>
        <v>4.586173320350535</v>
      </c>
      <c r="U4" s="94">
        <f t="shared" si="20"/>
        <v>0.19169719169719171</v>
      </c>
      <c r="V4" s="94">
        <f t="shared" si="21"/>
        <v>0.80830280830280832</v>
      </c>
      <c r="W4" s="2">
        <f t="shared" si="22"/>
        <v>505</v>
      </c>
      <c r="X4" s="6">
        <f t="shared" si="23"/>
        <v>819</v>
      </c>
      <c r="Y4" s="5">
        <f t="shared" si="24"/>
        <v>23.924050632911392</v>
      </c>
      <c r="Z4" s="6">
        <f t="shared" si="25"/>
        <v>0</v>
      </c>
      <c r="AA4" s="5">
        <f t="shared" si="26"/>
        <v>0</v>
      </c>
      <c r="AB4" s="21">
        <f t="shared" si="27"/>
        <v>0</v>
      </c>
      <c r="AC4" s="6">
        <f t="shared" si="28"/>
        <v>0</v>
      </c>
      <c r="AD4" s="5">
        <f t="shared" si="29"/>
        <v>0</v>
      </c>
      <c r="AE4" s="338">
        <f t="shared" si="30"/>
        <v>23</v>
      </c>
      <c r="AF4" s="339">
        <f t="shared" si="31"/>
        <v>0.67185978578383643</v>
      </c>
      <c r="AG4" s="21">
        <f t="shared" si="32"/>
        <v>0.25</v>
      </c>
      <c r="AH4" s="338">
        <f t="shared" si="33"/>
        <v>16</v>
      </c>
      <c r="AI4" s="339">
        <f t="shared" si="34"/>
        <v>0.46738072054527752</v>
      </c>
      <c r="AJ4" s="21">
        <f t="shared" si="35"/>
        <v>0.17391304347826086</v>
      </c>
      <c r="AK4" s="338">
        <f t="shared" si="36"/>
        <v>53</v>
      </c>
      <c r="AL4" s="339">
        <f t="shared" si="37"/>
        <v>2.7407351460221552</v>
      </c>
      <c r="AM4" s="21">
        <f t="shared" si="38"/>
        <v>0.57608695652173914</v>
      </c>
      <c r="AN4" s="21">
        <f t="shared" si="39"/>
        <v>0.46738072054527752</v>
      </c>
      <c r="AO4" s="6">
        <f t="shared" si="40"/>
        <v>16</v>
      </c>
      <c r="AP4" s="5">
        <f t="shared" si="41"/>
        <v>0.46738072054527752</v>
      </c>
      <c r="AQ4" s="6">
        <f t="shared" si="42"/>
        <v>92</v>
      </c>
      <c r="AR4" s="5">
        <f t="shared" si="43"/>
        <v>2.6874391431353457</v>
      </c>
      <c r="AS4" s="2">
        <f t="shared" si="44"/>
        <v>119</v>
      </c>
      <c r="AT4" s="5">
        <f t="shared" si="45"/>
        <v>3.4761441090555012</v>
      </c>
      <c r="AU4" s="426">
        <f t="shared" si="46"/>
        <v>0.9</v>
      </c>
      <c r="AV4" s="21">
        <f t="shared" si="47"/>
        <v>0.77310924369747902</v>
      </c>
      <c r="AW4" s="20">
        <f t="shared" si="48"/>
        <v>0.75</v>
      </c>
      <c r="AX4" s="20">
        <f t="shared" si="49"/>
        <v>0.22689075630252103</v>
      </c>
      <c r="AY4" s="21">
        <f t="shared" si="50"/>
        <v>0.126890756302521</v>
      </c>
      <c r="AZ4" s="424">
        <f t="shared" si="51"/>
        <v>20.182053210746478</v>
      </c>
      <c r="BA4" s="424">
        <f t="shared" si="52"/>
        <v>1.1302521008403361</v>
      </c>
      <c r="BB4" s="24">
        <f t="shared" si="53"/>
        <v>114.11111111111111</v>
      </c>
      <c r="BC4" s="5">
        <f t="shared" si="54"/>
        <v>4.4074074074074074</v>
      </c>
      <c r="BD4" s="5">
        <f t="shared" si="55"/>
        <v>3.5555555555555554</v>
      </c>
      <c r="BE4" s="5">
        <f t="shared" si="56"/>
        <v>13.56</v>
      </c>
      <c r="BF4" s="5">
        <f t="shared" si="57"/>
        <v>0.3961051606621227</v>
      </c>
      <c r="BG4" s="5">
        <f t="shared" si="58"/>
        <v>11.190000000000001</v>
      </c>
      <c r="BH4" s="5">
        <f t="shared" si="59"/>
        <v>0.32687439143135349</v>
      </c>
      <c r="BI4" s="5">
        <f t="shared" si="60"/>
        <v>5.53</v>
      </c>
      <c r="BJ4" s="5">
        <f t="shared" si="61"/>
        <v>0.16153846153846155</v>
      </c>
      <c r="BK4" s="5">
        <f t="shared" si="62"/>
        <v>2.37</v>
      </c>
      <c r="BL4" s="5">
        <f t="shared" si="63"/>
        <v>6.9230769230769235E-2</v>
      </c>
      <c r="BM4" s="5">
        <f t="shared" si="64"/>
        <v>-3.16</v>
      </c>
      <c r="BN4" s="185">
        <f t="shared" si="65"/>
        <v>0.84750000000000003</v>
      </c>
      <c r="BO4" s="21">
        <f t="shared" si="66"/>
        <v>0.33431952662721892</v>
      </c>
      <c r="BP4" s="6">
        <f t="shared" si="67"/>
        <v>7</v>
      </c>
      <c r="BQ4" s="5">
        <f t="shared" si="68"/>
        <v>0.20447906523855891</v>
      </c>
      <c r="BR4" s="6">
        <f t="shared" si="69"/>
        <v>3</v>
      </c>
      <c r="BS4" s="5">
        <f t="shared" si="70"/>
        <v>8.7633885102239531E-2</v>
      </c>
      <c r="BT4" s="20">
        <f t="shared" si="71"/>
        <v>0.42857142857142855</v>
      </c>
      <c r="BU4" s="20">
        <f t="shared" si="72"/>
        <v>6.4903846153846159E-2</v>
      </c>
      <c r="BV4" s="6">
        <f t="shared" si="73"/>
        <v>27</v>
      </c>
      <c r="BW4" s="5">
        <f t="shared" si="74"/>
        <v>0.78870496592015582</v>
      </c>
      <c r="BX4" s="286">
        <f t="shared" si="75"/>
        <v>2</v>
      </c>
      <c r="BY4" s="287">
        <f t="shared" si="76"/>
        <v>5.842259006815969E-2</v>
      </c>
      <c r="BZ4" s="6">
        <f t="shared" si="77"/>
        <v>133.51</v>
      </c>
      <c r="CA4" s="5">
        <f t="shared" si="78"/>
        <v>3.9</v>
      </c>
      <c r="CB4" s="6">
        <f t="shared" si="79"/>
        <v>215.67</v>
      </c>
      <c r="CC4" s="5">
        <f t="shared" si="80"/>
        <v>6.3</v>
      </c>
      <c r="CD4" s="167">
        <f t="shared" si="81"/>
        <v>9</v>
      </c>
      <c r="CE4" s="142">
        <f t="shared" si="82"/>
        <v>0.26290165530671861</v>
      </c>
      <c r="CF4" s="167">
        <f t="shared" si="83"/>
        <v>3</v>
      </c>
      <c r="CG4" s="166">
        <f t="shared" si="84"/>
        <v>8.7633885102239531E-2</v>
      </c>
      <c r="CH4" s="167">
        <f t="shared" si="85"/>
        <v>4</v>
      </c>
      <c r="CI4" s="142">
        <f t="shared" si="86"/>
        <v>0.11684518013631938</v>
      </c>
      <c r="CJ4" s="168">
        <f t="shared" si="87"/>
        <v>0.33333333333333331</v>
      </c>
      <c r="CK4" s="2">
        <f t="shared" si="88"/>
        <v>0</v>
      </c>
      <c r="CL4" s="2">
        <f t="shared" si="89"/>
        <v>0</v>
      </c>
      <c r="CM4" s="2">
        <f t="shared" si="90"/>
        <v>0</v>
      </c>
      <c r="CN4" s="2">
        <f t="shared" si="91"/>
        <v>10</v>
      </c>
      <c r="CO4" s="6">
        <f t="shared" si="92"/>
        <v>0</v>
      </c>
      <c r="CP4" s="6">
        <f t="shared" si="93"/>
        <v>997.37900000000002</v>
      </c>
      <c r="CQ4" s="6">
        <f t="shared" si="94"/>
        <v>760</v>
      </c>
      <c r="CR4" s="20">
        <f t="shared" si="95"/>
        <v>0.7619971946471702</v>
      </c>
      <c r="CS4" s="121">
        <f t="shared" si="96"/>
        <v>1785</v>
      </c>
      <c r="CT4" s="5">
        <f t="shared" si="97"/>
        <v>6.9</v>
      </c>
      <c r="CU4" s="268"/>
      <c r="CV4" s="264" t="s">
        <v>708</v>
      </c>
      <c r="CW4" s="264" t="s">
        <v>1024</v>
      </c>
      <c r="CX4" s="264">
        <v>28</v>
      </c>
      <c r="CY4" s="264" t="s">
        <v>1025</v>
      </c>
      <c r="CZ4" s="264" t="s">
        <v>1026</v>
      </c>
      <c r="DA4" s="264" t="s">
        <v>573</v>
      </c>
      <c r="DB4" s="264" t="s">
        <v>1027</v>
      </c>
      <c r="DC4" s="264" t="s">
        <v>744</v>
      </c>
      <c r="DD4" s="265">
        <v>47483</v>
      </c>
      <c r="DE4" s="264">
        <v>6</v>
      </c>
      <c r="DF4" s="264">
        <v>3081</v>
      </c>
      <c r="DG4" s="264">
        <v>27</v>
      </c>
      <c r="DH4" s="264">
        <v>23</v>
      </c>
      <c r="DI4" s="264">
        <v>16</v>
      </c>
      <c r="DJ4" s="264">
        <v>53</v>
      </c>
      <c r="DK4" s="264">
        <v>0</v>
      </c>
      <c r="DL4" s="264">
        <v>3.9</v>
      </c>
      <c r="DM4" s="264">
        <v>6.3</v>
      </c>
      <c r="DN4" s="264">
        <v>16</v>
      </c>
      <c r="DO4" s="264">
        <v>0</v>
      </c>
      <c r="DP4" s="264">
        <v>0</v>
      </c>
      <c r="DQ4" s="264">
        <v>0</v>
      </c>
      <c r="DR4" s="264">
        <v>10</v>
      </c>
      <c r="DS4" s="264">
        <v>0</v>
      </c>
      <c r="DT4" s="264">
        <v>0</v>
      </c>
      <c r="DU4" s="264">
        <v>819</v>
      </c>
      <c r="DV4" s="264">
        <v>662</v>
      </c>
      <c r="DW4" s="264">
        <v>90</v>
      </c>
      <c r="DX4" s="264" t="s">
        <v>1034</v>
      </c>
      <c r="DY4" s="264">
        <v>0</v>
      </c>
      <c r="DZ4" s="264">
        <v>2</v>
      </c>
      <c r="EA4" s="264">
        <v>7</v>
      </c>
      <c r="EB4" s="264">
        <v>3</v>
      </c>
      <c r="EC4" s="264">
        <v>0</v>
      </c>
      <c r="ED4" s="264">
        <v>7</v>
      </c>
      <c r="EE4" s="264">
        <v>3</v>
      </c>
      <c r="EF4" s="269">
        <v>6.9</v>
      </c>
    </row>
    <row r="5" spans="1:136" ht="24.95" customHeight="1" thickBot="1" x14ac:dyDescent="0.3">
      <c r="A5" s="29" t="str">
        <f t="shared" si="0"/>
        <v>4º</v>
      </c>
      <c r="B5" s="67" t="str">
        <f t="shared" si="1"/>
        <v>Italo Espinoza</v>
      </c>
      <c r="C5" s="251" t="str">
        <f t="shared" si="2"/>
        <v>PER</v>
      </c>
      <c r="D5" s="28" t="str">
        <f t="shared" si="3"/>
        <v>Amazonas</v>
      </c>
      <c r="E5" s="91" t="str">
        <f t="shared" si="4"/>
        <v>Somente Pé Direito</v>
      </c>
      <c r="F5" s="156">
        <f t="shared" si="5"/>
        <v>31</v>
      </c>
      <c r="G5" s="2" t="str">
        <f t="shared" si="6"/>
        <v>€150m - €475m</v>
      </c>
      <c r="H5" s="142">
        <f t="shared" si="7"/>
        <v>1.86</v>
      </c>
      <c r="I5" s="62">
        <f t="shared" si="8"/>
        <v>47118</v>
      </c>
      <c r="J5" s="272" t="str">
        <f t="shared" si="9"/>
        <v>€18,75m p/m</v>
      </c>
      <c r="K5" s="89">
        <f t="shared" si="10"/>
        <v>43.826666666666668</v>
      </c>
      <c r="L5" s="134">
        <f t="shared" si="11"/>
        <v>41.966666666666669</v>
      </c>
      <c r="M5" s="6">
        <f t="shared" si="12"/>
        <v>0</v>
      </c>
      <c r="N5" s="5">
        <f t="shared" si="13"/>
        <v>5400</v>
      </c>
      <c r="O5" s="21">
        <f t="shared" si="14"/>
        <v>0</v>
      </c>
      <c r="P5" s="2">
        <f t="shared" si="15"/>
        <v>961</v>
      </c>
      <c r="Q5" s="2">
        <f t="shared" si="16"/>
        <v>806</v>
      </c>
      <c r="R5" s="5">
        <f t="shared" si="17"/>
        <v>19.205718824463858</v>
      </c>
      <c r="S5" s="2">
        <f t="shared" si="18"/>
        <v>155</v>
      </c>
      <c r="T5" s="5">
        <f t="shared" si="19"/>
        <v>3.6934074662430501</v>
      </c>
      <c r="U5" s="94">
        <f t="shared" si="20"/>
        <v>0.16129032258064516</v>
      </c>
      <c r="V5" s="94">
        <f t="shared" si="21"/>
        <v>0.83870967741935487</v>
      </c>
      <c r="W5" s="2">
        <f t="shared" si="22"/>
        <v>651</v>
      </c>
      <c r="X5" s="6">
        <f t="shared" si="23"/>
        <v>949</v>
      </c>
      <c r="Y5" s="5">
        <f t="shared" si="24"/>
        <v>22.6131850675139</v>
      </c>
      <c r="Z5" s="6">
        <f t="shared" si="25"/>
        <v>12</v>
      </c>
      <c r="AA5" s="5">
        <f t="shared" si="26"/>
        <v>0.2859412231930103</v>
      </c>
      <c r="AB5" s="21">
        <f t="shared" si="27"/>
        <v>1.2644889357218124E-2</v>
      </c>
      <c r="AC5" s="6">
        <f t="shared" si="28"/>
        <v>0</v>
      </c>
      <c r="AD5" s="5">
        <f t="shared" si="29"/>
        <v>0</v>
      </c>
      <c r="AE5" s="338">
        <f t="shared" si="30"/>
        <v>73</v>
      </c>
      <c r="AF5" s="339">
        <f t="shared" si="31"/>
        <v>1.739475774424146</v>
      </c>
      <c r="AG5" s="21">
        <f t="shared" si="32"/>
        <v>0.4101123595505618</v>
      </c>
      <c r="AH5" s="338">
        <f t="shared" si="33"/>
        <v>20</v>
      </c>
      <c r="AI5" s="339">
        <f t="shared" si="34"/>
        <v>0.47656870532168383</v>
      </c>
      <c r="AJ5" s="21">
        <f t="shared" si="35"/>
        <v>0.11235955056179775</v>
      </c>
      <c r="AK5" s="338">
        <f t="shared" si="36"/>
        <v>85</v>
      </c>
      <c r="AL5" s="339">
        <f t="shared" si="37"/>
        <v>4.4257650951199343</v>
      </c>
      <c r="AM5" s="21">
        <f t="shared" si="38"/>
        <v>0.47752808988764045</v>
      </c>
      <c r="AN5" s="21">
        <f t="shared" si="39"/>
        <v>0.40508339952343125</v>
      </c>
      <c r="AO5" s="6">
        <f t="shared" si="40"/>
        <v>17</v>
      </c>
      <c r="AP5" s="5">
        <f t="shared" si="41"/>
        <v>0.40508339952343125</v>
      </c>
      <c r="AQ5" s="6">
        <f t="shared" si="42"/>
        <v>178</v>
      </c>
      <c r="AR5" s="5">
        <f t="shared" si="43"/>
        <v>4.2414614773629866</v>
      </c>
      <c r="AS5" s="2">
        <f t="shared" si="44"/>
        <v>222</v>
      </c>
      <c r="AT5" s="5">
        <f t="shared" si="45"/>
        <v>5.2899126290706908</v>
      </c>
      <c r="AU5" s="426">
        <f t="shared" si="46"/>
        <v>0.88</v>
      </c>
      <c r="AV5" s="21">
        <f t="shared" si="47"/>
        <v>0.80180180180180183</v>
      </c>
      <c r="AW5" s="20">
        <f t="shared" si="48"/>
        <v>0.70469798657718119</v>
      </c>
      <c r="AX5" s="20">
        <f t="shared" si="49"/>
        <v>0.19819819819819817</v>
      </c>
      <c r="AY5" s="21">
        <f t="shared" si="50"/>
        <v>7.8198198198198177E-2</v>
      </c>
      <c r="AZ5" s="424">
        <f t="shared" si="51"/>
        <v>16.945413745597453</v>
      </c>
      <c r="BA5" s="424">
        <f t="shared" si="52"/>
        <v>1.0833333333333333</v>
      </c>
      <c r="BB5" s="24">
        <f t="shared" si="53"/>
        <v>85.840909090909093</v>
      </c>
      <c r="BC5" s="5">
        <f t="shared" si="54"/>
        <v>5.0454545454545459</v>
      </c>
      <c r="BD5" s="5">
        <f t="shared" si="55"/>
        <v>3.3863636363636362</v>
      </c>
      <c r="BE5" s="5">
        <f t="shared" si="56"/>
        <v>8.3699999999999992</v>
      </c>
      <c r="BF5" s="5">
        <f t="shared" si="57"/>
        <v>0.19944400317712468</v>
      </c>
      <c r="BG5" s="5">
        <f t="shared" si="58"/>
        <v>8.3699999999999992</v>
      </c>
      <c r="BH5" s="5">
        <f t="shared" si="59"/>
        <v>0.19944400317712468</v>
      </c>
      <c r="BI5" s="5">
        <f t="shared" si="60"/>
        <v>0.79</v>
      </c>
      <c r="BJ5" s="5">
        <f t="shared" si="61"/>
        <v>1.8824463860206513E-2</v>
      </c>
      <c r="BK5" s="5">
        <f t="shared" si="62"/>
        <v>0</v>
      </c>
      <c r="BL5" s="5">
        <f t="shared" si="63"/>
        <v>0</v>
      </c>
      <c r="BM5" s="5">
        <f t="shared" si="64"/>
        <v>-0.79</v>
      </c>
      <c r="BN5" s="185">
        <f t="shared" si="65"/>
        <v>0.4923529411764706</v>
      </c>
      <c r="BO5" s="21">
        <f t="shared" si="66"/>
        <v>0.15982432690471643</v>
      </c>
      <c r="BP5" s="6">
        <f t="shared" si="67"/>
        <v>1</v>
      </c>
      <c r="BQ5" s="5">
        <f t="shared" si="68"/>
        <v>2.3828435266084191E-2</v>
      </c>
      <c r="BR5" s="6">
        <f t="shared" si="69"/>
        <v>0</v>
      </c>
      <c r="BS5" s="5">
        <f t="shared" si="70"/>
        <v>0</v>
      </c>
      <c r="BT5" s="20">
        <f t="shared" si="71"/>
        <v>0</v>
      </c>
      <c r="BU5" s="20">
        <f t="shared" si="72"/>
        <v>0.10576923076923077</v>
      </c>
      <c r="BV5" s="6">
        <f t="shared" si="73"/>
        <v>44</v>
      </c>
      <c r="BW5" s="5">
        <f t="shared" si="74"/>
        <v>1.0484511517077044</v>
      </c>
      <c r="BX5" s="286">
        <f t="shared" si="75"/>
        <v>1</v>
      </c>
      <c r="BY5" s="287">
        <f t="shared" si="76"/>
        <v>2.3828435266084191E-2</v>
      </c>
      <c r="BZ5" s="6">
        <f t="shared" si="77"/>
        <v>306.35666666666668</v>
      </c>
      <c r="CA5" s="5">
        <f t="shared" si="78"/>
        <v>7.3</v>
      </c>
      <c r="CB5" s="6">
        <f t="shared" si="79"/>
        <v>193.04666666666665</v>
      </c>
      <c r="CC5" s="5">
        <f t="shared" si="80"/>
        <v>4.5999999999999996</v>
      </c>
      <c r="CD5" s="167">
        <f t="shared" si="81"/>
        <v>2</v>
      </c>
      <c r="CE5" s="142">
        <f t="shared" si="82"/>
        <v>4.7656870532168383E-2</v>
      </c>
      <c r="CF5" s="167">
        <f t="shared" si="83"/>
        <v>0</v>
      </c>
      <c r="CG5" s="166">
        <f t="shared" si="84"/>
        <v>0</v>
      </c>
      <c r="CH5" s="167">
        <f t="shared" si="85"/>
        <v>1</v>
      </c>
      <c r="CI5" s="142">
        <f t="shared" si="86"/>
        <v>2.3828435266084191E-2</v>
      </c>
      <c r="CJ5" s="168">
        <f t="shared" si="87"/>
        <v>0</v>
      </c>
      <c r="CK5" s="2">
        <f t="shared" si="88"/>
        <v>0</v>
      </c>
      <c r="CL5" s="2">
        <f t="shared" si="89"/>
        <v>0</v>
      </c>
      <c r="CM5" s="2">
        <f t="shared" si="90"/>
        <v>0</v>
      </c>
      <c r="CN5" s="2">
        <f t="shared" si="91"/>
        <v>2</v>
      </c>
      <c r="CO5" s="6">
        <f t="shared" si="92"/>
        <v>0</v>
      </c>
      <c r="CP5" s="6">
        <f t="shared" si="93"/>
        <v>1227.6179999999999</v>
      </c>
      <c r="CQ5" s="6">
        <f t="shared" si="94"/>
        <v>984</v>
      </c>
      <c r="CR5" s="20">
        <f t="shared" si="95"/>
        <v>0.80155227440457866</v>
      </c>
      <c r="CS5" s="121">
        <f t="shared" si="96"/>
        <v>1785</v>
      </c>
      <c r="CT5" s="5">
        <f t="shared" si="97"/>
        <v>6.9</v>
      </c>
      <c r="CU5" s="268" t="s">
        <v>19</v>
      </c>
      <c r="CV5" s="264" t="s">
        <v>1007</v>
      </c>
      <c r="CW5" s="264" t="s">
        <v>1008</v>
      </c>
      <c r="CX5" s="264">
        <v>31</v>
      </c>
      <c r="CY5" s="264" t="s">
        <v>1009</v>
      </c>
      <c r="CZ5" s="264" t="s">
        <v>1010</v>
      </c>
      <c r="DA5" s="264" t="s">
        <v>574</v>
      </c>
      <c r="DB5" s="264" t="s">
        <v>1011</v>
      </c>
      <c r="DC5" s="264" t="s">
        <v>541</v>
      </c>
      <c r="DD5" s="265">
        <v>47118</v>
      </c>
      <c r="DE5" s="264">
        <v>0</v>
      </c>
      <c r="DF5" s="264">
        <v>3777</v>
      </c>
      <c r="DG5" s="264">
        <v>44</v>
      </c>
      <c r="DH5" s="264">
        <v>73</v>
      </c>
      <c r="DI5" s="264">
        <v>20</v>
      </c>
      <c r="DJ5" s="264">
        <v>85</v>
      </c>
      <c r="DK5" s="264">
        <v>0</v>
      </c>
      <c r="DL5" s="264">
        <v>7.3</v>
      </c>
      <c r="DM5" s="264">
        <v>4.5999999999999996</v>
      </c>
      <c r="DN5" s="264">
        <v>17</v>
      </c>
      <c r="DO5" s="264">
        <v>0</v>
      </c>
      <c r="DP5" s="264">
        <v>0</v>
      </c>
      <c r="DQ5" s="264">
        <v>0</v>
      </c>
      <c r="DR5" s="264">
        <v>2</v>
      </c>
      <c r="DS5" s="264">
        <v>12</v>
      </c>
      <c r="DT5" s="264">
        <v>0</v>
      </c>
      <c r="DU5" s="264">
        <v>961</v>
      </c>
      <c r="DV5" s="264">
        <v>806</v>
      </c>
      <c r="DW5" s="264">
        <v>88</v>
      </c>
      <c r="DX5" s="264" t="s">
        <v>1041</v>
      </c>
      <c r="DY5" s="264">
        <v>0</v>
      </c>
      <c r="DZ5" s="264">
        <v>1</v>
      </c>
      <c r="EA5" s="264">
        <v>1</v>
      </c>
      <c r="EB5" s="264">
        <v>0</v>
      </c>
      <c r="EC5" s="264">
        <v>0</v>
      </c>
      <c r="ED5" s="264">
        <v>1</v>
      </c>
      <c r="EE5" s="264">
        <v>0</v>
      </c>
      <c r="EF5" s="269">
        <v>6.9</v>
      </c>
    </row>
    <row r="6" spans="1:136" ht="24.95" customHeight="1" thickBot="1" x14ac:dyDescent="0.3">
      <c r="A6" s="29" t="str">
        <f t="shared" si="0"/>
        <v>5º</v>
      </c>
      <c r="B6" s="67" t="str">
        <f t="shared" si="1"/>
        <v>Javier Bustillos</v>
      </c>
      <c r="C6" s="251" t="str">
        <f t="shared" si="2"/>
        <v>ARG</v>
      </c>
      <c r="D6" s="28" t="str">
        <f t="shared" si="3"/>
        <v>Náutico</v>
      </c>
      <c r="E6" s="91" t="str">
        <f t="shared" si="4"/>
        <v>Pé Direito</v>
      </c>
      <c r="F6" s="156">
        <f t="shared" si="5"/>
        <v>30</v>
      </c>
      <c r="G6" s="2" t="str">
        <f t="shared" si="6"/>
        <v>€100m</v>
      </c>
      <c r="H6" s="142">
        <f t="shared" si="7"/>
        <v>1.87</v>
      </c>
      <c r="I6" s="62">
        <f t="shared" si="8"/>
        <v>47118</v>
      </c>
      <c r="J6" s="272" t="str">
        <f t="shared" si="9"/>
        <v>€8,25m p/m</v>
      </c>
      <c r="K6" s="89">
        <f t="shared" si="10"/>
        <v>43.826666666666668</v>
      </c>
      <c r="L6" s="134">
        <f t="shared" si="11"/>
        <v>43.56666666666667</v>
      </c>
      <c r="M6" s="6">
        <f t="shared" si="12"/>
        <v>7</v>
      </c>
      <c r="N6" s="5">
        <f t="shared" si="13"/>
        <v>560.14285714285711</v>
      </c>
      <c r="O6" s="21">
        <f t="shared" si="14"/>
        <v>0.16067329762815608</v>
      </c>
      <c r="P6" s="2">
        <f t="shared" si="15"/>
        <v>993</v>
      </c>
      <c r="Q6" s="2">
        <f t="shared" si="16"/>
        <v>804</v>
      </c>
      <c r="R6" s="5">
        <f t="shared" si="17"/>
        <v>18.454475899005356</v>
      </c>
      <c r="S6" s="2">
        <f t="shared" si="18"/>
        <v>189</v>
      </c>
      <c r="T6" s="5">
        <f t="shared" si="19"/>
        <v>4.3381790359602137</v>
      </c>
      <c r="U6" s="94">
        <f t="shared" si="20"/>
        <v>0.19033232628398791</v>
      </c>
      <c r="V6" s="94">
        <f t="shared" si="21"/>
        <v>0.80966767371601212</v>
      </c>
      <c r="W6" s="2">
        <f t="shared" si="22"/>
        <v>615</v>
      </c>
      <c r="X6" s="6">
        <f t="shared" si="23"/>
        <v>992</v>
      </c>
      <c r="Y6" s="5">
        <f t="shared" si="24"/>
        <v>22.769701606732976</v>
      </c>
      <c r="Z6" s="6">
        <f t="shared" si="25"/>
        <v>1</v>
      </c>
      <c r="AA6" s="5">
        <f t="shared" si="26"/>
        <v>2.2953328232593724E-2</v>
      </c>
      <c r="AB6" s="21">
        <f t="shared" si="27"/>
        <v>1.0080645161290322E-3</v>
      </c>
      <c r="AC6" s="6">
        <f t="shared" si="28"/>
        <v>0</v>
      </c>
      <c r="AD6" s="5">
        <f t="shared" si="29"/>
        <v>0</v>
      </c>
      <c r="AE6" s="338">
        <f t="shared" si="30"/>
        <v>38</v>
      </c>
      <c r="AF6" s="339">
        <f t="shared" si="31"/>
        <v>0.87222647283856147</v>
      </c>
      <c r="AG6" s="21">
        <f t="shared" si="32"/>
        <v>0.296875</v>
      </c>
      <c r="AH6" s="338">
        <f t="shared" si="33"/>
        <v>26</v>
      </c>
      <c r="AI6" s="339">
        <f t="shared" si="34"/>
        <v>0.59678653404743687</v>
      </c>
      <c r="AJ6" s="21">
        <f t="shared" si="35"/>
        <v>0.203125</v>
      </c>
      <c r="AK6" s="338">
        <f t="shared" si="36"/>
        <v>64</v>
      </c>
      <c r="AL6" s="339">
        <f t="shared" si="37"/>
        <v>3.4679933665008291</v>
      </c>
      <c r="AM6" s="21">
        <f t="shared" si="38"/>
        <v>0.5</v>
      </c>
      <c r="AN6" s="21">
        <f t="shared" si="39"/>
        <v>0.43611323641928074</v>
      </c>
      <c r="AO6" s="6">
        <f t="shared" si="40"/>
        <v>19</v>
      </c>
      <c r="AP6" s="5">
        <f t="shared" si="41"/>
        <v>0.43611323641928074</v>
      </c>
      <c r="AQ6" s="6">
        <f t="shared" si="42"/>
        <v>128</v>
      </c>
      <c r="AR6" s="5">
        <f t="shared" si="43"/>
        <v>2.9380260137719967</v>
      </c>
      <c r="AS6" s="2">
        <f t="shared" si="44"/>
        <v>168</v>
      </c>
      <c r="AT6" s="5">
        <f t="shared" si="45"/>
        <v>3.8561591430757458</v>
      </c>
      <c r="AU6" s="426">
        <f t="shared" si="46"/>
        <v>0.9</v>
      </c>
      <c r="AV6" s="21">
        <f t="shared" si="47"/>
        <v>0.76190476190476186</v>
      </c>
      <c r="AW6" s="20">
        <f t="shared" si="48"/>
        <v>0.69230769230769229</v>
      </c>
      <c r="AX6" s="20">
        <f t="shared" si="49"/>
        <v>0.23809523809523811</v>
      </c>
      <c r="AY6" s="21">
        <f t="shared" si="50"/>
        <v>0.13809523809523816</v>
      </c>
      <c r="AZ6" s="424">
        <f t="shared" si="51"/>
        <v>17.121749695920613</v>
      </c>
      <c r="BA6" s="424">
        <f t="shared" si="52"/>
        <v>1.1071428571428572</v>
      </c>
      <c r="BB6" s="24">
        <f t="shared" si="53"/>
        <v>98.025000000000006</v>
      </c>
      <c r="BC6" s="5">
        <f t="shared" si="54"/>
        <v>4.2</v>
      </c>
      <c r="BD6" s="5">
        <f t="shared" si="55"/>
        <v>3.25</v>
      </c>
      <c r="BE6" s="5">
        <f t="shared" si="56"/>
        <v>9.26</v>
      </c>
      <c r="BF6" s="5">
        <f t="shared" si="57"/>
        <v>0.21254781943381787</v>
      </c>
      <c r="BG6" s="5">
        <f t="shared" si="58"/>
        <v>9.26</v>
      </c>
      <c r="BH6" s="5">
        <f t="shared" si="59"/>
        <v>0.21254781943381787</v>
      </c>
      <c r="BI6" s="5">
        <f t="shared" si="60"/>
        <v>1.58</v>
      </c>
      <c r="BJ6" s="5">
        <f t="shared" si="61"/>
        <v>3.6266258607498089E-2</v>
      </c>
      <c r="BK6" s="5">
        <f t="shared" si="62"/>
        <v>0</v>
      </c>
      <c r="BL6" s="5">
        <f t="shared" si="63"/>
        <v>0</v>
      </c>
      <c r="BM6" s="5">
        <f t="shared" si="64"/>
        <v>-1.58</v>
      </c>
      <c r="BN6" s="185">
        <f t="shared" si="65"/>
        <v>0.48736842105263156</v>
      </c>
      <c r="BO6" s="21">
        <f t="shared" si="66"/>
        <v>0.18798213560698335</v>
      </c>
      <c r="BP6" s="6">
        <f t="shared" si="67"/>
        <v>2</v>
      </c>
      <c r="BQ6" s="5">
        <f t="shared" si="68"/>
        <v>4.5906656465187448E-2</v>
      </c>
      <c r="BR6" s="6">
        <f t="shared" si="69"/>
        <v>0</v>
      </c>
      <c r="BS6" s="5">
        <f t="shared" si="70"/>
        <v>0</v>
      </c>
      <c r="BT6" s="20">
        <f t="shared" si="71"/>
        <v>0</v>
      </c>
      <c r="BU6" s="20">
        <f t="shared" si="72"/>
        <v>9.6153846153846159E-2</v>
      </c>
      <c r="BV6" s="6">
        <f t="shared" si="73"/>
        <v>40</v>
      </c>
      <c r="BW6" s="5">
        <f t="shared" si="74"/>
        <v>0.91813312930374902</v>
      </c>
      <c r="BX6" s="286">
        <f t="shared" si="75"/>
        <v>0</v>
      </c>
      <c r="BY6" s="287">
        <f t="shared" si="76"/>
        <v>0</v>
      </c>
      <c r="BZ6" s="6">
        <f t="shared" si="77"/>
        <v>135.05666666666667</v>
      </c>
      <c r="CA6" s="5">
        <f t="shared" si="78"/>
        <v>3.1</v>
      </c>
      <c r="CB6" s="6">
        <f t="shared" si="79"/>
        <v>283.18333333333334</v>
      </c>
      <c r="CC6" s="5">
        <f t="shared" si="80"/>
        <v>6.5</v>
      </c>
      <c r="CD6" s="167">
        <f t="shared" si="81"/>
        <v>2</v>
      </c>
      <c r="CE6" s="142">
        <f t="shared" si="82"/>
        <v>4.5906656465187448E-2</v>
      </c>
      <c r="CF6" s="167">
        <f t="shared" si="83"/>
        <v>0</v>
      </c>
      <c r="CG6" s="166">
        <f t="shared" si="84"/>
        <v>0</v>
      </c>
      <c r="CH6" s="167">
        <f t="shared" si="85"/>
        <v>2</v>
      </c>
      <c r="CI6" s="142">
        <f t="shared" si="86"/>
        <v>4.5906656465187448E-2</v>
      </c>
      <c r="CJ6" s="168">
        <f t="shared" si="87"/>
        <v>0</v>
      </c>
      <c r="CK6" s="2">
        <f t="shared" si="88"/>
        <v>0</v>
      </c>
      <c r="CL6" s="2">
        <f t="shared" si="89"/>
        <v>0</v>
      </c>
      <c r="CM6" s="2">
        <f t="shared" si="90"/>
        <v>0</v>
      </c>
      <c r="CN6" s="2">
        <f t="shared" si="91"/>
        <v>6</v>
      </c>
      <c r="CO6" s="6">
        <f t="shared" si="92"/>
        <v>0</v>
      </c>
      <c r="CP6" s="6">
        <f t="shared" si="93"/>
        <v>1211.645</v>
      </c>
      <c r="CQ6" s="6">
        <f t="shared" si="94"/>
        <v>932</v>
      </c>
      <c r="CR6" s="20">
        <f t="shared" si="95"/>
        <v>0.76920220031444853</v>
      </c>
      <c r="CS6" s="121">
        <f t="shared" si="96"/>
        <v>1785</v>
      </c>
      <c r="CT6" s="5">
        <f t="shared" si="97"/>
        <v>6.96</v>
      </c>
      <c r="CU6" s="268" t="s">
        <v>800</v>
      </c>
      <c r="CV6" s="264" t="s">
        <v>708</v>
      </c>
      <c r="CW6" s="264" t="s">
        <v>1004</v>
      </c>
      <c r="CX6" s="264">
        <v>30</v>
      </c>
      <c r="CY6" s="264" t="s">
        <v>1005</v>
      </c>
      <c r="CZ6" s="264" t="s">
        <v>1006</v>
      </c>
      <c r="DA6" s="264" t="s">
        <v>573</v>
      </c>
      <c r="DB6" s="264" t="s">
        <v>926</v>
      </c>
      <c r="DC6" s="264" t="s">
        <v>713</v>
      </c>
      <c r="DD6" s="265">
        <v>47118</v>
      </c>
      <c r="DE6" s="264">
        <v>7</v>
      </c>
      <c r="DF6" s="264">
        <v>3921</v>
      </c>
      <c r="DG6" s="264">
        <v>40</v>
      </c>
      <c r="DH6" s="264">
        <v>38</v>
      </c>
      <c r="DI6" s="264">
        <v>26</v>
      </c>
      <c r="DJ6" s="264">
        <v>64</v>
      </c>
      <c r="DK6" s="264">
        <v>0</v>
      </c>
      <c r="DL6" s="264">
        <v>3.1</v>
      </c>
      <c r="DM6" s="264">
        <v>6.5</v>
      </c>
      <c r="DN6" s="264">
        <v>19</v>
      </c>
      <c r="DO6" s="264">
        <v>0</v>
      </c>
      <c r="DP6" s="264">
        <v>0</v>
      </c>
      <c r="DQ6" s="264">
        <v>0</v>
      </c>
      <c r="DR6" s="264">
        <v>6</v>
      </c>
      <c r="DS6" s="264">
        <v>1</v>
      </c>
      <c r="DT6" s="264">
        <v>0</v>
      </c>
      <c r="DU6" s="264">
        <v>993</v>
      </c>
      <c r="DV6" s="264">
        <v>804</v>
      </c>
      <c r="DW6" s="264">
        <v>90</v>
      </c>
      <c r="DX6" s="264" t="s">
        <v>1040</v>
      </c>
      <c r="DY6" s="264">
        <v>0</v>
      </c>
      <c r="DZ6" s="264">
        <v>0</v>
      </c>
      <c r="EA6" s="264">
        <v>2</v>
      </c>
      <c r="EB6" s="264">
        <v>0</v>
      </c>
      <c r="EC6" s="264">
        <v>0</v>
      </c>
      <c r="ED6" s="264">
        <v>2</v>
      </c>
      <c r="EE6" s="264">
        <v>0</v>
      </c>
      <c r="EF6" s="269">
        <v>6.96</v>
      </c>
    </row>
    <row r="7" spans="1:136" ht="24.95" customHeight="1" thickBot="1" x14ac:dyDescent="0.3">
      <c r="A7" s="29" t="str">
        <f t="shared" si="0"/>
        <v>6º</v>
      </c>
      <c r="B7" s="67" t="str">
        <f t="shared" si="1"/>
        <v>Jori</v>
      </c>
      <c r="C7" s="251" t="str">
        <f t="shared" si="2"/>
        <v>BRA</v>
      </c>
      <c r="D7" s="28" t="str">
        <f t="shared" si="3"/>
        <v>Juventude</v>
      </c>
      <c r="E7" s="91" t="str">
        <f t="shared" si="4"/>
        <v>Somente Pé Direito</v>
      </c>
      <c r="F7" s="156">
        <f t="shared" si="5"/>
        <v>31</v>
      </c>
      <c r="G7" s="2" t="str">
        <f t="shared" si="6"/>
        <v>€4,5m - €45m</v>
      </c>
      <c r="H7" s="142">
        <f t="shared" si="7"/>
        <v>1.91</v>
      </c>
      <c r="I7" s="62">
        <f t="shared" si="8"/>
        <v>47118</v>
      </c>
      <c r="J7" s="272" t="str">
        <f t="shared" si="9"/>
        <v>€8,5m p/m</v>
      </c>
      <c r="K7" s="89">
        <f t="shared" si="10"/>
        <v>43.826666666666668</v>
      </c>
      <c r="L7" s="134">
        <f t="shared" si="11"/>
        <v>40.288888888888891</v>
      </c>
      <c r="M7" s="6">
        <f t="shared" si="12"/>
        <v>5</v>
      </c>
      <c r="N7" s="5">
        <f t="shared" si="13"/>
        <v>725.2</v>
      </c>
      <c r="O7" s="21">
        <f t="shared" si="14"/>
        <v>0.12410369553226695</v>
      </c>
      <c r="P7" s="2">
        <f t="shared" si="15"/>
        <v>975</v>
      </c>
      <c r="Q7" s="2">
        <f t="shared" si="16"/>
        <v>787</v>
      </c>
      <c r="R7" s="5">
        <f t="shared" si="17"/>
        <v>19.533921676778817</v>
      </c>
      <c r="S7" s="2">
        <f t="shared" si="18"/>
        <v>188</v>
      </c>
      <c r="T7" s="5">
        <f t="shared" si="19"/>
        <v>4.6662989520132374</v>
      </c>
      <c r="U7" s="94">
        <f t="shared" si="20"/>
        <v>0.19282051282051282</v>
      </c>
      <c r="V7" s="94">
        <f t="shared" si="21"/>
        <v>0.80717948717948718</v>
      </c>
      <c r="W7" s="2">
        <f t="shared" si="22"/>
        <v>599</v>
      </c>
      <c r="X7" s="6">
        <f t="shared" si="23"/>
        <v>975</v>
      </c>
      <c r="Y7" s="5">
        <f t="shared" si="24"/>
        <v>24.200220628792056</v>
      </c>
      <c r="Z7" s="6">
        <f t="shared" si="25"/>
        <v>0</v>
      </c>
      <c r="AA7" s="5">
        <f t="shared" si="26"/>
        <v>0</v>
      </c>
      <c r="AB7" s="21">
        <f t="shared" si="27"/>
        <v>0</v>
      </c>
      <c r="AC7" s="6">
        <f t="shared" si="28"/>
        <v>1</v>
      </c>
      <c r="AD7" s="5">
        <f t="shared" si="29"/>
        <v>2.4820739106453389E-2</v>
      </c>
      <c r="AE7" s="338">
        <f t="shared" si="30"/>
        <v>43</v>
      </c>
      <c r="AF7" s="339">
        <f t="shared" si="31"/>
        <v>1.0672917815774958</v>
      </c>
      <c r="AG7" s="21">
        <f t="shared" si="32"/>
        <v>0.30714285714285716</v>
      </c>
      <c r="AH7" s="338">
        <f t="shared" si="33"/>
        <v>18</v>
      </c>
      <c r="AI7" s="339">
        <f t="shared" si="34"/>
        <v>0.44677330391616105</v>
      </c>
      <c r="AJ7" s="21">
        <f t="shared" si="35"/>
        <v>0.12857142857142856</v>
      </c>
      <c r="AK7" s="338">
        <f t="shared" si="36"/>
        <v>79</v>
      </c>
      <c r="AL7" s="339">
        <f t="shared" si="37"/>
        <v>4.0442467880841457</v>
      </c>
      <c r="AM7" s="21">
        <f t="shared" si="38"/>
        <v>0.56428571428571428</v>
      </c>
      <c r="AN7" s="21">
        <f t="shared" si="39"/>
        <v>0.49641478212906781</v>
      </c>
      <c r="AO7" s="6">
        <f t="shared" si="40"/>
        <v>20</v>
      </c>
      <c r="AP7" s="5">
        <f t="shared" si="41"/>
        <v>0.49641478212906781</v>
      </c>
      <c r="AQ7" s="6">
        <f t="shared" si="42"/>
        <v>140</v>
      </c>
      <c r="AR7" s="5">
        <f t="shared" si="43"/>
        <v>3.4749034749034746</v>
      </c>
      <c r="AS7" s="2">
        <f t="shared" si="44"/>
        <v>178</v>
      </c>
      <c r="AT7" s="5">
        <f t="shared" si="45"/>
        <v>4.4180915609487039</v>
      </c>
      <c r="AU7" s="426">
        <f t="shared" si="46"/>
        <v>0.88</v>
      </c>
      <c r="AV7" s="21">
        <f t="shared" si="47"/>
        <v>0.7865168539325843</v>
      </c>
      <c r="AW7" s="20">
        <f t="shared" si="48"/>
        <v>0.72592592592592597</v>
      </c>
      <c r="AX7" s="20">
        <f t="shared" si="49"/>
        <v>0.21348314606741572</v>
      </c>
      <c r="AY7" s="21">
        <f t="shared" si="50"/>
        <v>9.3483146067415701E-2</v>
      </c>
      <c r="AZ7" s="424">
        <f t="shared" si="51"/>
        <v>26.811107399654208</v>
      </c>
      <c r="BA7" s="424">
        <f t="shared" si="52"/>
        <v>1.1095505617977528</v>
      </c>
      <c r="BB7" s="24">
        <f t="shared" si="53"/>
        <v>95.421052631578945</v>
      </c>
      <c r="BC7" s="5">
        <f t="shared" si="54"/>
        <v>4.6842105263157894</v>
      </c>
      <c r="BD7" s="5">
        <f t="shared" si="55"/>
        <v>3.5526315789473686</v>
      </c>
      <c r="BE7" s="5">
        <f t="shared" si="56"/>
        <v>18.440000000000001</v>
      </c>
      <c r="BF7" s="5">
        <f t="shared" si="57"/>
        <v>0.45769442912300057</v>
      </c>
      <c r="BG7" s="5">
        <f t="shared" si="58"/>
        <v>17.650000000000002</v>
      </c>
      <c r="BH7" s="5">
        <f t="shared" si="59"/>
        <v>0.43808604522890238</v>
      </c>
      <c r="BI7" s="5">
        <f t="shared" si="60"/>
        <v>2.37</v>
      </c>
      <c r="BJ7" s="5">
        <f t="shared" si="61"/>
        <v>5.8825151682294539E-2</v>
      </c>
      <c r="BK7" s="5">
        <f t="shared" si="62"/>
        <v>0.79</v>
      </c>
      <c r="BL7" s="5">
        <f t="shared" si="63"/>
        <v>1.9608383894098181E-2</v>
      </c>
      <c r="BM7" s="5">
        <f t="shared" si="64"/>
        <v>-1.58</v>
      </c>
      <c r="BN7" s="185">
        <f t="shared" si="65"/>
        <v>0.92200000000000004</v>
      </c>
      <c r="BO7" s="21">
        <f t="shared" si="66"/>
        <v>0.32671863926293415</v>
      </c>
      <c r="BP7" s="6">
        <f t="shared" si="67"/>
        <v>3</v>
      </c>
      <c r="BQ7" s="5">
        <f t="shared" si="68"/>
        <v>7.4462217319360174E-2</v>
      </c>
      <c r="BR7" s="6">
        <f t="shared" si="69"/>
        <v>1</v>
      </c>
      <c r="BS7" s="5">
        <f t="shared" si="70"/>
        <v>2.4820739106453389E-2</v>
      </c>
      <c r="BT7" s="20">
        <f t="shared" si="71"/>
        <v>0.33333333333333331</v>
      </c>
      <c r="BU7" s="20">
        <f t="shared" si="72"/>
        <v>9.1346153846153841E-2</v>
      </c>
      <c r="BV7" s="6">
        <f t="shared" si="73"/>
        <v>38</v>
      </c>
      <c r="BW7" s="5">
        <f t="shared" si="74"/>
        <v>0.94318808604522886</v>
      </c>
      <c r="BX7" s="286">
        <f t="shared" si="75"/>
        <v>1</v>
      </c>
      <c r="BY7" s="287">
        <f t="shared" si="76"/>
        <v>2.4820739106453389E-2</v>
      </c>
      <c r="BZ7" s="6">
        <f t="shared" si="77"/>
        <v>132.95333333333335</v>
      </c>
      <c r="CA7" s="5">
        <f t="shared" si="78"/>
        <v>3.3</v>
      </c>
      <c r="CB7" s="6">
        <f t="shared" si="79"/>
        <v>253.82000000000002</v>
      </c>
      <c r="CC7" s="5">
        <f t="shared" si="80"/>
        <v>6.3</v>
      </c>
      <c r="CD7" s="167">
        <f t="shared" si="81"/>
        <v>6</v>
      </c>
      <c r="CE7" s="142">
        <f t="shared" si="82"/>
        <v>0.14892443463872035</v>
      </c>
      <c r="CF7" s="167">
        <f t="shared" si="83"/>
        <v>1</v>
      </c>
      <c r="CG7" s="166">
        <f t="shared" si="84"/>
        <v>2.4820739106453389E-2</v>
      </c>
      <c r="CH7" s="167">
        <f t="shared" si="85"/>
        <v>4</v>
      </c>
      <c r="CI7" s="142">
        <f t="shared" si="86"/>
        <v>9.9282956425813557E-2</v>
      </c>
      <c r="CJ7" s="168">
        <f t="shared" si="87"/>
        <v>0.16666666666666666</v>
      </c>
      <c r="CK7" s="2">
        <f t="shared" si="88"/>
        <v>2</v>
      </c>
      <c r="CL7" s="2">
        <f t="shared" si="89"/>
        <v>0</v>
      </c>
      <c r="CM7" s="2">
        <f t="shared" si="90"/>
        <v>2</v>
      </c>
      <c r="CN7" s="2">
        <f t="shared" si="91"/>
        <v>5</v>
      </c>
      <c r="CO7" s="6">
        <f t="shared" si="92"/>
        <v>2</v>
      </c>
      <c r="CP7" s="6">
        <f t="shared" si="93"/>
        <v>1211.8789999999999</v>
      </c>
      <c r="CQ7" s="6">
        <f t="shared" si="94"/>
        <v>929</v>
      </c>
      <c r="CR7" s="20">
        <f t="shared" si="95"/>
        <v>0.76657818148511536</v>
      </c>
      <c r="CS7" s="121">
        <f t="shared" si="96"/>
        <v>1785</v>
      </c>
      <c r="CT7" s="5">
        <f t="shared" si="97"/>
        <v>6.84</v>
      </c>
      <c r="CU7" s="270" t="s">
        <v>19</v>
      </c>
      <c r="CV7" s="266" t="s">
        <v>13</v>
      </c>
      <c r="CW7" s="266" t="s">
        <v>1012</v>
      </c>
      <c r="CX7" s="266">
        <v>31</v>
      </c>
      <c r="CY7" s="266" t="s">
        <v>1013</v>
      </c>
      <c r="CZ7" s="266" t="s">
        <v>1014</v>
      </c>
      <c r="DA7" s="266" t="s">
        <v>574</v>
      </c>
      <c r="DB7" s="266" t="s">
        <v>1015</v>
      </c>
      <c r="DC7" s="266" t="s">
        <v>744</v>
      </c>
      <c r="DD7" s="267">
        <v>47118</v>
      </c>
      <c r="DE7" s="266">
        <v>5</v>
      </c>
      <c r="DF7" s="266">
        <v>3626</v>
      </c>
      <c r="DG7" s="266">
        <v>38</v>
      </c>
      <c r="DH7" s="266">
        <v>43</v>
      </c>
      <c r="DI7" s="266">
        <v>18</v>
      </c>
      <c r="DJ7" s="266">
        <v>79</v>
      </c>
      <c r="DK7" s="266">
        <v>0</v>
      </c>
      <c r="DL7" s="266">
        <v>3.3</v>
      </c>
      <c r="DM7" s="266">
        <v>6.3</v>
      </c>
      <c r="DN7" s="266">
        <v>20</v>
      </c>
      <c r="DO7" s="266">
        <v>2</v>
      </c>
      <c r="DP7" s="266">
        <v>0</v>
      </c>
      <c r="DQ7" s="266">
        <v>2</v>
      </c>
      <c r="DR7" s="266">
        <v>5</v>
      </c>
      <c r="DS7" s="266">
        <v>0</v>
      </c>
      <c r="DT7" s="266">
        <v>1</v>
      </c>
      <c r="DU7" s="266">
        <v>975</v>
      </c>
      <c r="DV7" s="266">
        <v>787</v>
      </c>
      <c r="DW7" s="266">
        <v>88</v>
      </c>
      <c r="DX7" s="266" t="s">
        <v>1039</v>
      </c>
      <c r="DY7" s="266">
        <v>0</v>
      </c>
      <c r="DZ7" s="266">
        <v>1</v>
      </c>
      <c r="EA7" s="266">
        <v>3</v>
      </c>
      <c r="EB7" s="266">
        <v>1</v>
      </c>
      <c r="EC7" s="266">
        <v>0</v>
      </c>
      <c r="ED7" s="266">
        <v>3</v>
      </c>
      <c r="EE7" s="266">
        <v>1</v>
      </c>
      <c r="EF7" s="271">
        <v>6.84</v>
      </c>
    </row>
    <row r="8" spans="1:136" ht="24.95" customHeight="1" thickBot="1" x14ac:dyDescent="0.3">
      <c r="A8" s="29" t="str">
        <f t="shared" si="0"/>
        <v>7º</v>
      </c>
      <c r="B8" s="67" t="str">
        <f t="shared" si="1"/>
        <v>Sergio Román</v>
      </c>
      <c r="C8" s="251" t="str">
        <f t="shared" si="2"/>
        <v>COL</v>
      </c>
      <c r="D8" s="28" t="str">
        <f t="shared" si="3"/>
        <v>Ituano</v>
      </c>
      <c r="E8" s="91" t="str">
        <f t="shared" si="4"/>
        <v>Pé Direito</v>
      </c>
      <c r="F8" s="156">
        <f t="shared" si="5"/>
        <v>32</v>
      </c>
      <c r="G8" s="2" t="str">
        <f t="shared" si="6"/>
        <v>€90m - €900m</v>
      </c>
      <c r="H8" s="142">
        <f t="shared" si="7"/>
        <v>1.84</v>
      </c>
      <c r="I8" s="62">
        <f t="shared" si="8"/>
        <v>47118</v>
      </c>
      <c r="J8" s="272" t="str">
        <f t="shared" si="9"/>
        <v>€19m p/m</v>
      </c>
      <c r="K8" s="89">
        <f t="shared" si="10"/>
        <v>43.826666666666668</v>
      </c>
      <c r="L8" s="134">
        <f t="shared" si="11"/>
        <v>35</v>
      </c>
      <c r="M8" s="6">
        <f t="shared" si="12"/>
        <v>6</v>
      </c>
      <c r="N8" s="5">
        <f t="shared" si="13"/>
        <v>525</v>
      </c>
      <c r="O8" s="21">
        <f t="shared" si="14"/>
        <v>0.17142857142857143</v>
      </c>
      <c r="P8" s="2">
        <f t="shared" si="15"/>
        <v>841</v>
      </c>
      <c r="Q8" s="2">
        <f t="shared" si="16"/>
        <v>676</v>
      </c>
      <c r="R8" s="5">
        <f t="shared" si="17"/>
        <v>19.314285714285713</v>
      </c>
      <c r="S8" s="2">
        <f t="shared" si="18"/>
        <v>165</v>
      </c>
      <c r="T8" s="5">
        <f t="shared" si="19"/>
        <v>4.7142857142857144</v>
      </c>
      <c r="U8" s="94">
        <f t="shared" si="20"/>
        <v>0.1961950059453032</v>
      </c>
      <c r="V8" s="94">
        <f t="shared" si="21"/>
        <v>0.80380499405469674</v>
      </c>
      <c r="W8" s="2">
        <f t="shared" si="22"/>
        <v>511</v>
      </c>
      <c r="X8" s="6">
        <f t="shared" si="23"/>
        <v>841</v>
      </c>
      <c r="Y8" s="5">
        <f t="shared" si="24"/>
        <v>24.028571428571428</v>
      </c>
      <c r="Z8" s="6">
        <f t="shared" si="25"/>
        <v>0</v>
      </c>
      <c r="AA8" s="5">
        <f t="shared" si="26"/>
        <v>0</v>
      </c>
      <c r="AB8" s="21">
        <f t="shared" si="27"/>
        <v>0</v>
      </c>
      <c r="AC8" s="6">
        <f t="shared" si="28"/>
        <v>0</v>
      </c>
      <c r="AD8" s="5">
        <f t="shared" si="29"/>
        <v>0</v>
      </c>
      <c r="AE8" s="338">
        <f t="shared" si="30"/>
        <v>29</v>
      </c>
      <c r="AF8" s="339">
        <f t="shared" si="31"/>
        <v>0.82857142857142863</v>
      </c>
      <c r="AG8" s="21">
        <f t="shared" si="32"/>
        <v>0.25</v>
      </c>
      <c r="AH8" s="338">
        <f t="shared" si="33"/>
        <v>24</v>
      </c>
      <c r="AI8" s="339">
        <f t="shared" si="34"/>
        <v>0.68571428571428572</v>
      </c>
      <c r="AJ8" s="21">
        <f t="shared" si="35"/>
        <v>0.20689655172413793</v>
      </c>
      <c r="AK8" s="338">
        <f t="shared" si="36"/>
        <v>63</v>
      </c>
      <c r="AL8" s="339">
        <f t="shared" si="37"/>
        <v>3.2618343195266273</v>
      </c>
      <c r="AM8" s="21">
        <f t="shared" si="38"/>
        <v>0.5431034482758621</v>
      </c>
      <c r="AN8" s="21">
        <f t="shared" si="39"/>
        <v>0.2857142857142857</v>
      </c>
      <c r="AO8" s="6">
        <f t="shared" si="40"/>
        <v>10</v>
      </c>
      <c r="AP8" s="5">
        <f t="shared" si="41"/>
        <v>0.2857142857142857</v>
      </c>
      <c r="AQ8" s="6">
        <f t="shared" si="42"/>
        <v>116</v>
      </c>
      <c r="AR8" s="5">
        <f t="shared" si="43"/>
        <v>3.3142857142857145</v>
      </c>
      <c r="AS8" s="2">
        <f t="shared" si="44"/>
        <v>148</v>
      </c>
      <c r="AT8" s="5">
        <f t="shared" si="45"/>
        <v>4.2285714285714286</v>
      </c>
      <c r="AU8" s="426">
        <f t="shared" si="46"/>
        <v>0.88</v>
      </c>
      <c r="AV8" s="21">
        <f t="shared" si="47"/>
        <v>0.78378378378378377</v>
      </c>
      <c r="AW8" s="20">
        <f t="shared" si="48"/>
        <v>0.73109243697478987</v>
      </c>
      <c r="AX8" s="20">
        <f t="shared" si="49"/>
        <v>0.2162162162162162</v>
      </c>
      <c r="AY8" s="21">
        <f t="shared" si="50"/>
        <v>9.6216216216216233E-2</v>
      </c>
      <c r="AZ8" s="424">
        <f t="shared" si="51"/>
        <v>18.1869577176776</v>
      </c>
      <c r="BA8" s="424">
        <f t="shared" si="52"/>
        <v>1.1587837837837838</v>
      </c>
      <c r="BB8" s="24">
        <f t="shared" si="53"/>
        <v>98.4375</v>
      </c>
      <c r="BC8" s="5">
        <f t="shared" si="54"/>
        <v>4.625</v>
      </c>
      <c r="BD8" s="5">
        <f t="shared" si="55"/>
        <v>3.71875</v>
      </c>
      <c r="BE8" s="5">
        <f t="shared" si="56"/>
        <v>10.83</v>
      </c>
      <c r="BF8" s="5">
        <f t="shared" si="57"/>
        <v>0.30942857142857144</v>
      </c>
      <c r="BG8" s="5">
        <f t="shared" si="58"/>
        <v>10.83</v>
      </c>
      <c r="BH8" s="5">
        <f t="shared" si="59"/>
        <v>0.30942857142857144</v>
      </c>
      <c r="BI8" s="5">
        <f t="shared" si="60"/>
        <v>0.79</v>
      </c>
      <c r="BJ8" s="5">
        <f t="shared" si="61"/>
        <v>2.2571428571428572E-2</v>
      </c>
      <c r="BK8" s="5">
        <f t="shared" si="62"/>
        <v>0</v>
      </c>
      <c r="BL8" s="5">
        <f t="shared" si="63"/>
        <v>0</v>
      </c>
      <c r="BM8" s="5">
        <f t="shared" si="64"/>
        <v>-0.79</v>
      </c>
      <c r="BN8" s="185">
        <f t="shared" si="65"/>
        <v>1.0830000000000002</v>
      </c>
      <c r="BO8" s="21">
        <f t="shared" si="66"/>
        <v>0.25286014475834695</v>
      </c>
      <c r="BP8" s="6">
        <f t="shared" si="67"/>
        <v>1</v>
      </c>
      <c r="BQ8" s="5">
        <f t="shared" si="68"/>
        <v>2.8571428571428571E-2</v>
      </c>
      <c r="BR8" s="6">
        <f t="shared" si="69"/>
        <v>0</v>
      </c>
      <c r="BS8" s="5">
        <f t="shared" si="70"/>
        <v>0</v>
      </c>
      <c r="BT8" s="20">
        <f t="shared" si="71"/>
        <v>0</v>
      </c>
      <c r="BU8" s="20">
        <f t="shared" si="72"/>
        <v>7.6923076923076927E-2</v>
      </c>
      <c r="BV8" s="6">
        <f t="shared" si="73"/>
        <v>32</v>
      </c>
      <c r="BW8" s="5">
        <f t="shared" si="74"/>
        <v>0.91428571428571426</v>
      </c>
      <c r="BX8" s="286">
        <f t="shared" si="75"/>
        <v>3</v>
      </c>
      <c r="BY8" s="287">
        <f t="shared" si="76"/>
        <v>8.5714285714285715E-2</v>
      </c>
      <c r="BZ8" s="6">
        <f t="shared" si="77"/>
        <v>115.5</v>
      </c>
      <c r="CA8" s="5">
        <f t="shared" si="78"/>
        <v>3.3</v>
      </c>
      <c r="CB8" s="6">
        <f t="shared" si="79"/>
        <v>318.5</v>
      </c>
      <c r="CC8" s="5">
        <f t="shared" si="80"/>
        <v>9.1</v>
      </c>
      <c r="CD8" s="167">
        <f t="shared" si="81"/>
        <v>7</v>
      </c>
      <c r="CE8" s="142">
        <f t="shared" si="82"/>
        <v>0.2</v>
      </c>
      <c r="CF8" s="167">
        <f t="shared" si="83"/>
        <v>0</v>
      </c>
      <c r="CG8" s="166">
        <f t="shared" si="84"/>
        <v>0</v>
      </c>
      <c r="CH8" s="167">
        <f t="shared" si="85"/>
        <v>4</v>
      </c>
      <c r="CI8" s="142">
        <f t="shared" si="86"/>
        <v>0.11428571428571428</v>
      </c>
      <c r="CJ8" s="168">
        <f t="shared" si="87"/>
        <v>0</v>
      </c>
      <c r="CK8" s="2">
        <f t="shared" si="88"/>
        <v>3</v>
      </c>
      <c r="CL8" s="2">
        <f t="shared" si="89"/>
        <v>0</v>
      </c>
      <c r="CM8" s="2">
        <f t="shared" si="90"/>
        <v>3</v>
      </c>
      <c r="CN8" s="2">
        <f t="shared" si="91"/>
        <v>10</v>
      </c>
      <c r="CO8" s="6">
        <f t="shared" si="92"/>
        <v>3</v>
      </c>
      <c r="CP8" s="6">
        <f t="shared" si="93"/>
        <v>1033.6030000000001</v>
      </c>
      <c r="CQ8" s="6">
        <f t="shared" si="94"/>
        <v>792</v>
      </c>
      <c r="CR8" s="20">
        <f t="shared" si="95"/>
        <v>0.76625164594143003</v>
      </c>
      <c r="CS8" s="121">
        <f t="shared" si="96"/>
        <v>1785</v>
      </c>
      <c r="CT8" s="5">
        <f t="shared" si="97"/>
        <v>6.87</v>
      </c>
      <c r="CU8" s="268"/>
      <c r="CV8" s="264" t="s">
        <v>989</v>
      </c>
      <c r="CW8" s="264" t="s">
        <v>1020</v>
      </c>
      <c r="CX8" s="264">
        <v>32</v>
      </c>
      <c r="CY8" s="264" t="s">
        <v>1021</v>
      </c>
      <c r="CZ8" s="264" t="s">
        <v>1022</v>
      </c>
      <c r="DA8" s="264" t="s">
        <v>573</v>
      </c>
      <c r="DB8" s="264" t="s">
        <v>1023</v>
      </c>
      <c r="DC8" s="264" t="s">
        <v>540</v>
      </c>
      <c r="DD8" s="265">
        <v>47118</v>
      </c>
      <c r="DE8" s="264">
        <v>6</v>
      </c>
      <c r="DF8" s="264">
        <v>3150</v>
      </c>
      <c r="DG8" s="264">
        <v>32</v>
      </c>
      <c r="DH8" s="264">
        <v>29</v>
      </c>
      <c r="DI8" s="264">
        <v>24</v>
      </c>
      <c r="DJ8" s="264">
        <v>63</v>
      </c>
      <c r="DK8" s="264">
        <v>0</v>
      </c>
      <c r="DL8" s="264">
        <v>3.3</v>
      </c>
      <c r="DM8" s="264">
        <v>9.1</v>
      </c>
      <c r="DN8" s="264">
        <v>10</v>
      </c>
      <c r="DO8" s="264">
        <v>3</v>
      </c>
      <c r="DP8" s="264">
        <v>0</v>
      </c>
      <c r="DQ8" s="264">
        <v>3</v>
      </c>
      <c r="DR8" s="264">
        <v>10</v>
      </c>
      <c r="DS8" s="264">
        <v>0</v>
      </c>
      <c r="DT8" s="264">
        <v>0</v>
      </c>
      <c r="DU8" s="264">
        <v>841</v>
      </c>
      <c r="DV8" s="264">
        <v>676</v>
      </c>
      <c r="DW8" s="264">
        <v>88</v>
      </c>
      <c r="DX8" s="264" t="s">
        <v>1042</v>
      </c>
      <c r="DY8" s="264">
        <v>0</v>
      </c>
      <c r="DZ8" s="264">
        <v>3</v>
      </c>
      <c r="EA8" s="264">
        <v>1</v>
      </c>
      <c r="EB8" s="264">
        <v>0</v>
      </c>
      <c r="EC8" s="264">
        <v>0</v>
      </c>
      <c r="ED8" s="264">
        <v>1</v>
      </c>
      <c r="EE8" s="264">
        <v>0</v>
      </c>
      <c r="EF8" s="269">
        <v>6.87</v>
      </c>
    </row>
    <row r="9" spans="1:136" ht="24.95" customHeight="1" thickBot="1" x14ac:dyDescent="0.3">
      <c r="A9" s="29" t="str">
        <f t="shared" si="0"/>
        <v>8º</v>
      </c>
      <c r="B9" s="67" t="str">
        <f t="shared" si="1"/>
        <v>Tadeu</v>
      </c>
      <c r="C9" s="251" t="str">
        <f t="shared" si="2"/>
        <v>BRA</v>
      </c>
      <c r="D9" s="28" t="str">
        <f t="shared" si="3"/>
        <v>Goiás</v>
      </c>
      <c r="E9" s="91" t="str">
        <f t="shared" si="4"/>
        <v>Somente Pé Direito</v>
      </c>
      <c r="F9" s="156">
        <f t="shared" si="5"/>
        <v>35</v>
      </c>
      <c r="G9" s="2" t="str">
        <f t="shared" si="6"/>
        <v>€26m - €250m</v>
      </c>
      <c r="H9" s="142">
        <f t="shared" si="7"/>
        <v>1.84</v>
      </c>
      <c r="I9" s="62">
        <f t="shared" si="8"/>
        <v>47118</v>
      </c>
      <c r="J9" s="272" t="str">
        <f t="shared" si="9"/>
        <v>€17,25m p/m</v>
      </c>
      <c r="K9" s="89">
        <f t="shared" si="10"/>
        <v>43.826666666666668</v>
      </c>
      <c r="L9" s="134">
        <f t="shared" si="11"/>
        <v>51.766666666666666</v>
      </c>
      <c r="M9" s="6">
        <f t="shared" si="12"/>
        <v>7</v>
      </c>
      <c r="N9" s="5">
        <f t="shared" si="13"/>
        <v>665.57142857142856</v>
      </c>
      <c r="O9" s="21">
        <f t="shared" si="14"/>
        <v>0.13522215067611076</v>
      </c>
      <c r="P9" s="2">
        <f t="shared" si="15"/>
        <v>1267</v>
      </c>
      <c r="Q9" s="2">
        <f t="shared" si="16"/>
        <v>1031</v>
      </c>
      <c r="R9" s="5">
        <f t="shared" si="17"/>
        <v>19.916291049581456</v>
      </c>
      <c r="S9" s="2">
        <f t="shared" si="18"/>
        <v>236</v>
      </c>
      <c r="T9" s="5">
        <f t="shared" si="19"/>
        <v>4.558918222794591</v>
      </c>
      <c r="U9" s="94">
        <f t="shared" si="20"/>
        <v>0.18626677190213101</v>
      </c>
      <c r="V9" s="94">
        <f t="shared" si="21"/>
        <v>0.81373322809786897</v>
      </c>
      <c r="W9" s="2">
        <f t="shared" si="22"/>
        <v>795</v>
      </c>
      <c r="X9" s="6">
        <f t="shared" si="23"/>
        <v>1267</v>
      </c>
      <c r="Y9" s="5">
        <f t="shared" si="24"/>
        <v>24.475209272376048</v>
      </c>
      <c r="Z9" s="6">
        <f t="shared" si="25"/>
        <v>0</v>
      </c>
      <c r="AA9" s="5">
        <f t="shared" si="26"/>
        <v>0</v>
      </c>
      <c r="AB9" s="21">
        <f t="shared" si="27"/>
        <v>0</v>
      </c>
      <c r="AC9" s="6">
        <f t="shared" si="28"/>
        <v>0</v>
      </c>
      <c r="AD9" s="5">
        <f t="shared" si="29"/>
        <v>0</v>
      </c>
      <c r="AE9" s="338">
        <f t="shared" si="30"/>
        <v>28</v>
      </c>
      <c r="AF9" s="339">
        <f t="shared" si="31"/>
        <v>0.54088860270444306</v>
      </c>
      <c r="AG9" s="21">
        <f t="shared" si="32"/>
        <v>0.20143884892086331</v>
      </c>
      <c r="AH9" s="338">
        <f t="shared" si="33"/>
        <v>27</v>
      </c>
      <c r="AI9" s="339">
        <f t="shared" si="34"/>
        <v>0.5215711526078558</v>
      </c>
      <c r="AJ9" s="21">
        <f t="shared" si="35"/>
        <v>0.19424460431654678</v>
      </c>
      <c r="AK9" s="338">
        <f t="shared" si="36"/>
        <v>84</v>
      </c>
      <c r="AL9" s="339">
        <f t="shared" si="37"/>
        <v>4.2176527643064983</v>
      </c>
      <c r="AM9" s="21">
        <f t="shared" si="38"/>
        <v>0.60431654676258995</v>
      </c>
      <c r="AN9" s="21">
        <f t="shared" si="39"/>
        <v>0.46361880231809405</v>
      </c>
      <c r="AO9" s="6">
        <f t="shared" si="40"/>
        <v>24</v>
      </c>
      <c r="AP9" s="5">
        <f t="shared" si="41"/>
        <v>0.46361880231809405</v>
      </c>
      <c r="AQ9" s="6">
        <f t="shared" si="42"/>
        <v>139</v>
      </c>
      <c r="AR9" s="5">
        <f t="shared" si="43"/>
        <v>2.6851255634256277</v>
      </c>
      <c r="AS9" s="2">
        <f t="shared" si="44"/>
        <v>185</v>
      </c>
      <c r="AT9" s="5">
        <f t="shared" si="45"/>
        <v>3.5737282678686415</v>
      </c>
      <c r="AU9" s="426">
        <f t="shared" si="46"/>
        <v>0.89</v>
      </c>
      <c r="AV9" s="21">
        <f t="shared" si="47"/>
        <v>0.75135135135135134</v>
      </c>
      <c r="AW9" s="20">
        <f t="shared" si="48"/>
        <v>0.71974522292993626</v>
      </c>
      <c r="AX9" s="20">
        <f t="shared" si="49"/>
        <v>0.24864864864864866</v>
      </c>
      <c r="AY9" s="21">
        <f t="shared" si="50"/>
        <v>0.13864864864864868</v>
      </c>
      <c r="AZ9" s="424">
        <f t="shared" si="51"/>
        <v>18.964576863256891</v>
      </c>
      <c r="BA9" s="424">
        <f t="shared" si="52"/>
        <v>1.1243243243243244</v>
      </c>
      <c r="BB9" s="24">
        <f t="shared" si="53"/>
        <v>101.28260869565217</v>
      </c>
      <c r="BC9" s="5">
        <f t="shared" si="54"/>
        <v>4.0217391304347823</v>
      </c>
      <c r="BD9" s="5">
        <f t="shared" si="55"/>
        <v>3.4130434782608696</v>
      </c>
      <c r="BE9" s="5">
        <f t="shared" si="56"/>
        <v>10.68</v>
      </c>
      <c r="BF9" s="5">
        <f t="shared" si="57"/>
        <v>0.20631036703155184</v>
      </c>
      <c r="BG9" s="5">
        <f t="shared" si="58"/>
        <v>9.1</v>
      </c>
      <c r="BH9" s="5">
        <f t="shared" si="59"/>
        <v>0.17578879587894397</v>
      </c>
      <c r="BI9" s="5">
        <f t="shared" si="60"/>
        <v>2.37</v>
      </c>
      <c r="BJ9" s="5">
        <f t="shared" si="61"/>
        <v>4.5782356728911788E-2</v>
      </c>
      <c r="BK9" s="5">
        <f t="shared" si="62"/>
        <v>1.58</v>
      </c>
      <c r="BL9" s="5">
        <f t="shared" si="63"/>
        <v>3.0521571152607858E-2</v>
      </c>
      <c r="BM9" s="5">
        <f t="shared" si="64"/>
        <v>-0.79</v>
      </c>
      <c r="BN9" s="185">
        <f t="shared" si="65"/>
        <v>0.44499999999999995</v>
      </c>
      <c r="BO9" s="21">
        <f t="shared" si="66"/>
        <v>0.18842625264643612</v>
      </c>
      <c r="BP9" s="6">
        <f t="shared" si="67"/>
        <v>3</v>
      </c>
      <c r="BQ9" s="5">
        <f t="shared" si="68"/>
        <v>5.7952350289761756E-2</v>
      </c>
      <c r="BR9" s="6">
        <f t="shared" si="69"/>
        <v>2</v>
      </c>
      <c r="BS9" s="5">
        <f t="shared" si="70"/>
        <v>3.8634900193174504E-2</v>
      </c>
      <c r="BT9" s="20">
        <f t="shared" si="71"/>
        <v>0.66666666666666663</v>
      </c>
      <c r="BU9" s="20">
        <f t="shared" si="72"/>
        <v>0.11057692307692307</v>
      </c>
      <c r="BV9" s="6">
        <f t="shared" si="73"/>
        <v>46</v>
      </c>
      <c r="BW9" s="5">
        <f t="shared" si="74"/>
        <v>0.88860270444301359</v>
      </c>
      <c r="BX9" s="286">
        <f t="shared" si="75"/>
        <v>0</v>
      </c>
      <c r="BY9" s="287">
        <f t="shared" si="76"/>
        <v>0</v>
      </c>
      <c r="BZ9" s="6">
        <f t="shared" si="77"/>
        <v>264.01</v>
      </c>
      <c r="CA9" s="5">
        <f t="shared" si="78"/>
        <v>5.0999999999999996</v>
      </c>
      <c r="CB9" s="6">
        <f t="shared" si="79"/>
        <v>424.48666666666662</v>
      </c>
      <c r="CC9" s="5">
        <f t="shared" si="80"/>
        <v>8.1999999999999993</v>
      </c>
      <c r="CD9" s="167">
        <f t="shared" si="81"/>
        <v>5</v>
      </c>
      <c r="CE9" s="142">
        <f t="shared" si="82"/>
        <v>9.658725048293626E-2</v>
      </c>
      <c r="CF9" s="167">
        <f t="shared" si="83"/>
        <v>2</v>
      </c>
      <c r="CG9" s="166">
        <f t="shared" si="84"/>
        <v>3.8634900193174504E-2</v>
      </c>
      <c r="CH9" s="167">
        <f t="shared" si="85"/>
        <v>3</v>
      </c>
      <c r="CI9" s="142">
        <f t="shared" si="86"/>
        <v>5.7952350289761756E-2</v>
      </c>
      <c r="CJ9" s="168">
        <f t="shared" si="87"/>
        <v>0.4</v>
      </c>
      <c r="CK9" s="2">
        <f t="shared" si="88"/>
        <v>2</v>
      </c>
      <c r="CL9" s="2">
        <f t="shared" si="89"/>
        <v>0</v>
      </c>
      <c r="CM9" s="2">
        <f t="shared" si="90"/>
        <v>2</v>
      </c>
      <c r="CN9" s="2">
        <f t="shared" si="91"/>
        <v>31</v>
      </c>
      <c r="CO9" s="6">
        <f t="shared" si="92"/>
        <v>2</v>
      </c>
      <c r="CP9" s="6">
        <f t="shared" si="93"/>
        <v>1518.9059999999999</v>
      </c>
      <c r="CQ9" s="6">
        <f t="shared" si="94"/>
        <v>1174</v>
      </c>
      <c r="CR9" s="20">
        <f t="shared" si="95"/>
        <v>0.77292472345227425</v>
      </c>
      <c r="CS9" s="121">
        <f t="shared" si="96"/>
        <v>1785</v>
      </c>
      <c r="CT9" s="5">
        <f t="shared" si="97"/>
        <v>6.9</v>
      </c>
      <c r="CU9" s="268"/>
      <c r="CV9" s="264" t="s">
        <v>13</v>
      </c>
      <c r="CW9" s="264" t="s">
        <v>994</v>
      </c>
      <c r="CX9" s="264">
        <v>35</v>
      </c>
      <c r="CY9" s="264" t="s">
        <v>995</v>
      </c>
      <c r="CZ9" s="264" t="s">
        <v>996</v>
      </c>
      <c r="DA9" s="264" t="s">
        <v>574</v>
      </c>
      <c r="DB9" s="264" t="s">
        <v>997</v>
      </c>
      <c r="DC9" s="264" t="s">
        <v>540</v>
      </c>
      <c r="DD9" s="265">
        <v>47118</v>
      </c>
      <c r="DE9" s="264">
        <v>7</v>
      </c>
      <c r="DF9" s="264">
        <v>4659</v>
      </c>
      <c r="DG9" s="264">
        <v>46</v>
      </c>
      <c r="DH9" s="264">
        <v>28</v>
      </c>
      <c r="DI9" s="264">
        <v>27</v>
      </c>
      <c r="DJ9" s="264">
        <v>84</v>
      </c>
      <c r="DK9" s="264">
        <v>0</v>
      </c>
      <c r="DL9" s="264">
        <v>5.0999999999999996</v>
      </c>
      <c r="DM9" s="264">
        <v>8.1999999999999993</v>
      </c>
      <c r="DN9" s="264">
        <v>24</v>
      </c>
      <c r="DO9" s="264">
        <v>2</v>
      </c>
      <c r="DP9" s="264">
        <v>0</v>
      </c>
      <c r="DQ9" s="264">
        <v>2</v>
      </c>
      <c r="DR9" s="264">
        <v>31</v>
      </c>
      <c r="DS9" s="264">
        <v>0</v>
      </c>
      <c r="DT9" s="264">
        <v>0</v>
      </c>
      <c r="DU9" s="264">
        <v>1267</v>
      </c>
      <c r="DV9" s="264">
        <v>1031</v>
      </c>
      <c r="DW9" s="264">
        <v>89</v>
      </c>
      <c r="DX9" s="264" t="s">
        <v>1037</v>
      </c>
      <c r="DY9" s="264">
        <v>0</v>
      </c>
      <c r="DZ9" s="264">
        <v>0</v>
      </c>
      <c r="EA9" s="264">
        <v>3</v>
      </c>
      <c r="EB9" s="264">
        <v>2</v>
      </c>
      <c r="EC9" s="264">
        <v>0</v>
      </c>
      <c r="ED9" s="264">
        <v>3</v>
      </c>
      <c r="EE9" s="264">
        <v>2</v>
      </c>
      <c r="EF9" s="269">
        <v>6.9</v>
      </c>
    </row>
    <row r="10" spans="1:136" ht="24.95" customHeight="1" thickBot="1" x14ac:dyDescent="0.3">
      <c r="A10" s="29" t="str">
        <f t="shared" si="0"/>
        <v>9º</v>
      </c>
      <c r="B10" s="67" t="str">
        <f t="shared" si="1"/>
        <v>Weibmar Asprilla</v>
      </c>
      <c r="C10" s="251" t="str">
        <f t="shared" si="2"/>
        <v>COL</v>
      </c>
      <c r="D10" s="28" t="str">
        <f t="shared" si="3"/>
        <v>Remo</v>
      </c>
      <c r="E10" s="91" t="str">
        <f t="shared" si="4"/>
        <v>Pé Direito</v>
      </c>
      <c r="F10" s="156">
        <f t="shared" si="5"/>
        <v>28</v>
      </c>
      <c r="G10" s="2" t="str">
        <f t="shared" si="6"/>
        <v>€45m - €450m</v>
      </c>
      <c r="H10" s="142">
        <f t="shared" si="7"/>
        <v>1.9</v>
      </c>
      <c r="I10" s="62">
        <f t="shared" si="8"/>
        <v>47118</v>
      </c>
      <c r="J10" s="272" t="str">
        <f t="shared" si="9"/>
        <v>€16,25m p/m</v>
      </c>
      <c r="K10" s="89">
        <f t="shared" si="10"/>
        <v>43.826666666666668</v>
      </c>
      <c r="L10" s="134">
        <f t="shared" si="11"/>
        <v>58.31111111111111</v>
      </c>
      <c r="M10" s="6">
        <f t="shared" si="12"/>
        <v>10</v>
      </c>
      <c r="N10" s="5">
        <f t="shared" si="13"/>
        <v>524.79999999999995</v>
      </c>
      <c r="O10" s="21">
        <f t="shared" si="14"/>
        <v>0.1714939024390244</v>
      </c>
      <c r="P10" s="2">
        <f t="shared" si="15"/>
        <v>1390</v>
      </c>
      <c r="Q10" s="2">
        <f t="shared" si="16"/>
        <v>1108</v>
      </c>
      <c r="R10" s="5">
        <f t="shared" si="17"/>
        <v>19.001524390243901</v>
      </c>
      <c r="S10" s="2">
        <f t="shared" si="18"/>
        <v>282</v>
      </c>
      <c r="T10" s="5">
        <f t="shared" si="19"/>
        <v>4.8361280487804876</v>
      </c>
      <c r="U10" s="94">
        <f t="shared" si="20"/>
        <v>0.20287769784172663</v>
      </c>
      <c r="V10" s="94">
        <f t="shared" si="21"/>
        <v>0.7971223021582734</v>
      </c>
      <c r="W10" s="2">
        <f t="shared" si="22"/>
        <v>826</v>
      </c>
      <c r="X10" s="6">
        <f t="shared" si="23"/>
        <v>1390</v>
      </c>
      <c r="Y10" s="5">
        <f t="shared" si="24"/>
        <v>23.837652439024392</v>
      </c>
      <c r="Z10" s="6">
        <f t="shared" si="25"/>
        <v>0</v>
      </c>
      <c r="AA10" s="5">
        <f t="shared" si="26"/>
        <v>0</v>
      </c>
      <c r="AB10" s="21">
        <f t="shared" si="27"/>
        <v>0</v>
      </c>
      <c r="AC10" s="6">
        <f t="shared" si="28"/>
        <v>0</v>
      </c>
      <c r="AD10" s="5">
        <f t="shared" si="29"/>
        <v>0</v>
      </c>
      <c r="AE10" s="338">
        <f t="shared" si="30"/>
        <v>36</v>
      </c>
      <c r="AF10" s="339">
        <f t="shared" si="31"/>
        <v>0.61737804878048785</v>
      </c>
      <c r="AG10" s="21">
        <f t="shared" si="32"/>
        <v>0.22929936305732485</v>
      </c>
      <c r="AH10" s="338">
        <f t="shared" si="33"/>
        <v>23</v>
      </c>
      <c r="AI10" s="339">
        <f t="shared" si="34"/>
        <v>0.39443597560975613</v>
      </c>
      <c r="AJ10" s="21">
        <f t="shared" si="35"/>
        <v>0.1464968152866242</v>
      </c>
      <c r="AK10" s="338">
        <f t="shared" si="36"/>
        <v>98</v>
      </c>
      <c r="AL10" s="339">
        <f t="shared" si="37"/>
        <v>5.1574809466506224</v>
      </c>
      <c r="AM10" s="21">
        <f t="shared" si="38"/>
        <v>0.62420382165605093</v>
      </c>
      <c r="AN10" s="21">
        <f t="shared" si="39"/>
        <v>0.54878048780487809</v>
      </c>
      <c r="AO10" s="6">
        <f t="shared" si="40"/>
        <v>32</v>
      </c>
      <c r="AP10" s="5">
        <f t="shared" si="41"/>
        <v>0.54878048780487809</v>
      </c>
      <c r="AQ10" s="6">
        <f t="shared" si="42"/>
        <v>157</v>
      </c>
      <c r="AR10" s="5">
        <f t="shared" si="43"/>
        <v>2.6924542682926829</v>
      </c>
      <c r="AS10" s="2">
        <f t="shared" si="44"/>
        <v>199</v>
      </c>
      <c r="AT10" s="5">
        <f t="shared" si="45"/>
        <v>3.4127286585365852</v>
      </c>
      <c r="AU10" s="426">
        <f t="shared" si="46"/>
        <v>0.88</v>
      </c>
      <c r="AV10" s="21">
        <f t="shared" si="47"/>
        <v>0.78894472361809043</v>
      </c>
      <c r="AW10" s="20">
        <f t="shared" si="48"/>
        <v>0.77914110429447858</v>
      </c>
      <c r="AX10" s="20">
        <f t="shared" si="49"/>
        <v>0.21105527638190957</v>
      </c>
      <c r="AY10" s="21">
        <f t="shared" si="50"/>
        <v>9.1055276381909578E-2</v>
      </c>
      <c r="AZ10" s="424">
        <f t="shared" si="51"/>
        <v>33.335126928353588</v>
      </c>
      <c r="BA10" s="424">
        <f t="shared" si="52"/>
        <v>1.1507537688442211</v>
      </c>
      <c r="BB10" s="24">
        <f t="shared" si="53"/>
        <v>124.95238095238095</v>
      </c>
      <c r="BC10" s="5">
        <f t="shared" si="54"/>
        <v>4.7380952380952381</v>
      </c>
      <c r="BD10" s="5">
        <f t="shared" si="55"/>
        <v>3.8809523809523809</v>
      </c>
      <c r="BE10" s="5">
        <f t="shared" si="56"/>
        <v>23.53</v>
      </c>
      <c r="BF10" s="5">
        <f t="shared" si="57"/>
        <v>0.40352515243902443</v>
      </c>
      <c r="BG10" s="5">
        <f t="shared" si="58"/>
        <v>18.79</v>
      </c>
      <c r="BH10" s="5">
        <f t="shared" si="59"/>
        <v>0.3222370426829268</v>
      </c>
      <c r="BI10" s="5">
        <f t="shared" si="60"/>
        <v>7.11</v>
      </c>
      <c r="BJ10" s="5">
        <f t="shared" si="61"/>
        <v>0.12193216463414636</v>
      </c>
      <c r="BK10" s="5">
        <f t="shared" si="62"/>
        <v>4.74</v>
      </c>
      <c r="BL10" s="5">
        <f t="shared" si="63"/>
        <v>8.1288109756097571E-2</v>
      </c>
      <c r="BM10" s="5">
        <f t="shared" si="64"/>
        <v>-2.37</v>
      </c>
      <c r="BN10" s="185">
        <f t="shared" si="65"/>
        <v>0.73531250000000004</v>
      </c>
      <c r="BO10" s="21">
        <f t="shared" si="66"/>
        <v>0.35907218068060431</v>
      </c>
      <c r="BP10" s="6">
        <f t="shared" si="67"/>
        <v>9</v>
      </c>
      <c r="BQ10" s="5">
        <f t="shared" si="68"/>
        <v>0.15434451219512196</v>
      </c>
      <c r="BR10" s="6">
        <f t="shared" si="69"/>
        <v>6</v>
      </c>
      <c r="BS10" s="5">
        <f t="shared" si="70"/>
        <v>0.10289634146341464</v>
      </c>
      <c r="BT10" s="20">
        <f t="shared" si="71"/>
        <v>0.66666666666666663</v>
      </c>
      <c r="BU10" s="20">
        <f t="shared" si="72"/>
        <v>0.10096153846153846</v>
      </c>
      <c r="BV10" s="6">
        <f t="shared" si="73"/>
        <v>42</v>
      </c>
      <c r="BW10" s="5">
        <f t="shared" si="74"/>
        <v>0.7202743902439025</v>
      </c>
      <c r="BX10" s="286">
        <f t="shared" si="75"/>
        <v>0</v>
      </c>
      <c r="BY10" s="287">
        <f t="shared" si="76"/>
        <v>0</v>
      </c>
      <c r="BZ10" s="6">
        <f t="shared" si="77"/>
        <v>338.20444444444445</v>
      </c>
      <c r="CA10" s="5">
        <f t="shared" si="78"/>
        <v>5.8</v>
      </c>
      <c r="CB10" s="6">
        <f t="shared" si="79"/>
        <v>379.02222222222224</v>
      </c>
      <c r="CC10" s="5">
        <f t="shared" si="80"/>
        <v>6.5</v>
      </c>
      <c r="CD10" s="167">
        <f t="shared" si="81"/>
        <v>9</v>
      </c>
      <c r="CE10" s="142">
        <f t="shared" si="82"/>
        <v>0.15434451219512196</v>
      </c>
      <c r="CF10" s="167">
        <f t="shared" si="83"/>
        <v>6</v>
      </c>
      <c r="CG10" s="166">
        <f t="shared" si="84"/>
        <v>0.10289634146341464</v>
      </c>
      <c r="CH10" s="167">
        <f t="shared" si="85"/>
        <v>3</v>
      </c>
      <c r="CI10" s="142">
        <f t="shared" si="86"/>
        <v>5.1448170731707321E-2</v>
      </c>
      <c r="CJ10" s="168">
        <f t="shared" si="87"/>
        <v>0.66666666666666663</v>
      </c>
      <c r="CK10" s="2">
        <f t="shared" si="88"/>
        <v>0</v>
      </c>
      <c r="CL10" s="2">
        <f t="shared" si="89"/>
        <v>0</v>
      </c>
      <c r="CM10" s="2">
        <f t="shared" si="90"/>
        <v>0</v>
      </c>
      <c r="CN10" s="2">
        <f t="shared" si="91"/>
        <v>22</v>
      </c>
      <c r="CO10" s="6">
        <f t="shared" si="92"/>
        <v>0</v>
      </c>
      <c r="CP10" s="6">
        <f t="shared" si="93"/>
        <v>1679.645</v>
      </c>
      <c r="CQ10" s="6">
        <f t="shared" si="94"/>
        <v>1277</v>
      </c>
      <c r="CR10" s="20">
        <f t="shared" si="95"/>
        <v>0.76027970196083106</v>
      </c>
      <c r="CS10" s="121">
        <f t="shared" si="96"/>
        <v>1785</v>
      </c>
      <c r="CT10" s="5">
        <f t="shared" si="97"/>
        <v>7</v>
      </c>
      <c r="CU10" s="268"/>
      <c r="CV10" s="264" t="s">
        <v>989</v>
      </c>
      <c r="CW10" s="264" t="s">
        <v>990</v>
      </c>
      <c r="CX10" s="264">
        <v>28</v>
      </c>
      <c r="CY10" s="264" t="s">
        <v>991</v>
      </c>
      <c r="CZ10" s="264" t="s">
        <v>992</v>
      </c>
      <c r="DA10" s="264" t="s">
        <v>573</v>
      </c>
      <c r="DB10" s="264" t="s">
        <v>993</v>
      </c>
      <c r="DC10" s="264" t="s">
        <v>798</v>
      </c>
      <c r="DD10" s="265">
        <v>47118</v>
      </c>
      <c r="DE10" s="264">
        <v>10</v>
      </c>
      <c r="DF10" s="264">
        <v>5248</v>
      </c>
      <c r="DG10" s="264">
        <v>42</v>
      </c>
      <c r="DH10" s="264">
        <v>36</v>
      </c>
      <c r="DI10" s="264">
        <v>23</v>
      </c>
      <c r="DJ10" s="264">
        <v>98</v>
      </c>
      <c r="DK10" s="264">
        <v>0</v>
      </c>
      <c r="DL10" s="264">
        <v>5.8</v>
      </c>
      <c r="DM10" s="264">
        <v>6.5</v>
      </c>
      <c r="DN10" s="264">
        <v>32</v>
      </c>
      <c r="DO10" s="264">
        <v>0</v>
      </c>
      <c r="DP10" s="264">
        <v>0</v>
      </c>
      <c r="DQ10" s="264">
        <v>0</v>
      </c>
      <c r="DR10" s="264">
        <v>22</v>
      </c>
      <c r="DS10" s="264">
        <v>0</v>
      </c>
      <c r="DT10" s="264">
        <v>0</v>
      </c>
      <c r="DU10" s="264">
        <v>1390</v>
      </c>
      <c r="DV10" s="264">
        <v>1108</v>
      </c>
      <c r="DW10" s="264">
        <v>88</v>
      </c>
      <c r="DX10" s="264" t="s">
        <v>1033</v>
      </c>
      <c r="DY10" s="264">
        <v>0</v>
      </c>
      <c r="DZ10" s="264">
        <v>0</v>
      </c>
      <c r="EA10" s="264">
        <v>9</v>
      </c>
      <c r="EB10" s="264">
        <v>6</v>
      </c>
      <c r="EC10" s="264">
        <v>0</v>
      </c>
      <c r="ED10" s="264">
        <v>9</v>
      </c>
      <c r="EE10" s="264">
        <v>6</v>
      </c>
      <c r="EF10" s="269">
        <v>7</v>
      </c>
    </row>
    <row r="11" spans="1:136" ht="24.95" customHeight="1" thickBot="1" x14ac:dyDescent="0.3">
      <c r="A11" s="29" t="str">
        <f t="shared" si="0"/>
        <v>10º</v>
      </c>
      <c r="B11" s="67" t="str">
        <f t="shared" si="1"/>
        <v>William Cuesta</v>
      </c>
      <c r="C11" s="251" t="str">
        <f t="shared" si="2"/>
        <v>COL</v>
      </c>
      <c r="D11" s="28" t="str">
        <f t="shared" si="3"/>
        <v>Athletic Club (MG)</v>
      </c>
      <c r="E11" s="91" t="str">
        <f t="shared" si="4"/>
        <v>Pé Direito</v>
      </c>
      <c r="F11" s="156">
        <f t="shared" si="5"/>
        <v>34</v>
      </c>
      <c r="G11" s="2">
        <f t="shared" si="6"/>
        <v>0</v>
      </c>
      <c r="H11" s="142">
        <f t="shared" si="7"/>
        <v>1.95</v>
      </c>
      <c r="I11" s="62">
        <f t="shared" si="8"/>
        <v>46752</v>
      </c>
      <c r="J11" s="272" t="str">
        <f t="shared" si="9"/>
        <v>€10,5m p/m</v>
      </c>
      <c r="K11" s="89">
        <f t="shared" si="10"/>
        <v>43.826666666666668</v>
      </c>
      <c r="L11" s="134">
        <f t="shared" si="11"/>
        <v>47.088888888888889</v>
      </c>
      <c r="M11" s="6">
        <f t="shared" si="12"/>
        <v>2</v>
      </c>
      <c r="N11" s="5">
        <f t="shared" si="13"/>
        <v>2119</v>
      </c>
      <c r="O11" s="21">
        <f t="shared" si="14"/>
        <v>4.2472864558754132E-2</v>
      </c>
      <c r="P11" s="2">
        <f t="shared" si="15"/>
        <v>1221</v>
      </c>
      <c r="Q11" s="2">
        <f t="shared" si="16"/>
        <v>880</v>
      </c>
      <c r="R11" s="5">
        <f t="shared" si="17"/>
        <v>18.688060405851818</v>
      </c>
      <c r="S11" s="2">
        <f t="shared" si="18"/>
        <v>341</v>
      </c>
      <c r="T11" s="5">
        <f t="shared" si="19"/>
        <v>7.2416234072675794</v>
      </c>
      <c r="U11" s="94">
        <f t="shared" si="20"/>
        <v>0.27927927927927926</v>
      </c>
      <c r="V11" s="94">
        <f t="shared" si="21"/>
        <v>0.72072072072072069</v>
      </c>
      <c r="W11" s="2">
        <f t="shared" si="22"/>
        <v>539</v>
      </c>
      <c r="X11" s="6">
        <f t="shared" si="23"/>
        <v>1219</v>
      </c>
      <c r="Y11" s="5">
        <f t="shared" si="24"/>
        <v>25.887210948560643</v>
      </c>
      <c r="Z11" s="6">
        <f t="shared" si="25"/>
        <v>2</v>
      </c>
      <c r="AA11" s="5">
        <f t="shared" si="26"/>
        <v>4.2472864558754132E-2</v>
      </c>
      <c r="AB11" s="21">
        <f t="shared" si="27"/>
        <v>1.6406890894175555E-3</v>
      </c>
      <c r="AC11" s="6">
        <f t="shared" si="28"/>
        <v>0</v>
      </c>
      <c r="AD11" s="5">
        <f t="shared" si="29"/>
        <v>0</v>
      </c>
      <c r="AE11" s="338">
        <f t="shared" si="30"/>
        <v>31</v>
      </c>
      <c r="AF11" s="339">
        <f t="shared" si="31"/>
        <v>0.65832940066068901</v>
      </c>
      <c r="AG11" s="21">
        <f t="shared" si="32"/>
        <v>0.20261437908496732</v>
      </c>
      <c r="AH11" s="338">
        <f t="shared" si="33"/>
        <v>37</v>
      </c>
      <c r="AI11" s="339">
        <f t="shared" si="34"/>
        <v>0.78574799433695142</v>
      </c>
      <c r="AJ11" s="21">
        <f t="shared" si="35"/>
        <v>0.24183006535947713</v>
      </c>
      <c r="AK11" s="338">
        <f t="shared" si="36"/>
        <v>85</v>
      </c>
      <c r="AL11" s="339">
        <f t="shared" si="37"/>
        <v>4.548358585858586</v>
      </c>
      <c r="AM11" s="21">
        <f t="shared" si="38"/>
        <v>0.55555555555555558</v>
      </c>
      <c r="AN11" s="21">
        <f t="shared" si="39"/>
        <v>0.19112789051439358</v>
      </c>
      <c r="AO11" s="6">
        <f t="shared" si="40"/>
        <v>9</v>
      </c>
      <c r="AP11" s="5">
        <f t="shared" si="41"/>
        <v>0.19112789051439358</v>
      </c>
      <c r="AQ11" s="6">
        <f t="shared" si="42"/>
        <v>153</v>
      </c>
      <c r="AR11" s="5">
        <f t="shared" si="43"/>
        <v>3.2491741387446909</v>
      </c>
      <c r="AS11" s="2">
        <f t="shared" si="44"/>
        <v>210</v>
      </c>
      <c r="AT11" s="5">
        <f t="shared" si="45"/>
        <v>4.4596507786691832</v>
      </c>
      <c r="AU11" s="426">
        <f t="shared" si="46"/>
        <v>0.88</v>
      </c>
      <c r="AV11" s="21">
        <f t="shared" si="47"/>
        <v>0.72857142857142854</v>
      </c>
      <c r="AW11" s="20">
        <f t="shared" si="48"/>
        <v>0.69273743016759781</v>
      </c>
      <c r="AX11" s="20">
        <f t="shared" si="49"/>
        <v>0.27142857142857141</v>
      </c>
      <c r="AY11" s="21">
        <f t="shared" si="50"/>
        <v>0.15142857142857147</v>
      </c>
      <c r="AZ11" s="424">
        <f t="shared" si="51"/>
        <v>16.958691982310643</v>
      </c>
      <c r="BA11" s="424">
        <f t="shared" si="52"/>
        <v>1.1071428571428572</v>
      </c>
      <c r="BB11" s="24">
        <f t="shared" si="53"/>
        <v>74.350877192982452</v>
      </c>
      <c r="BC11" s="5">
        <f t="shared" si="54"/>
        <v>3.6842105263157894</v>
      </c>
      <c r="BD11" s="5">
        <f t="shared" si="55"/>
        <v>3.1403508771929824</v>
      </c>
      <c r="BE11" s="5">
        <f t="shared" si="56"/>
        <v>8.99</v>
      </c>
      <c r="BF11" s="5">
        <f t="shared" si="57"/>
        <v>0.19091552619159982</v>
      </c>
      <c r="BG11" s="5">
        <f t="shared" si="58"/>
        <v>7.41</v>
      </c>
      <c r="BH11" s="5">
        <f t="shared" si="59"/>
        <v>0.15736196319018406</v>
      </c>
      <c r="BI11" s="5">
        <f t="shared" si="60"/>
        <v>3.95</v>
      </c>
      <c r="BJ11" s="5">
        <f t="shared" si="61"/>
        <v>8.3883907503539412E-2</v>
      </c>
      <c r="BK11" s="5">
        <f t="shared" si="62"/>
        <v>1.58</v>
      </c>
      <c r="BL11" s="5">
        <f t="shared" si="63"/>
        <v>3.3553563001415765E-2</v>
      </c>
      <c r="BM11" s="5">
        <f t="shared" si="64"/>
        <v>-2.37</v>
      </c>
      <c r="BN11" s="185">
        <f t="shared" si="65"/>
        <v>0.99888888888888894</v>
      </c>
      <c r="BO11" s="21">
        <f t="shared" si="66"/>
        <v>0.13623276253977876</v>
      </c>
      <c r="BP11" s="6">
        <f t="shared" si="67"/>
        <v>5</v>
      </c>
      <c r="BQ11" s="5">
        <f t="shared" si="68"/>
        <v>0.10618216139688533</v>
      </c>
      <c r="BR11" s="6">
        <f t="shared" si="69"/>
        <v>2</v>
      </c>
      <c r="BS11" s="5">
        <f t="shared" si="70"/>
        <v>4.2472864558754132E-2</v>
      </c>
      <c r="BT11" s="20">
        <f t="shared" si="71"/>
        <v>0.4</v>
      </c>
      <c r="BU11" s="20">
        <f t="shared" si="72"/>
        <v>0.13701923076923078</v>
      </c>
      <c r="BV11" s="6">
        <f t="shared" si="73"/>
        <v>57</v>
      </c>
      <c r="BW11" s="5">
        <f t="shared" si="74"/>
        <v>1.2104766399244926</v>
      </c>
      <c r="BX11" s="286">
        <f t="shared" si="75"/>
        <v>0</v>
      </c>
      <c r="BY11" s="287">
        <f t="shared" si="76"/>
        <v>0</v>
      </c>
      <c r="BZ11" s="6">
        <f t="shared" si="77"/>
        <v>211.9</v>
      </c>
      <c r="CA11" s="5">
        <f t="shared" si="78"/>
        <v>4.5</v>
      </c>
      <c r="CB11" s="6">
        <f t="shared" si="79"/>
        <v>386.12888888888887</v>
      </c>
      <c r="CC11" s="5">
        <f t="shared" si="80"/>
        <v>8.1999999999999993</v>
      </c>
      <c r="CD11" s="167">
        <f t="shared" si="81"/>
        <v>5</v>
      </c>
      <c r="CE11" s="142">
        <f t="shared" si="82"/>
        <v>0.10618216139688533</v>
      </c>
      <c r="CF11" s="167">
        <f t="shared" si="83"/>
        <v>2</v>
      </c>
      <c r="CG11" s="166">
        <f t="shared" si="84"/>
        <v>4.2472864558754132E-2</v>
      </c>
      <c r="CH11" s="167">
        <f t="shared" si="85"/>
        <v>3</v>
      </c>
      <c r="CI11" s="142">
        <f t="shared" si="86"/>
        <v>6.3709296838131188E-2</v>
      </c>
      <c r="CJ11" s="168">
        <f t="shared" si="87"/>
        <v>0.4</v>
      </c>
      <c r="CK11" s="2">
        <f t="shared" si="88"/>
        <v>0</v>
      </c>
      <c r="CL11" s="2">
        <f t="shared" si="89"/>
        <v>0</v>
      </c>
      <c r="CM11" s="2">
        <f t="shared" si="90"/>
        <v>0</v>
      </c>
      <c r="CN11" s="2">
        <f t="shared" si="91"/>
        <v>11</v>
      </c>
      <c r="CO11" s="6">
        <f t="shared" si="92"/>
        <v>0</v>
      </c>
      <c r="CP11" s="6">
        <f t="shared" si="93"/>
        <v>1469.9059999999999</v>
      </c>
      <c r="CQ11" s="6">
        <f t="shared" si="94"/>
        <v>1037</v>
      </c>
      <c r="CR11" s="20">
        <f t="shared" si="95"/>
        <v>0.70548728966342067</v>
      </c>
      <c r="CS11" s="121">
        <f t="shared" si="96"/>
        <v>1785</v>
      </c>
      <c r="CT11" s="5">
        <f t="shared" si="97"/>
        <v>6.71</v>
      </c>
      <c r="CU11" s="270" t="s">
        <v>19</v>
      </c>
      <c r="CV11" s="266" t="s">
        <v>989</v>
      </c>
      <c r="CW11" s="266" t="s">
        <v>1001</v>
      </c>
      <c r="CX11" s="266">
        <v>34</v>
      </c>
      <c r="CY11" s="266" t="s">
        <v>1002</v>
      </c>
      <c r="CZ11" s="427">
        <v>0</v>
      </c>
      <c r="DA11" s="266" t="s">
        <v>573</v>
      </c>
      <c r="DB11" s="266" t="s">
        <v>1003</v>
      </c>
      <c r="DC11" s="266" t="s">
        <v>803</v>
      </c>
      <c r="DD11" s="267">
        <v>46752</v>
      </c>
      <c r="DE11" s="266">
        <v>2</v>
      </c>
      <c r="DF11" s="266">
        <v>4238</v>
      </c>
      <c r="DG11" s="266">
        <v>57</v>
      </c>
      <c r="DH11" s="266">
        <v>31</v>
      </c>
      <c r="DI11" s="266">
        <v>37</v>
      </c>
      <c r="DJ11" s="266">
        <v>85</v>
      </c>
      <c r="DK11" s="266">
        <v>0</v>
      </c>
      <c r="DL11" s="266">
        <v>4.5</v>
      </c>
      <c r="DM11" s="266">
        <v>8.1999999999999993</v>
      </c>
      <c r="DN11" s="266">
        <v>9</v>
      </c>
      <c r="DO11" s="266">
        <v>0</v>
      </c>
      <c r="DP11" s="266">
        <v>0</v>
      </c>
      <c r="DQ11" s="266">
        <v>0</v>
      </c>
      <c r="DR11" s="266">
        <v>11</v>
      </c>
      <c r="DS11" s="266">
        <v>2</v>
      </c>
      <c r="DT11" s="266">
        <v>0</v>
      </c>
      <c r="DU11" s="266">
        <v>1221</v>
      </c>
      <c r="DV11" s="266">
        <v>880</v>
      </c>
      <c r="DW11" s="266">
        <v>88</v>
      </c>
      <c r="DX11" s="266" t="s">
        <v>1036</v>
      </c>
      <c r="DY11" s="266">
        <v>0</v>
      </c>
      <c r="DZ11" s="266">
        <v>0</v>
      </c>
      <c r="EA11" s="266">
        <v>5</v>
      </c>
      <c r="EB11" s="266">
        <v>2</v>
      </c>
      <c r="EC11" s="266">
        <v>0</v>
      </c>
      <c r="ED11" s="266">
        <v>5</v>
      </c>
      <c r="EE11" s="266">
        <v>2</v>
      </c>
      <c r="EF11" s="271">
        <v>6.71</v>
      </c>
    </row>
    <row r="12" spans="1:136" ht="24.95" customHeight="1" x14ac:dyDescent="0.25"/>
    <row r="13" spans="1:136" ht="24.95" customHeight="1" x14ac:dyDescent="0.25"/>
    <row r="14" spans="1:136" ht="24.95" customHeight="1" x14ac:dyDescent="0.25"/>
    <row r="15" spans="1:136" ht="24.95" customHeight="1" x14ac:dyDescent="0.25"/>
    <row r="16" spans="1:136" ht="24.95" customHeight="1" x14ac:dyDescent="0.25"/>
    <row r="17" ht="24.95" customHeight="1" x14ac:dyDescent="0.25"/>
    <row r="18" ht="24.95" customHeight="1" x14ac:dyDescent="0.25"/>
    <row r="19" ht="24.95" customHeight="1" x14ac:dyDescent="0.25"/>
    <row r="20" ht="24.95" customHeight="1" x14ac:dyDescent="0.25"/>
    <row r="21" ht="24.95" customHeight="1" x14ac:dyDescent="0.25"/>
    <row r="22" ht="24.95" customHeight="1" x14ac:dyDescent="0.25"/>
    <row r="23" ht="24.95" customHeight="1" x14ac:dyDescent="0.25"/>
    <row r="24" ht="24.95" customHeight="1" x14ac:dyDescent="0.25"/>
    <row r="25" ht="24.95" customHeight="1" x14ac:dyDescent="0.25"/>
    <row r="26" ht="24.95" customHeight="1" x14ac:dyDescent="0.25"/>
    <row r="27" ht="24.95" customHeight="1" x14ac:dyDescent="0.25"/>
    <row r="28" ht="24.95" customHeight="1" x14ac:dyDescent="0.25"/>
    <row r="29" ht="24.95" customHeight="1" x14ac:dyDescent="0.25"/>
    <row r="30" ht="24.95" customHeight="1" x14ac:dyDescent="0.25"/>
    <row r="31" ht="24.95" customHeight="1" x14ac:dyDescent="0.25"/>
    <row r="32"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sheetData>
  <autoFilter ref="B1:EF1" xr:uid="{00000000-0009-0000-0000-000000000000}">
    <sortState xmlns:xlrd2="http://schemas.microsoft.com/office/spreadsheetml/2017/richdata2" ref="B2:EF11">
      <sortCondition ref="B1"/>
    </sortState>
  </autoFilter>
  <phoneticPr fontId="52" type="noConversion"/>
  <conditionalFormatting sqref="S1:S1048576">
    <cfRule type="iconSet" priority="33">
      <iconSet iconSet="5ArrowsGray" reverse="1">
        <cfvo type="percent" val="0"/>
        <cfvo type="percent" val="20"/>
        <cfvo type="percent" val="40"/>
        <cfvo type="percent" val="60"/>
        <cfvo type="percent" val="80"/>
      </iconSet>
    </cfRule>
    <cfRule type="colorScale" priority="390">
      <colorScale>
        <cfvo type="min"/>
        <cfvo type="max"/>
        <color rgb="FFFCFCFF"/>
        <color rgb="FFF8696B"/>
      </colorScale>
    </cfRule>
  </conditionalFormatting>
  <conditionalFormatting sqref="U1:U1048576">
    <cfRule type="iconSet" priority="34">
      <iconSet iconSet="5ArrowsGray" reverse="1">
        <cfvo type="percent" val="0"/>
        <cfvo type="percent" val="20"/>
        <cfvo type="percent" val="40"/>
        <cfvo type="percent" val="60"/>
        <cfvo type="percent" val="80"/>
      </iconSet>
    </cfRule>
    <cfRule type="colorScale" priority="341">
      <colorScale>
        <cfvo type="min"/>
        <cfvo type="max"/>
        <color rgb="FFFCFCFF"/>
        <color rgb="FFF8696B"/>
      </colorScale>
    </cfRule>
  </conditionalFormatting>
  <conditionalFormatting sqref="AR1:AR1048576">
    <cfRule type="iconSet" priority="161">
      <iconSet iconSet="5Arrows">
        <cfvo type="percent" val="0"/>
        <cfvo type="percent" val="20"/>
        <cfvo type="percent" val="40"/>
        <cfvo type="percent" val="60"/>
        <cfvo type="percent" val="80"/>
      </iconSet>
    </cfRule>
    <cfRule type="colorScale" priority="181">
      <colorScale>
        <cfvo type="min"/>
        <cfvo type="percentile" val="50"/>
        <cfvo type="max"/>
        <color rgb="FFF8696B"/>
        <color rgb="FFFFEB84"/>
        <color rgb="FF63BE7B"/>
      </colorScale>
    </cfRule>
  </conditionalFormatting>
  <conditionalFormatting sqref="AQ1:AQ1048576">
    <cfRule type="iconSet" priority="162">
      <iconSet iconSet="5Arrows">
        <cfvo type="percent" val="0"/>
        <cfvo type="percent" val="20"/>
        <cfvo type="percent" val="40"/>
        <cfvo type="percent" val="60"/>
        <cfvo type="percent" val="80"/>
      </iconSet>
    </cfRule>
    <cfRule type="colorScale" priority="182">
      <colorScale>
        <cfvo type="min"/>
        <cfvo type="percentile" val="50"/>
        <cfvo type="max"/>
        <color rgb="FFF8696B"/>
        <color theme="8" tint="0.79998168889431442"/>
        <color rgb="FF00B0F0"/>
      </colorScale>
    </cfRule>
  </conditionalFormatting>
  <conditionalFormatting sqref="G1:G1048576">
    <cfRule type="colorScale" priority="500">
      <colorScale>
        <cfvo type="min"/>
        <cfvo type="percentile" val="50"/>
        <cfvo type="max"/>
        <color rgb="FFF8696B"/>
        <color rgb="FFFFEB84"/>
        <color rgb="FF63BE7B"/>
      </colorScale>
    </cfRule>
  </conditionalFormatting>
  <conditionalFormatting sqref="BU1:BU1048576">
    <cfRule type="colorScale" priority="370">
      <colorScale>
        <cfvo type="min"/>
        <cfvo type="percentile" val="50"/>
        <cfvo type="max"/>
        <color rgb="FF63BE7B"/>
        <color rgb="FFFFEB84"/>
        <color rgb="FFF8696B"/>
      </colorScale>
    </cfRule>
  </conditionalFormatting>
  <conditionalFormatting sqref="AG1:AG1048576">
    <cfRule type="iconSet" priority="21">
      <iconSet iconSet="5Arrows">
        <cfvo type="percent" val="0"/>
        <cfvo type="percent" val="20"/>
        <cfvo type="percent" val="40"/>
        <cfvo type="percent" val="60"/>
        <cfvo type="percent" val="80"/>
      </iconSet>
    </cfRule>
    <cfRule type="colorScale" priority="382">
      <colorScale>
        <cfvo type="min"/>
        <cfvo type="percentile" val="50"/>
        <cfvo type="max"/>
        <color rgb="FFF8696B"/>
        <color rgb="FFFFEB84"/>
        <color rgb="FF63BE7B"/>
      </colorScale>
    </cfRule>
  </conditionalFormatting>
  <conditionalFormatting sqref="AJ1:AJ1048576">
    <cfRule type="iconSet" priority="22">
      <iconSet iconSet="5Arrows">
        <cfvo type="percent" val="0"/>
        <cfvo type="percent" val="20"/>
        <cfvo type="percent" val="40"/>
        <cfvo type="percent" val="60"/>
        <cfvo type="percent" val="80"/>
      </iconSet>
    </cfRule>
    <cfRule type="colorScale" priority="207">
      <colorScale>
        <cfvo type="min"/>
        <cfvo type="percentile" val="50"/>
        <cfvo type="max"/>
        <color rgb="FFF8696B"/>
        <color rgb="FFFFEB84"/>
        <color rgb="FF63BE7B"/>
      </colorScale>
    </cfRule>
  </conditionalFormatting>
  <conditionalFormatting sqref="I1:I1048576">
    <cfRule type="containsText" dxfId="8" priority="102" operator="containsText" text="Sem Data Final">
      <formula>NOT(ISERROR(SEARCH("Sem Data Final",I1)))</formula>
    </cfRule>
    <cfRule type="colorScale" priority="343">
      <colorScale>
        <cfvo type="min"/>
        <cfvo type="percentile" val="50"/>
        <cfvo type="max"/>
        <color rgb="FF63BE7B"/>
        <color rgb="FFFFEB84"/>
        <color rgb="FFF8696B"/>
      </colorScale>
    </cfRule>
  </conditionalFormatting>
  <conditionalFormatting sqref="AT1:AT1048576">
    <cfRule type="iconSet" priority="160">
      <iconSet iconSet="5Arrows">
        <cfvo type="percent" val="0"/>
        <cfvo type="percent" val="20"/>
        <cfvo type="percent" val="40"/>
        <cfvo type="percent" val="60"/>
        <cfvo type="percent" val="80"/>
      </iconSet>
    </cfRule>
    <cfRule type="colorScale" priority="385">
      <colorScale>
        <cfvo type="min"/>
        <cfvo type="percentile" val="50"/>
        <cfvo type="max"/>
        <color rgb="FFF8696B"/>
        <color rgb="FFFFEB84"/>
        <color rgb="FF63BE7B"/>
      </colorScale>
    </cfRule>
  </conditionalFormatting>
  <conditionalFormatting sqref="AS1:AS1048576">
    <cfRule type="iconSet" priority="172">
      <iconSet iconSet="5Arrows">
        <cfvo type="percent" val="0"/>
        <cfvo type="percent" val="20"/>
        <cfvo type="percent" val="40"/>
        <cfvo type="percent" val="60"/>
        <cfvo type="percent" val="80"/>
      </iconSet>
    </cfRule>
    <cfRule type="colorScale" priority="217">
      <colorScale>
        <cfvo type="min"/>
        <cfvo type="percentile" val="50"/>
        <cfvo type="max"/>
        <color rgb="FFF8696B"/>
        <color theme="8" tint="0.59999389629810485"/>
        <color theme="4" tint="-0.249977111117893"/>
      </colorScale>
    </cfRule>
    <cfRule type="dataBar" priority="218">
      <dataBar>
        <cfvo type="min"/>
        <cfvo type="max"/>
        <color rgb="FF008AEF"/>
      </dataBar>
      <extLst>
        <ext xmlns:x14="http://schemas.microsoft.com/office/spreadsheetml/2009/9/main" uri="{B025F937-C7B1-47D3-B67F-A62EFF666E3E}">
          <x14:id>{6D537749-53AB-41C5-A1F8-D46AFC65EE80}</x14:id>
        </ext>
      </extLst>
    </cfRule>
  </conditionalFormatting>
  <conditionalFormatting sqref="BC1:BC1048576">
    <cfRule type="colorScale" priority="316">
      <colorScale>
        <cfvo type="min"/>
        <cfvo type="percentile" val="50"/>
        <cfvo type="max"/>
        <color rgb="FFF8696B"/>
        <color rgb="FFFFEB84"/>
        <color rgb="FF63BE7B"/>
      </colorScale>
    </cfRule>
  </conditionalFormatting>
  <conditionalFormatting sqref="BE1:BE1048576">
    <cfRule type="iconSet" priority="166">
      <iconSet iconSet="5Arrows">
        <cfvo type="percent" val="0"/>
        <cfvo type="percent" val="20"/>
        <cfvo type="percent" val="40"/>
        <cfvo type="percent" val="60"/>
        <cfvo type="percent" val="80"/>
      </iconSet>
    </cfRule>
    <cfRule type="colorScale" priority="269">
      <colorScale>
        <cfvo type="num" val="-1E-4"/>
        <cfvo type="num" val="0"/>
        <cfvo type="max"/>
        <color rgb="FFF8696B"/>
        <color theme="7" tint="0.79998168889431442"/>
        <color rgb="FFEC7524"/>
      </colorScale>
    </cfRule>
  </conditionalFormatting>
  <conditionalFormatting sqref="BF1:BF1048576">
    <cfRule type="iconSet" priority="165">
      <iconSet iconSet="5Arrows">
        <cfvo type="percent" val="0"/>
        <cfvo type="percent" val="20"/>
        <cfvo type="percent" val="40"/>
        <cfvo type="percent" val="60"/>
        <cfvo type="percent" val="80"/>
      </iconSet>
    </cfRule>
    <cfRule type="colorScale" priority="268">
      <colorScale>
        <cfvo type="num" val="-1E-4"/>
        <cfvo type="num" val="0"/>
        <cfvo type="max"/>
        <color rgb="FFF8696B"/>
        <color theme="7" tint="0.79998168889431442"/>
        <color rgb="FFEC7524"/>
      </colorScale>
    </cfRule>
  </conditionalFormatting>
  <conditionalFormatting sqref="CT2:CT1048576">
    <cfRule type="colorScale" priority="445">
      <colorScale>
        <cfvo type="min"/>
        <cfvo type="percentile" val="50"/>
        <cfvo type="max"/>
        <color rgb="FFF8696B"/>
        <color rgb="FFFFEB84"/>
        <color rgb="FF63BE7B"/>
      </colorScale>
    </cfRule>
  </conditionalFormatting>
  <conditionalFormatting sqref="J1:J1048576">
    <cfRule type="colorScale" priority="398">
      <colorScale>
        <cfvo type="min"/>
        <cfvo type="percentile" val="50"/>
        <cfvo type="max"/>
        <color rgb="FF63BE7B"/>
        <color rgb="FFFFEB84"/>
        <color rgb="FFF8696B"/>
      </colorScale>
    </cfRule>
  </conditionalFormatting>
  <conditionalFormatting sqref="AO1:AO1048576">
    <cfRule type="colorScale" priority="231">
      <colorScale>
        <cfvo type="min"/>
        <cfvo type="percentile" val="50"/>
        <cfvo type="max"/>
        <color rgb="FFFFF2CC"/>
        <color rgb="FFF8CBAD"/>
        <color rgb="FFC65911"/>
      </colorScale>
    </cfRule>
  </conditionalFormatting>
  <conditionalFormatting sqref="CS1:CS1048576">
    <cfRule type="colorScale" priority="346">
      <colorScale>
        <cfvo type="min"/>
        <cfvo type="max"/>
        <color rgb="FF63BE7B"/>
        <color rgb="FFFFEF9C"/>
      </colorScale>
    </cfRule>
  </conditionalFormatting>
  <conditionalFormatting sqref="F1:F1048576">
    <cfRule type="colorScale" priority="344">
      <colorScale>
        <cfvo type="num" val="23"/>
        <cfvo type="num" val="28"/>
        <cfvo type="num" val="30"/>
        <color rgb="FF63BE7B"/>
        <color rgb="FFFFEB84"/>
        <color rgb="FFF8696B"/>
      </colorScale>
    </cfRule>
  </conditionalFormatting>
  <conditionalFormatting sqref="BR1:BR1048576">
    <cfRule type="colorScale" priority="261">
      <colorScale>
        <cfvo type="min"/>
        <cfvo type="percentile" val="50"/>
        <cfvo type="max"/>
        <color theme="5" tint="0.79998168889431442"/>
        <color theme="5" tint="0.39997558519241921"/>
        <color rgb="FFEC7524"/>
      </colorScale>
    </cfRule>
  </conditionalFormatting>
  <conditionalFormatting sqref="BP1:BP1048576">
    <cfRule type="colorScale" priority="262">
      <colorScale>
        <cfvo type="min"/>
        <cfvo type="percentile" val="50"/>
        <cfvo type="max"/>
        <color theme="5" tint="0.79998168889431442"/>
        <color theme="5" tint="0.39997558519241921"/>
        <color rgb="FFEC7524"/>
      </colorScale>
    </cfRule>
  </conditionalFormatting>
  <conditionalFormatting sqref="H1:H1048576">
    <cfRule type="colorScale" priority="308">
      <colorScale>
        <cfvo type="num" val="1.78"/>
        <cfvo type="percent" val="1.8499000000000001"/>
        <cfvo type="num" val="1.85"/>
        <color rgb="FFF8696B"/>
        <color rgb="FFFFEB84"/>
        <color rgb="FF63BE7B"/>
      </colorScale>
    </cfRule>
  </conditionalFormatting>
  <conditionalFormatting sqref="CT1">
    <cfRule type="colorScale" priority="306">
      <colorScale>
        <cfvo type="min"/>
        <cfvo type="percentile" val="50"/>
        <cfvo type="max"/>
        <color rgb="FFF8696B"/>
        <color rgb="FFFFEB84"/>
        <color rgb="FF63BE7B"/>
      </colorScale>
    </cfRule>
  </conditionalFormatting>
  <conditionalFormatting sqref="CT1">
    <cfRule type="colorScale" priority="305">
      <colorScale>
        <cfvo type="min"/>
        <cfvo type="percentile" val="50"/>
        <cfvo type="max"/>
        <color rgb="FFF8696B"/>
        <color rgb="FFFFEB84"/>
        <color rgb="FF63BE7B"/>
      </colorScale>
    </cfRule>
  </conditionalFormatting>
  <conditionalFormatting sqref="CT1">
    <cfRule type="colorScale" priority="304">
      <colorScale>
        <cfvo type="min"/>
        <cfvo type="percentile" val="50"/>
        <cfvo type="max"/>
        <color rgb="FF63BE7B"/>
        <color rgb="FFFFEB84"/>
        <color rgb="FFF8696B"/>
      </colorScale>
    </cfRule>
  </conditionalFormatting>
  <conditionalFormatting sqref="CT1">
    <cfRule type="colorScale" priority="303">
      <colorScale>
        <cfvo type="min"/>
        <cfvo type="percentile" val="50"/>
        <cfvo type="max"/>
        <color rgb="FFF8696B"/>
        <color rgb="FFFFEB84"/>
        <color rgb="FF63BE7B"/>
      </colorScale>
    </cfRule>
  </conditionalFormatting>
  <conditionalFormatting sqref="CT1">
    <cfRule type="colorScale" priority="302">
      <colorScale>
        <cfvo type="min"/>
        <cfvo type="percentile" val="50"/>
        <cfvo type="max"/>
        <color rgb="FF63BE7B"/>
        <color rgb="FFFFEB84"/>
        <color rgb="FFF8696B"/>
      </colorScale>
    </cfRule>
  </conditionalFormatting>
  <conditionalFormatting sqref="CT1">
    <cfRule type="colorScale" priority="301">
      <colorScale>
        <cfvo type="min"/>
        <cfvo type="percentile" val="50"/>
        <cfvo type="max"/>
        <color rgb="FFF8696B"/>
        <color rgb="FFFFEB84"/>
        <color rgb="FF63BE7B"/>
      </colorScale>
    </cfRule>
  </conditionalFormatting>
  <conditionalFormatting sqref="CM1:CM1048576">
    <cfRule type="colorScale" priority="144">
      <colorScale>
        <cfvo type="num" val="0"/>
        <cfvo type="num" val="1"/>
        <cfvo type="max"/>
        <color rgb="FFFEE2E3"/>
        <color rgb="FFFFAFAF"/>
        <color rgb="FFF8696B"/>
      </colorScale>
    </cfRule>
  </conditionalFormatting>
  <conditionalFormatting sqref="BG1:BG1048576">
    <cfRule type="iconSet" priority="164">
      <iconSet iconSet="5Arrows">
        <cfvo type="percent" val="0"/>
        <cfvo type="percent" val="20"/>
        <cfvo type="percent" val="40"/>
        <cfvo type="percent" val="60"/>
        <cfvo type="percent" val="80"/>
      </iconSet>
    </cfRule>
    <cfRule type="colorScale" priority="267">
      <colorScale>
        <cfvo type="num" val="-1E-4"/>
        <cfvo type="num" val="0"/>
        <cfvo type="max"/>
        <color rgb="FFF8696B"/>
        <color theme="7" tint="0.79998168889431442"/>
        <color rgb="FFEC7524"/>
      </colorScale>
    </cfRule>
  </conditionalFormatting>
  <conditionalFormatting sqref="BH1:BH1048576">
    <cfRule type="iconSet" priority="163">
      <iconSet iconSet="5Arrows">
        <cfvo type="percent" val="0"/>
        <cfvo type="percent" val="20"/>
        <cfvo type="percent" val="40"/>
        <cfvo type="percent" val="60"/>
        <cfvo type="percent" val="80"/>
      </iconSet>
    </cfRule>
    <cfRule type="colorScale" priority="266">
      <colorScale>
        <cfvo type="num" val="-1E-4"/>
        <cfvo type="num" val="0"/>
        <cfvo type="max"/>
        <color rgb="FFF8696B"/>
        <color rgb="FFFFF2CC"/>
        <color rgb="FFEC7524"/>
      </colorScale>
    </cfRule>
  </conditionalFormatting>
  <conditionalFormatting sqref="CT1:CT1048576">
    <cfRule type="colorScale" priority="220">
      <colorScale>
        <cfvo type="num" val="6.59"/>
        <cfvo type="num" val="6.99"/>
        <cfvo type="num" val="7"/>
        <color rgb="FFF8696B"/>
        <color rgb="FFFFEB84"/>
        <color rgb="FF63BE7B"/>
      </colorScale>
    </cfRule>
    <cfRule type="iconSet" priority="256">
      <iconSet iconSet="3Arrows">
        <cfvo type="percent" val="0"/>
        <cfvo type="num" val="6.7"/>
        <cfvo type="num" val="7"/>
      </iconSet>
    </cfRule>
  </conditionalFormatting>
  <conditionalFormatting sqref="BV1">
    <cfRule type="colorScale" priority="255">
      <colorScale>
        <cfvo type="min"/>
        <cfvo type="percentile" val="50"/>
        <cfvo type="max"/>
        <color rgb="FF63BE7B"/>
        <color rgb="FFFFEB84"/>
        <color rgb="FFF8696B"/>
      </colorScale>
    </cfRule>
  </conditionalFormatting>
  <conditionalFormatting sqref="BV1:BV1048576">
    <cfRule type="colorScale" priority="243">
      <colorScale>
        <cfvo type="min"/>
        <cfvo type="percentile" val="50"/>
        <cfvo type="max"/>
        <color rgb="FF63BE7B"/>
        <color rgb="FFFFEB84"/>
        <color rgb="FFF8696B"/>
      </colorScale>
    </cfRule>
  </conditionalFormatting>
  <conditionalFormatting sqref="AQ1">
    <cfRule type="colorScale" priority="242">
      <colorScale>
        <cfvo type="min"/>
        <cfvo type="percentile" val="50"/>
        <cfvo type="max"/>
        <color rgb="FFF8696B"/>
        <color rgb="FFFFEB84"/>
        <color rgb="FF63BE7B"/>
      </colorScale>
    </cfRule>
  </conditionalFormatting>
  <conditionalFormatting sqref="AQ1">
    <cfRule type="colorScale" priority="241">
      <colorScale>
        <cfvo type="min"/>
        <cfvo type="percentile" val="50"/>
        <cfvo type="max"/>
        <color rgb="FFF8696B"/>
        <color rgb="FFFFEB84"/>
        <color rgb="FF63BE7B"/>
      </colorScale>
    </cfRule>
  </conditionalFormatting>
  <conditionalFormatting sqref="AR1">
    <cfRule type="colorScale" priority="240">
      <colorScale>
        <cfvo type="min"/>
        <cfvo type="percentile" val="50"/>
        <cfvo type="max"/>
        <color rgb="FFF8696B"/>
        <color rgb="FFFFEB84"/>
        <color rgb="FF63BE7B"/>
      </colorScale>
    </cfRule>
  </conditionalFormatting>
  <conditionalFormatting sqref="AG1:AG1048576">
    <cfRule type="colorScale" priority="179">
      <colorScale>
        <cfvo type="min"/>
        <cfvo type="percentile" val="50"/>
        <cfvo type="max"/>
        <color rgb="FFF8696B"/>
        <color rgb="FFFFEB84"/>
        <color rgb="FF63BE7B"/>
      </colorScale>
    </cfRule>
  </conditionalFormatting>
  <conditionalFormatting sqref="AG1:AG1048576 AJ1:AJ1048576">
    <cfRule type="colorScale" priority="660640">
      <colorScale>
        <cfvo type="min"/>
        <cfvo type="percentile" val="50"/>
        <cfvo type="max"/>
        <color rgb="FFF8696B"/>
        <color rgb="FFFFEB84"/>
        <color rgb="FF63BE7B"/>
      </colorScale>
    </cfRule>
  </conditionalFormatting>
  <conditionalFormatting sqref="AJ1:AJ1048576">
    <cfRule type="colorScale" priority="178">
      <colorScale>
        <cfvo type="min"/>
        <cfvo type="percentile" val="50"/>
        <cfvo type="max"/>
        <color rgb="FFF8696B"/>
        <color rgb="FFFFEB84"/>
        <color rgb="FF63BE7B"/>
      </colorScale>
    </cfRule>
  </conditionalFormatting>
  <conditionalFormatting sqref="CD1:CD1048576">
    <cfRule type="dataBar" priority="43">
      <dataBar>
        <cfvo type="min"/>
        <cfvo type="max"/>
        <color rgb="FF638EC6"/>
      </dataBar>
      <extLst>
        <ext xmlns:x14="http://schemas.microsoft.com/office/spreadsheetml/2009/9/main" uri="{B025F937-C7B1-47D3-B67F-A62EFF666E3E}">
          <x14:id>{4BE9EE7D-CDDB-4B76-9FC0-2CD95ACCE319}</x14:id>
        </ext>
      </extLst>
    </cfRule>
    <cfRule type="colorScale" priority="157">
      <colorScale>
        <cfvo type="min"/>
        <cfvo type="percentile" val="50"/>
        <cfvo type="max"/>
        <color theme="8" tint="0.79998168889431442"/>
        <color theme="8" tint="0.59999389629810485"/>
        <color rgb="FF5A8AC6"/>
      </colorScale>
    </cfRule>
  </conditionalFormatting>
  <conditionalFormatting sqref="CE1:CE1048576">
    <cfRule type="dataBar" priority="42">
      <dataBar>
        <cfvo type="min"/>
        <cfvo type="max"/>
        <color rgb="FF638EC6"/>
      </dataBar>
      <extLst>
        <ext xmlns:x14="http://schemas.microsoft.com/office/spreadsheetml/2009/9/main" uri="{B025F937-C7B1-47D3-B67F-A62EFF666E3E}">
          <x14:id>{648AEEE9-13DF-48FA-A43C-E66A6020C798}</x14:id>
        </ext>
      </extLst>
    </cfRule>
    <cfRule type="colorScale" priority="156">
      <colorScale>
        <cfvo type="min"/>
        <cfvo type="percentile" val="50"/>
        <cfvo type="max"/>
        <color theme="8" tint="0.79998168889431442"/>
        <color theme="8" tint="0.59999389629810485"/>
        <color rgb="FF5A8AC6"/>
      </colorScale>
    </cfRule>
  </conditionalFormatting>
  <conditionalFormatting sqref="CF1:CF1048576">
    <cfRule type="dataBar" priority="40">
      <dataBar>
        <cfvo type="min"/>
        <cfvo type="max"/>
        <color rgb="FF63C384"/>
      </dataBar>
      <extLst>
        <ext xmlns:x14="http://schemas.microsoft.com/office/spreadsheetml/2009/9/main" uri="{B025F937-C7B1-47D3-B67F-A62EFF666E3E}">
          <x14:id>{57C7AC16-7E8C-445D-9290-782E5BFF0B76}</x14:id>
        </ext>
      </extLst>
    </cfRule>
    <cfRule type="colorScale" priority="41">
      <colorScale>
        <cfvo type="min"/>
        <cfvo type="percentile" val="50"/>
        <cfvo type="max"/>
        <color rgb="FFF8696B"/>
        <color rgb="FFFFEB84"/>
        <color rgb="FF63BE7B"/>
      </colorScale>
    </cfRule>
    <cfRule type="iconSet" priority="154">
      <iconSet iconSet="5Arrows">
        <cfvo type="percent" val="0"/>
        <cfvo type="percent" val="20"/>
        <cfvo type="percent" val="40"/>
        <cfvo type="percent" val="60"/>
        <cfvo type="percent" val="80"/>
      </iconSet>
    </cfRule>
    <cfRule type="colorScale" priority="155">
      <colorScale>
        <cfvo type="min"/>
        <cfvo type="percentile" val="50"/>
        <cfvo type="max"/>
        <color rgb="FFF8696B"/>
        <color rgb="FFFFEB84"/>
        <color rgb="FF63BE7B"/>
      </colorScale>
    </cfRule>
  </conditionalFormatting>
  <conditionalFormatting sqref="CG1:CG1048576">
    <cfRule type="dataBar" priority="39">
      <dataBar>
        <cfvo type="min"/>
        <cfvo type="max"/>
        <color rgb="FF63C384"/>
      </dataBar>
      <extLst>
        <ext xmlns:x14="http://schemas.microsoft.com/office/spreadsheetml/2009/9/main" uri="{B025F937-C7B1-47D3-B67F-A62EFF666E3E}">
          <x14:id>{50FFED53-08B6-497C-9D58-1364802B3BF2}</x14:id>
        </ext>
      </extLst>
    </cfRule>
    <cfRule type="colorScale" priority="152">
      <colorScale>
        <cfvo type="min"/>
        <cfvo type="percentile" val="50"/>
        <cfvo type="max"/>
        <color rgb="FFF8696B"/>
        <color rgb="FFFFEB84"/>
        <color rgb="FF63BE7B"/>
      </colorScale>
    </cfRule>
    <cfRule type="iconSet" priority="153">
      <iconSet iconSet="5Arrows">
        <cfvo type="percent" val="0"/>
        <cfvo type="percent" val="20"/>
        <cfvo type="percent" val="40"/>
        <cfvo type="percent" val="60"/>
        <cfvo type="percent" val="80"/>
      </iconSet>
    </cfRule>
  </conditionalFormatting>
  <conditionalFormatting sqref="CH1:CH1048576">
    <cfRule type="dataBar" priority="38">
      <dataBar>
        <cfvo type="min"/>
        <cfvo type="max"/>
        <color rgb="FFFF555A"/>
      </dataBar>
      <extLst>
        <ext xmlns:x14="http://schemas.microsoft.com/office/spreadsheetml/2009/9/main" uri="{B025F937-C7B1-47D3-B67F-A62EFF666E3E}">
          <x14:id>{F0FF4969-8518-4C18-9439-A6DB8733BA81}</x14:id>
        </ext>
      </extLst>
    </cfRule>
    <cfRule type="colorScale" priority="151">
      <colorScale>
        <cfvo type="min"/>
        <cfvo type="max"/>
        <color rgb="FFFCFCFF"/>
        <color rgb="FFF8696B"/>
      </colorScale>
    </cfRule>
  </conditionalFormatting>
  <conditionalFormatting sqref="CI1:CI1048576">
    <cfRule type="dataBar" priority="37">
      <dataBar>
        <cfvo type="min"/>
        <cfvo type="max"/>
        <color rgb="FFFF555A"/>
      </dataBar>
      <extLst>
        <ext xmlns:x14="http://schemas.microsoft.com/office/spreadsheetml/2009/9/main" uri="{B025F937-C7B1-47D3-B67F-A62EFF666E3E}">
          <x14:id>{04F2973A-18B8-4617-B93D-E979E0E0DA0A}</x14:id>
        </ext>
      </extLst>
    </cfRule>
    <cfRule type="colorScale" priority="150">
      <colorScale>
        <cfvo type="min"/>
        <cfvo type="max"/>
        <color rgb="FFFCFCFF"/>
        <color rgb="FFF8696B"/>
      </colorScale>
    </cfRule>
  </conditionalFormatting>
  <conditionalFormatting sqref="CJ1:CJ1048576">
    <cfRule type="colorScale" priority="149">
      <colorScale>
        <cfvo type="min"/>
        <cfvo type="percentile" val="50"/>
        <cfvo type="max"/>
        <color rgb="FFF8696B"/>
        <color rgb="FFFFEB84"/>
        <color rgb="FF63BE7B"/>
      </colorScale>
    </cfRule>
  </conditionalFormatting>
  <conditionalFormatting sqref="CK1:CK1048576">
    <cfRule type="colorScale" priority="147">
      <colorScale>
        <cfvo type="num" val="0"/>
        <cfvo type="num" val="1"/>
        <cfvo type="max"/>
        <color rgb="FFFEE2E3"/>
        <color rgb="FFFFAFAF"/>
        <color rgb="FFF8696B"/>
      </colorScale>
    </cfRule>
  </conditionalFormatting>
  <conditionalFormatting sqref="CL1:CL1048576">
    <cfRule type="colorScale" priority="145">
      <colorScale>
        <cfvo type="num" val="0.5"/>
        <cfvo type="max"/>
        <color rgb="FFFEE2E3"/>
        <color rgb="FFF8696B"/>
      </colorScale>
    </cfRule>
  </conditionalFormatting>
  <conditionalFormatting sqref="R1:R1048576">
    <cfRule type="iconSet" priority="137">
      <iconSet iconSet="5Arrows">
        <cfvo type="percent" val="0"/>
        <cfvo type="percent" val="20"/>
        <cfvo type="percent" val="40"/>
        <cfvo type="percent" val="60"/>
        <cfvo type="percent" val="80"/>
      </iconSet>
    </cfRule>
    <cfRule type="colorScale" priority="138">
      <colorScale>
        <cfvo type="min"/>
        <cfvo type="percentile" val="50"/>
        <cfvo type="max"/>
        <color rgb="FFF8696B"/>
        <color rgb="FFFFEB84"/>
        <color rgb="FF63BE7B"/>
      </colorScale>
    </cfRule>
  </conditionalFormatting>
  <conditionalFormatting sqref="Q1:Q1048576">
    <cfRule type="colorScale" priority="133">
      <colorScale>
        <cfvo type="min"/>
        <cfvo type="percentile" val="50"/>
        <cfvo type="max"/>
        <color rgb="FFF8696B"/>
        <color rgb="FFFFEB84"/>
        <color rgb="FF63BE7B"/>
      </colorScale>
    </cfRule>
    <cfRule type="iconSet" priority="136">
      <iconSet iconSet="5Arrows">
        <cfvo type="percent" val="0"/>
        <cfvo type="percent" val="20"/>
        <cfvo type="percent" val="40"/>
        <cfvo type="percent" val="60"/>
        <cfvo type="percent" val="80"/>
      </iconSet>
    </cfRule>
  </conditionalFormatting>
  <conditionalFormatting sqref="P1:P1048576">
    <cfRule type="colorScale" priority="134">
      <colorScale>
        <cfvo type="min"/>
        <cfvo type="percentile" val="50"/>
        <cfvo type="max"/>
        <color rgb="FFF8696B"/>
        <color rgb="FFFFEB84"/>
        <color rgb="FF63BE7B"/>
      </colorScale>
    </cfRule>
    <cfRule type="iconSet" priority="135">
      <iconSet iconSet="5Arrows">
        <cfvo type="percent" val="0"/>
        <cfvo type="percent" val="20"/>
        <cfvo type="percent" val="40"/>
        <cfvo type="percent" val="60"/>
        <cfvo type="percent" val="80"/>
      </iconSet>
    </cfRule>
  </conditionalFormatting>
  <conditionalFormatting sqref="L1:L1048576">
    <cfRule type="colorScale" priority="132">
      <colorScale>
        <cfvo type="min"/>
        <cfvo type="percentile" val="50"/>
        <cfvo type="max"/>
        <color rgb="FFF8696B"/>
        <color rgb="FFFFEB84"/>
        <color rgb="FF63BE7B"/>
      </colorScale>
    </cfRule>
  </conditionalFormatting>
  <conditionalFormatting sqref="M1:M1048576">
    <cfRule type="colorScale" priority="127">
      <colorScale>
        <cfvo type="min"/>
        <cfvo type="percentile" val="50"/>
        <cfvo type="max"/>
        <color theme="5" tint="0.79998168889431442"/>
        <color theme="5" tint="0.39997558519241921"/>
        <color theme="5" tint="-0.249977111117893"/>
      </colorScale>
    </cfRule>
    <cfRule type="iconSet" priority="130">
      <iconSet iconSet="3ArrowsGray">
        <cfvo type="percent" val="0"/>
        <cfvo type="percent" val="33"/>
        <cfvo type="percent" val="67"/>
      </iconSet>
    </cfRule>
  </conditionalFormatting>
  <conditionalFormatting sqref="N1:N1048576">
    <cfRule type="colorScale" priority="126">
      <colorScale>
        <cfvo type="min"/>
        <cfvo type="percentile" val="50"/>
        <cfvo type="max"/>
        <color theme="5" tint="-0.249977111117893"/>
        <color theme="5" tint="0.39997558519241921"/>
        <color theme="5" tint="0.79998168889431442"/>
      </colorScale>
    </cfRule>
    <cfRule type="iconSet" priority="129">
      <iconSet iconSet="3ArrowsGray">
        <cfvo type="percent" val="0"/>
        <cfvo type="percent" val="33"/>
        <cfvo type="percent" val="67"/>
      </iconSet>
    </cfRule>
  </conditionalFormatting>
  <conditionalFormatting sqref="O1:O1048576">
    <cfRule type="colorScale" priority="125">
      <colorScale>
        <cfvo type="min"/>
        <cfvo type="percentile" val="50"/>
        <cfvo type="max"/>
        <color theme="5" tint="0.79998168889431442"/>
        <color theme="5" tint="0.39997558519241921"/>
        <color theme="5" tint="-0.249977111117893"/>
      </colorScale>
    </cfRule>
    <cfRule type="iconSet" priority="128">
      <iconSet iconSet="3ArrowsGray">
        <cfvo type="percent" val="0"/>
        <cfvo type="percent" val="33"/>
        <cfvo type="percent" val="67"/>
      </iconSet>
    </cfRule>
  </conditionalFormatting>
  <conditionalFormatting sqref="AV1:AV1048576">
    <cfRule type="iconSet" priority="105">
      <iconSet iconSet="5Arrows">
        <cfvo type="percent" val="0"/>
        <cfvo type="percent" val="20"/>
        <cfvo type="percent" val="40"/>
        <cfvo type="percent" val="60"/>
        <cfvo type="percent" val="80"/>
      </iconSet>
    </cfRule>
    <cfRule type="colorScale" priority="108">
      <colorScale>
        <cfvo type="min"/>
        <cfvo type="percentile" val="50"/>
        <cfvo type="max"/>
        <color rgb="FFF8696B"/>
        <color rgb="FFFFEB84"/>
        <color rgb="FF63BE7B"/>
      </colorScale>
    </cfRule>
  </conditionalFormatting>
  <conditionalFormatting sqref="AW1:AW1048576">
    <cfRule type="iconSet" priority="104">
      <iconSet iconSet="5Arrows">
        <cfvo type="percent" val="0"/>
        <cfvo type="percent" val="20"/>
        <cfvo type="percent" val="40"/>
        <cfvo type="percent" val="60"/>
        <cfvo type="percent" val="80"/>
      </iconSet>
    </cfRule>
    <cfRule type="colorScale" priority="107">
      <colorScale>
        <cfvo type="min"/>
        <cfvo type="percentile" val="50"/>
        <cfvo type="max"/>
        <color rgb="FFF8696B"/>
        <color rgb="FFFFEB84"/>
        <color rgb="FF63BE7B"/>
      </colorScale>
    </cfRule>
  </conditionalFormatting>
  <conditionalFormatting sqref="BB1:BB1048576">
    <cfRule type="iconSet" priority="95">
      <iconSet iconSet="5Arrows">
        <cfvo type="percent" val="0"/>
        <cfvo type="percent" val="20"/>
        <cfvo type="percent" val="40"/>
        <cfvo type="percent" val="60"/>
        <cfvo type="percent" val="80"/>
      </iconSet>
    </cfRule>
    <cfRule type="colorScale" priority="96">
      <colorScale>
        <cfvo type="min"/>
        <cfvo type="percentile" val="50"/>
        <cfvo type="max"/>
        <color rgb="FFF8696B"/>
        <color rgb="FFFFEB84"/>
        <color rgb="FF63BE7B"/>
      </colorScale>
    </cfRule>
  </conditionalFormatting>
  <conditionalFormatting sqref="AX1:AX1048576">
    <cfRule type="colorScale" priority="92">
      <colorScale>
        <cfvo type="min"/>
        <cfvo type="percentile" val="50"/>
        <cfvo type="max"/>
        <color rgb="FF63BE7B"/>
        <color rgb="FFFFEB84"/>
        <color rgb="FFF8696B"/>
      </colorScale>
    </cfRule>
    <cfRule type="iconSet" priority="93">
      <iconSet iconSet="5Arrows" reverse="1">
        <cfvo type="percent" val="0"/>
        <cfvo type="percent" val="20"/>
        <cfvo type="percent" val="40"/>
        <cfvo type="percent" val="60"/>
        <cfvo type="percent" val="80"/>
      </iconSet>
    </cfRule>
  </conditionalFormatting>
  <conditionalFormatting sqref="CP1:CP1048576">
    <cfRule type="colorScale" priority="90">
      <colorScale>
        <cfvo type="min"/>
        <cfvo type="max"/>
        <color rgb="FFFFEF9C"/>
        <color rgb="FF63BE7B"/>
      </colorScale>
    </cfRule>
  </conditionalFormatting>
  <conditionalFormatting sqref="CQ1:CQ1048576">
    <cfRule type="colorScale" priority="89">
      <colorScale>
        <cfvo type="min"/>
        <cfvo type="max"/>
        <color rgb="FFFFEF9C"/>
        <color rgb="FF63BE7B"/>
      </colorScale>
    </cfRule>
  </conditionalFormatting>
  <conditionalFormatting sqref="CR1:CR1048576">
    <cfRule type="iconSet" priority="87">
      <iconSet iconSet="5Arrows">
        <cfvo type="percent" val="0"/>
        <cfvo type="percent" val="20"/>
        <cfvo type="percent" val="40"/>
        <cfvo type="percent" val="60"/>
        <cfvo type="percent" val="80"/>
      </iconSet>
    </cfRule>
    <cfRule type="colorScale" priority="88">
      <colorScale>
        <cfvo type="min"/>
        <cfvo type="percentile" val="50"/>
        <cfvo type="max"/>
        <color rgb="FFF8696B"/>
        <color rgb="FFFFEB84"/>
        <color rgb="FF63BE7B"/>
      </colorScale>
    </cfRule>
  </conditionalFormatting>
  <conditionalFormatting sqref="CN1:CN1048576">
    <cfRule type="colorScale" priority="86">
      <colorScale>
        <cfvo type="min"/>
        <cfvo type="percentile" val="50"/>
        <cfvo type="max"/>
        <color theme="8" tint="0.79998168889431442"/>
        <color theme="4" tint="0.59999389629810485"/>
        <color rgb="FF5799D5"/>
      </colorScale>
    </cfRule>
  </conditionalFormatting>
  <conditionalFormatting sqref="CO1:CO1048576">
    <cfRule type="colorScale" priority="85">
      <colorScale>
        <cfvo type="min"/>
        <cfvo type="max"/>
        <color rgb="FFFEE2E3"/>
        <color rgb="FFF8696B"/>
      </colorScale>
    </cfRule>
  </conditionalFormatting>
  <conditionalFormatting sqref="BW1:BW1048576">
    <cfRule type="dataBar" priority="36">
      <dataBar>
        <cfvo type="min"/>
        <cfvo type="max"/>
        <color rgb="FFFF555A"/>
      </dataBar>
      <extLst>
        <ext xmlns:x14="http://schemas.microsoft.com/office/spreadsheetml/2009/9/main" uri="{B025F937-C7B1-47D3-B67F-A62EFF666E3E}">
          <x14:id>{E9A7ED1D-7264-4B20-9282-DA6CAF4BC8E9}</x14:id>
        </ext>
      </extLst>
    </cfRule>
    <cfRule type="colorScale" priority="82">
      <colorScale>
        <cfvo type="min"/>
        <cfvo type="max"/>
        <color rgb="FFFCFCFF"/>
        <color rgb="FFF8696B"/>
      </colorScale>
    </cfRule>
  </conditionalFormatting>
  <conditionalFormatting sqref="BZ1:BZ1048576">
    <cfRule type="dataBar" priority="47">
      <dataBar>
        <cfvo type="min"/>
        <cfvo type="max"/>
        <color rgb="FF63C384"/>
      </dataBar>
      <extLst>
        <ext xmlns:x14="http://schemas.microsoft.com/office/spreadsheetml/2009/9/main" uri="{B025F937-C7B1-47D3-B67F-A62EFF666E3E}">
          <x14:id>{ADB8A499-A97D-49B2-B301-1329DDB18C80}</x14:id>
        </ext>
      </extLst>
    </cfRule>
    <cfRule type="iconSet" priority="76">
      <iconSet iconSet="5Arrows">
        <cfvo type="percent" val="0"/>
        <cfvo type="percent" val="20"/>
        <cfvo type="percent" val="40"/>
        <cfvo type="percent" val="60"/>
        <cfvo type="percent" val="80"/>
      </iconSet>
    </cfRule>
    <cfRule type="colorScale" priority="77">
      <colorScale>
        <cfvo type="min"/>
        <cfvo type="percentile" val="50"/>
        <cfvo type="max"/>
        <color rgb="FFF8696B"/>
        <color rgb="FFFFEB84"/>
        <color rgb="FF63BE7B"/>
      </colorScale>
    </cfRule>
  </conditionalFormatting>
  <conditionalFormatting sqref="CA1:CA1048576">
    <cfRule type="dataBar" priority="46">
      <dataBar>
        <cfvo type="min"/>
        <cfvo type="max"/>
        <color rgb="FF63C384"/>
      </dataBar>
      <extLst>
        <ext xmlns:x14="http://schemas.microsoft.com/office/spreadsheetml/2009/9/main" uri="{B025F937-C7B1-47D3-B67F-A62EFF666E3E}">
          <x14:id>{F852551D-5544-4F19-A7FE-F7475D677C53}</x14:id>
        </ext>
      </extLst>
    </cfRule>
    <cfRule type="iconSet" priority="74">
      <iconSet iconSet="5Arrows">
        <cfvo type="percent" val="0"/>
        <cfvo type="percent" val="20"/>
        <cfvo type="percent" val="40"/>
        <cfvo type="percent" val="60"/>
        <cfvo type="percent" val="80"/>
      </iconSet>
    </cfRule>
    <cfRule type="colorScale" priority="75">
      <colorScale>
        <cfvo type="min"/>
        <cfvo type="percentile" val="50"/>
        <cfvo type="max"/>
        <color rgb="FFF8696B"/>
        <color rgb="FFFFEB84"/>
        <color rgb="FF63BE7B"/>
      </colorScale>
    </cfRule>
  </conditionalFormatting>
  <conditionalFormatting sqref="CB1:CB1048576">
    <cfRule type="dataBar" priority="45">
      <dataBar>
        <cfvo type="min"/>
        <cfvo type="max"/>
        <color rgb="FFFF555A"/>
      </dataBar>
      <extLst>
        <ext xmlns:x14="http://schemas.microsoft.com/office/spreadsheetml/2009/9/main" uri="{B025F937-C7B1-47D3-B67F-A62EFF666E3E}">
          <x14:id>{702A60C2-3457-4868-B22C-49D3CEF76C48}</x14:id>
        </ext>
      </extLst>
    </cfRule>
    <cfRule type="iconSet" priority="72">
      <iconSet iconSet="5Arrows" reverse="1">
        <cfvo type="percent" val="0"/>
        <cfvo type="percent" val="20"/>
        <cfvo type="percent" val="40"/>
        <cfvo type="percent" val="60"/>
        <cfvo type="percent" val="80"/>
      </iconSet>
    </cfRule>
    <cfRule type="colorScale" priority="73">
      <colorScale>
        <cfvo type="min"/>
        <cfvo type="max"/>
        <color rgb="FFFCFCFF"/>
        <color rgb="FFF8696B"/>
      </colorScale>
    </cfRule>
  </conditionalFormatting>
  <conditionalFormatting sqref="CC1:CC1048576">
    <cfRule type="dataBar" priority="44">
      <dataBar>
        <cfvo type="min"/>
        <cfvo type="max"/>
        <color rgb="FFFF555A"/>
      </dataBar>
      <extLst>
        <ext xmlns:x14="http://schemas.microsoft.com/office/spreadsheetml/2009/9/main" uri="{B025F937-C7B1-47D3-B67F-A62EFF666E3E}">
          <x14:id>{9E7037D8-2F78-49E1-8FD3-C774A01DBAF5}</x14:id>
        </ext>
      </extLst>
    </cfRule>
    <cfRule type="iconSet" priority="70">
      <iconSet iconSet="5ArrowsGray" reverse="1">
        <cfvo type="percent" val="0"/>
        <cfvo type="percent" val="20"/>
        <cfvo type="percent" val="40"/>
        <cfvo type="percent" val="60"/>
        <cfvo type="percent" val="80"/>
      </iconSet>
    </cfRule>
    <cfRule type="colorScale" priority="71">
      <colorScale>
        <cfvo type="min"/>
        <cfvo type="max"/>
        <color rgb="FFFCFCFF"/>
        <color rgb="FFF8696B"/>
      </colorScale>
    </cfRule>
  </conditionalFormatting>
  <conditionalFormatting sqref="AP1:AP1048576">
    <cfRule type="colorScale" priority="69">
      <colorScale>
        <cfvo type="min"/>
        <cfvo type="percentile" val="50"/>
        <cfvo type="max"/>
        <color rgb="FFFFF2CC"/>
        <color rgb="FFF8CBAD"/>
        <color rgb="FFC65911"/>
      </colorScale>
    </cfRule>
  </conditionalFormatting>
  <conditionalFormatting sqref="AN1:AN1048576">
    <cfRule type="iconSet" priority="66">
      <iconSet iconSet="5Arrows">
        <cfvo type="percent" val="0"/>
        <cfvo type="percent" val="20"/>
        <cfvo type="percent" val="40"/>
        <cfvo type="percent" val="60"/>
        <cfvo type="percent" val="80"/>
      </iconSet>
    </cfRule>
    <cfRule type="colorScale" priority="67">
      <colorScale>
        <cfvo type="min"/>
        <cfvo type="percentile" val="50"/>
        <cfvo type="max"/>
        <color rgb="FFFFF2CC"/>
        <color rgb="FFF8CBAD"/>
        <color rgb="FFC65911"/>
      </colorScale>
    </cfRule>
  </conditionalFormatting>
  <conditionalFormatting sqref="V1:V1048576">
    <cfRule type="iconSet" priority="35">
      <iconSet iconSet="5Arrows">
        <cfvo type="percent" val="0"/>
        <cfvo type="percent" val="20"/>
        <cfvo type="percent" val="40"/>
        <cfvo type="percent" val="60"/>
        <cfvo type="percent" val="80"/>
      </iconSet>
    </cfRule>
    <cfRule type="colorScale" priority="65">
      <colorScale>
        <cfvo type="min"/>
        <cfvo type="percentile" val="50"/>
        <cfvo type="max"/>
        <color rgb="FFF8696B"/>
        <color rgb="FFFFEB84"/>
        <color rgb="FF63BE7B"/>
      </colorScale>
    </cfRule>
  </conditionalFormatting>
  <conditionalFormatting sqref="X1:X1048576">
    <cfRule type="colorScale" priority="64">
      <colorScale>
        <cfvo type="min"/>
        <cfvo type="max"/>
        <color rgb="FFC9E9D1"/>
        <color rgb="FF63BE7B"/>
      </colorScale>
    </cfRule>
  </conditionalFormatting>
  <conditionalFormatting sqref="Y1:Y1048576">
    <cfRule type="colorScale" priority="62">
      <colorScale>
        <cfvo type="min"/>
        <cfvo type="max"/>
        <color rgb="FFC9E9D1"/>
        <color rgb="FF63BE7B"/>
      </colorScale>
    </cfRule>
  </conditionalFormatting>
  <conditionalFormatting sqref="Z1:Z1048576">
    <cfRule type="colorScale" priority="61">
      <colorScale>
        <cfvo type="min"/>
        <cfvo type="percentile" val="50"/>
        <cfvo type="max"/>
        <color rgb="FFF8696B"/>
        <color rgb="FFC9E9D1"/>
        <color rgb="FF00B0F0"/>
      </colorScale>
    </cfRule>
  </conditionalFormatting>
  <conditionalFormatting sqref="AA1:AA1048576">
    <cfRule type="colorScale" priority="60">
      <colorScale>
        <cfvo type="min"/>
        <cfvo type="percentile" val="50"/>
        <cfvo type="max"/>
        <color rgb="FFF8696B"/>
        <color rgb="FFC9E9D1"/>
        <color rgb="FF00B0F0"/>
      </colorScale>
    </cfRule>
  </conditionalFormatting>
  <conditionalFormatting sqref="AB1:AB1048576">
    <cfRule type="colorScale" priority="59">
      <colorScale>
        <cfvo type="min"/>
        <cfvo type="percentile" val="50"/>
        <cfvo type="max"/>
        <color rgb="FFF8696B"/>
        <color rgb="FFC9E9D1"/>
        <color rgb="FF00B0F0"/>
      </colorScale>
    </cfRule>
  </conditionalFormatting>
  <conditionalFormatting sqref="AC1:AC1048576">
    <cfRule type="colorScale" priority="58">
      <colorScale>
        <cfvo type="min"/>
        <cfvo type="percentile" val="50"/>
        <cfvo type="max"/>
        <color theme="7" tint="0.79998168889431442"/>
        <color rgb="FFC9E9D1"/>
        <color rgb="FF63BE7B"/>
      </colorScale>
    </cfRule>
  </conditionalFormatting>
  <conditionalFormatting sqref="AD1:AD1048576">
    <cfRule type="colorScale" priority="57">
      <colorScale>
        <cfvo type="min"/>
        <cfvo type="percentile" val="50"/>
        <cfvo type="max"/>
        <color rgb="FFFFF2CC"/>
        <color rgb="FFC9E9D1"/>
        <color rgb="FF63BE7B"/>
      </colorScale>
    </cfRule>
  </conditionalFormatting>
  <conditionalFormatting sqref="BO1:BO1048576">
    <cfRule type="iconSet" priority="55">
      <iconSet iconSet="5Arrows">
        <cfvo type="percent" val="0"/>
        <cfvo type="percent" val="20"/>
        <cfvo type="percent" val="40"/>
        <cfvo type="percent" val="60"/>
        <cfvo type="percent" val="80"/>
      </iconSet>
    </cfRule>
    <cfRule type="colorScale" priority="56">
      <colorScale>
        <cfvo type="num" val="-1.0000000000000001E-5"/>
        <cfvo type="num" val="0"/>
        <cfvo type="max"/>
        <color rgb="FFF8696B"/>
        <color rgb="FFFFF2CC"/>
        <color rgb="FFEC7524"/>
      </colorScale>
    </cfRule>
  </conditionalFormatting>
  <conditionalFormatting sqref="BT1:BT1048576">
    <cfRule type="colorScale" priority="54">
      <colorScale>
        <cfvo type="min"/>
        <cfvo type="percentile" val="50"/>
        <cfvo type="max"/>
        <color rgb="FFF8696B"/>
        <color rgb="FFFFF2CC"/>
        <color rgb="FFEC7524"/>
      </colorScale>
    </cfRule>
  </conditionalFormatting>
  <conditionalFormatting sqref="BN1:BN1048576">
    <cfRule type="iconSet" priority="52">
      <iconSet iconSet="5Arrows">
        <cfvo type="percent" val="0"/>
        <cfvo type="percent" val="20"/>
        <cfvo type="percent" val="40"/>
        <cfvo type="percent" val="60"/>
        <cfvo type="percent" val="80"/>
      </iconSet>
    </cfRule>
    <cfRule type="colorScale" priority="53">
      <colorScale>
        <cfvo type="num" val="-1.0000000000000001E-5"/>
        <cfvo type="num" val="0"/>
        <cfvo type="max"/>
        <color rgb="FFF8696B"/>
        <color rgb="FFFFF2CC"/>
        <color rgb="FFEC7524"/>
      </colorScale>
    </cfRule>
  </conditionalFormatting>
  <conditionalFormatting sqref="BQ1:BQ1048576">
    <cfRule type="dataBar" priority="51">
      <dataBar>
        <cfvo type="min"/>
        <cfvo type="max"/>
        <color theme="5" tint="-0.249977111117893"/>
      </dataBar>
      <extLst>
        <ext xmlns:x14="http://schemas.microsoft.com/office/spreadsheetml/2009/9/main" uri="{B025F937-C7B1-47D3-B67F-A62EFF666E3E}">
          <x14:id>{CA2A2EB0-01C3-41EB-84DB-6FDA66D2A7D6}</x14:id>
        </ext>
      </extLst>
    </cfRule>
  </conditionalFormatting>
  <conditionalFormatting sqref="BS1:BS1048576">
    <cfRule type="dataBar" priority="50">
      <dataBar>
        <cfvo type="min"/>
        <cfvo type="max"/>
        <color rgb="FFEC7524"/>
      </dataBar>
      <extLst>
        <ext xmlns:x14="http://schemas.microsoft.com/office/spreadsheetml/2009/9/main" uri="{B025F937-C7B1-47D3-B67F-A62EFF666E3E}">
          <x14:id>{E05C20E0-DEA5-4297-A5E0-AD81D5F854F9}</x14:id>
        </ext>
      </extLst>
    </cfRule>
  </conditionalFormatting>
  <conditionalFormatting sqref="J1:J1048576">
    <cfRule type="colorScale" priority="2373642">
      <colorScale>
        <cfvo type="min"/>
        <cfvo type="percentile" val="50"/>
        <cfvo type="max"/>
        <color rgb="FFF8696B"/>
        <color rgb="FFFFEB84"/>
        <color rgb="FF63BE7B"/>
      </colorScale>
    </cfRule>
  </conditionalFormatting>
  <conditionalFormatting sqref="BX1:BX1048576">
    <cfRule type="dataBar" priority="49">
      <dataBar>
        <cfvo type="min"/>
        <cfvo type="max"/>
        <color rgb="FFA20000"/>
      </dataBar>
      <extLst>
        <ext xmlns:x14="http://schemas.microsoft.com/office/spreadsheetml/2009/9/main" uri="{B025F937-C7B1-47D3-B67F-A62EFF666E3E}">
          <x14:id>{912F4324-9B94-4CBC-97BC-6E0664AE96AE}</x14:id>
        </ext>
      </extLst>
    </cfRule>
  </conditionalFormatting>
  <conditionalFormatting sqref="BY1:BY1048576">
    <cfRule type="dataBar" priority="48">
      <dataBar>
        <cfvo type="min"/>
        <cfvo type="max"/>
        <color rgb="FFA20000"/>
      </dataBar>
      <extLst>
        <ext xmlns:x14="http://schemas.microsoft.com/office/spreadsheetml/2009/9/main" uri="{B025F937-C7B1-47D3-B67F-A62EFF666E3E}">
          <x14:id>{0D56D725-C2A4-47B5-A774-7D791B524F90}</x14:id>
        </ext>
      </extLst>
    </cfRule>
  </conditionalFormatting>
  <conditionalFormatting sqref="T1:T1048576">
    <cfRule type="iconSet" priority="31">
      <iconSet iconSet="5ArrowsGray" reverse="1">
        <cfvo type="percent" val="0"/>
        <cfvo type="percent" val="20"/>
        <cfvo type="percent" val="40"/>
        <cfvo type="percent" val="60"/>
        <cfvo type="percent" val="80"/>
      </iconSet>
    </cfRule>
    <cfRule type="colorScale" priority="32">
      <colorScale>
        <cfvo type="min"/>
        <cfvo type="max"/>
        <color rgb="FFFCFCFF"/>
        <color rgb="FFF8696B"/>
      </colorScale>
    </cfRule>
  </conditionalFormatting>
  <conditionalFormatting sqref="AE1:AE1048576">
    <cfRule type="dataBar" priority="30">
      <dataBar>
        <cfvo type="min"/>
        <cfvo type="max"/>
        <color rgb="FF002060"/>
      </dataBar>
      <extLst>
        <ext xmlns:x14="http://schemas.microsoft.com/office/spreadsheetml/2009/9/main" uri="{B025F937-C7B1-47D3-B67F-A62EFF666E3E}">
          <x14:id>{4F910DED-6D7C-4C3F-8253-4517D08E309D}</x14:id>
        </ext>
      </extLst>
    </cfRule>
  </conditionalFormatting>
  <conditionalFormatting sqref="AF1:AF1048576">
    <cfRule type="dataBar" priority="29">
      <dataBar>
        <cfvo type="min"/>
        <cfvo type="max"/>
        <color rgb="FF002060"/>
      </dataBar>
      <extLst>
        <ext xmlns:x14="http://schemas.microsoft.com/office/spreadsheetml/2009/9/main" uri="{B025F937-C7B1-47D3-B67F-A62EFF666E3E}">
          <x14:id>{15B415C8-E7B6-42CD-A3C4-5E838EB09ED0}</x14:id>
        </ext>
      </extLst>
    </cfRule>
  </conditionalFormatting>
  <conditionalFormatting sqref="AH1:AH1048576">
    <cfRule type="dataBar" priority="28">
      <dataBar>
        <cfvo type="min"/>
        <cfvo type="max"/>
        <color rgb="FF002060"/>
      </dataBar>
      <extLst>
        <ext xmlns:x14="http://schemas.microsoft.com/office/spreadsheetml/2009/9/main" uri="{B025F937-C7B1-47D3-B67F-A62EFF666E3E}">
          <x14:id>{800466AA-7BDD-4A5D-8839-DD6488EDE55E}</x14:id>
        </ext>
      </extLst>
    </cfRule>
  </conditionalFormatting>
  <conditionalFormatting sqref="AI1:AI1048576">
    <cfRule type="dataBar" priority="27">
      <dataBar>
        <cfvo type="min"/>
        <cfvo type="max"/>
        <color rgb="FF002060"/>
      </dataBar>
      <extLst>
        <ext xmlns:x14="http://schemas.microsoft.com/office/spreadsheetml/2009/9/main" uri="{B025F937-C7B1-47D3-B67F-A62EFF666E3E}">
          <x14:id>{0E6C988F-4E7D-4CA0-A9F9-ABC63C9AE63C}</x14:id>
        </ext>
      </extLst>
    </cfRule>
  </conditionalFormatting>
  <conditionalFormatting sqref="AK1:AK1048576">
    <cfRule type="dataBar" priority="26">
      <dataBar>
        <cfvo type="min"/>
        <cfvo type="max"/>
        <color rgb="FF002060"/>
      </dataBar>
      <extLst>
        <ext xmlns:x14="http://schemas.microsoft.com/office/spreadsheetml/2009/9/main" uri="{B025F937-C7B1-47D3-B67F-A62EFF666E3E}">
          <x14:id>{CB43718A-2809-4FC7-BFCE-4AED96A45411}</x14:id>
        </ext>
      </extLst>
    </cfRule>
  </conditionalFormatting>
  <conditionalFormatting sqref="AL1:AL1048576">
    <cfRule type="dataBar" priority="25">
      <dataBar>
        <cfvo type="min"/>
        <cfvo type="max"/>
        <color rgb="FF002060"/>
      </dataBar>
      <extLst>
        <ext xmlns:x14="http://schemas.microsoft.com/office/spreadsheetml/2009/9/main" uri="{B025F937-C7B1-47D3-B67F-A62EFF666E3E}">
          <x14:id>{FA45AF2F-2F3C-4EA9-8131-C92A7D1766A3}</x14:id>
        </ext>
      </extLst>
    </cfRule>
  </conditionalFormatting>
  <conditionalFormatting sqref="AM1:AM1048576">
    <cfRule type="iconSet" priority="23">
      <iconSet iconSet="5Arrows">
        <cfvo type="percent" val="0"/>
        <cfvo type="percent" val="20"/>
        <cfvo type="percent" val="40"/>
        <cfvo type="percent" val="60"/>
        <cfvo type="percent" val="80"/>
      </iconSet>
    </cfRule>
    <cfRule type="colorScale" priority="24">
      <colorScale>
        <cfvo type="min"/>
        <cfvo type="percentile" val="50"/>
        <cfvo type="max"/>
        <color rgb="FFF8696B"/>
        <color rgb="FFFFEB84"/>
        <color rgb="FF63BE7B"/>
      </colorScale>
    </cfRule>
  </conditionalFormatting>
  <conditionalFormatting sqref="AZ1:AZ1048576">
    <cfRule type="dataBar" priority="18">
      <dataBar>
        <cfvo type="min"/>
        <cfvo type="max"/>
        <color theme="5" tint="-0.249977111117893"/>
      </dataBar>
      <extLst>
        <ext xmlns:x14="http://schemas.microsoft.com/office/spreadsheetml/2009/9/main" uri="{B025F937-C7B1-47D3-B67F-A62EFF666E3E}">
          <x14:id>{41BD7D4E-AFAC-44D4-BF36-D5BC3FE249AF}</x14:id>
        </ext>
      </extLst>
    </cfRule>
  </conditionalFormatting>
  <conditionalFormatting sqref="BA1:BA1048576">
    <cfRule type="dataBar" priority="17">
      <dataBar>
        <cfvo type="min"/>
        <cfvo type="max"/>
        <color theme="5" tint="-0.249977111117893"/>
      </dataBar>
      <extLst>
        <ext xmlns:x14="http://schemas.microsoft.com/office/spreadsheetml/2009/9/main" uri="{B025F937-C7B1-47D3-B67F-A62EFF666E3E}">
          <x14:id>{293C16C3-7FC3-4F89-91F6-C262778D5E64}</x14:id>
        </ext>
      </extLst>
    </cfRule>
  </conditionalFormatting>
  <conditionalFormatting sqref="AU1:AU1048576">
    <cfRule type="dataBar" priority="15">
      <dataBar>
        <cfvo type="min"/>
        <cfvo type="max"/>
        <color rgb="FFC00000"/>
      </dataBar>
      <extLst>
        <ext xmlns:x14="http://schemas.microsoft.com/office/spreadsheetml/2009/9/main" uri="{B025F937-C7B1-47D3-B67F-A62EFF666E3E}">
          <x14:id>{8B8008EE-00FF-427A-94CD-9A9CB84EDBFB}</x14:id>
        </ext>
      </extLst>
    </cfRule>
  </conditionalFormatting>
  <conditionalFormatting sqref="AY1:AY1048576">
    <cfRule type="iconSet" priority="11">
      <iconSet iconSet="5Arrows" reverse="1">
        <cfvo type="percent" val="0"/>
        <cfvo type="percent" val="20"/>
        <cfvo type="percent" val="40"/>
        <cfvo type="percent" val="60"/>
        <cfvo type="percent" val="80"/>
      </iconSet>
    </cfRule>
    <cfRule type="colorScale" priority="12">
      <colorScale>
        <cfvo type="min"/>
        <cfvo type="percentile" val="50"/>
        <cfvo type="max"/>
        <color rgb="FF63BE7B"/>
        <color rgb="FFFFEB84"/>
        <color rgb="FFF8696B"/>
      </colorScale>
    </cfRule>
  </conditionalFormatting>
  <conditionalFormatting sqref="BI1:BI1048576">
    <cfRule type="colorScale" priority="10">
      <colorScale>
        <cfvo type="min"/>
        <cfvo type="max"/>
        <color rgb="FFFCFCFF"/>
        <color rgb="FFF8696B"/>
      </colorScale>
    </cfRule>
  </conditionalFormatting>
  <conditionalFormatting sqref="BJ1:BJ1048576">
    <cfRule type="colorScale" priority="9">
      <colorScale>
        <cfvo type="min"/>
        <cfvo type="max"/>
        <color rgb="FFFCFCFF"/>
        <color rgb="FFF8696B"/>
      </colorScale>
    </cfRule>
  </conditionalFormatting>
  <conditionalFormatting sqref="BK1:BK1048576">
    <cfRule type="iconSet" priority="2">
      <iconSet iconSet="5Arrows">
        <cfvo type="percent" val="0"/>
        <cfvo type="percent" val="20"/>
        <cfvo type="percent" val="40"/>
        <cfvo type="percent" val="60"/>
        <cfvo type="percent" val="80"/>
      </iconSet>
    </cfRule>
    <cfRule type="colorScale" priority="8">
      <colorScale>
        <cfvo type="min"/>
        <cfvo type="max"/>
        <color theme="0" tint="-4.9989318521683403E-2"/>
        <color rgb="FF63BE7B"/>
      </colorScale>
    </cfRule>
  </conditionalFormatting>
  <conditionalFormatting sqref="BD1:BD1048576">
    <cfRule type="colorScale" priority="7">
      <colorScale>
        <cfvo type="min"/>
        <cfvo type="percentile" val="50"/>
        <cfvo type="max"/>
        <color rgb="FFF8696B"/>
        <color rgb="FFFFEB84"/>
        <color rgb="FF63BE7B"/>
      </colorScale>
    </cfRule>
  </conditionalFormatting>
  <conditionalFormatting sqref="BL1:BL1048576">
    <cfRule type="iconSet" priority="1">
      <iconSet iconSet="5Arrows">
        <cfvo type="percent" val="0"/>
        <cfvo type="percent" val="20"/>
        <cfvo type="percent" val="40"/>
        <cfvo type="percent" val="60"/>
        <cfvo type="percent" val="80"/>
      </iconSet>
    </cfRule>
    <cfRule type="colorScale" priority="5">
      <colorScale>
        <cfvo type="min"/>
        <cfvo type="max"/>
        <color rgb="FFFCFCFF"/>
        <color rgb="FF63BE7B"/>
      </colorScale>
    </cfRule>
  </conditionalFormatting>
  <conditionalFormatting sqref="BM1:BM1048576">
    <cfRule type="iconSet" priority="3">
      <iconSet iconSet="5ArrowsGray" reverse="1">
        <cfvo type="percent" val="0"/>
        <cfvo type="percent" val="20"/>
        <cfvo type="percent" val="40"/>
        <cfvo type="percent" val="60"/>
        <cfvo type="percent" val="80"/>
      </iconSet>
    </cfRule>
    <cfRule type="colorScale" priority="4">
      <colorScale>
        <cfvo type="min"/>
        <cfvo type="max"/>
        <color rgb="FFF8696B"/>
        <color rgb="FFFCFCFF"/>
      </colorScale>
    </cfRule>
  </conditionalFormatting>
  <conditionalFormatting sqref="BV12:BV1048576 BV1">
    <cfRule type="colorScale" priority="2843828">
      <colorScale>
        <cfvo type="min"/>
        <cfvo type="percentile" val="50"/>
        <cfvo type="max"/>
        <color rgb="FFF8696B"/>
        <color rgb="FFFFEB84"/>
        <color rgb="FF63BE7B"/>
      </colorScale>
    </cfRule>
  </conditionalFormatting>
  <conditionalFormatting sqref="W2:W11">
    <cfRule type="colorScale" priority="2843831">
      <colorScale>
        <cfvo type="num" val="-9.9999999999999998E-13"/>
        <cfvo type="num" val="0"/>
        <cfvo type="max"/>
        <color rgb="FFF8696B"/>
        <color rgb="FFFFEB84"/>
        <color theme="9" tint="0.39997558519241921"/>
      </colorScale>
    </cfRule>
  </conditionalFormatting>
  <conditionalFormatting sqref="AJ2:AJ11">
    <cfRule type="colorScale" priority="2843832">
      <colorScale>
        <cfvo type="min"/>
        <cfvo type="percentile" val="50"/>
        <cfvo type="max"/>
        <color rgb="FFF8696B"/>
        <color rgb="FFFFEB84"/>
        <color rgb="FF63BE7B"/>
      </colorScale>
    </cfRule>
  </conditionalFormatting>
  <conditionalFormatting sqref="CT2:CT11">
    <cfRule type="colorScale" priority="2843833">
      <colorScale>
        <cfvo type="min"/>
        <cfvo type="percentile" val="50"/>
        <cfvo type="max"/>
        <color rgb="FFF8696B"/>
        <color rgb="FFFFEB84"/>
        <color rgb="FF63BE7B"/>
      </colorScale>
    </cfRule>
  </conditionalFormatting>
  <conditionalFormatting sqref="BV2:BV11">
    <cfRule type="colorScale" priority="2843834">
      <colorScale>
        <cfvo type="min"/>
        <cfvo type="percentile" val="50"/>
        <cfvo type="max"/>
        <color rgb="FFF8696B"/>
        <color rgb="FFFFEB84"/>
        <color rgb="FF63BE7B"/>
      </colorScale>
    </cfRule>
  </conditionalFormatting>
  <conditionalFormatting sqref="BV2:BV11">
    <cfRule type="colorScale" priority="2843835">
      <colorScale>
        <cfvo type="min"/>
        <cfvo type="percent" val="50"/>
        <cfvo type="max"/>
        <color theme="0" tint="0.79998168889431442"/>
        <color theme="9" tint="0.59999389629810485"/>
        <color rgb="FF63BE7B"/>
      </colorScale>
    </cfRule>
    <cfRule type="colorScale" priority="2843836">
      <colorScale>
        <cfvo type="min"/>
        <cfvo type="max"/>
        <color rgb="FFFFEF9C"/>
        <color rgb="FF63BE7B"/>
      </colorScale>
    </cfRule>
  </conditionalFormatting>
  <conditionalFormatting sqref="BV2:BV11">
    <cfRule type="colorScale" priority="2843837">
      <colorScale>
        <cfvo type="min"/>
        <cfvo type="percentile" val="50"/>
        <cfvo type="max"/>
        <color theme="5" tint="0.79998168889431442"/>
        <color theme="5" tint="0.39997558519241921"/>
        <color rgb="FFEC7524"/>
      </colorScale>
    </cfRule>
    <cfRule type="colorScale" priority="2843838">
      <colorScale>
        <cfvo type="min"/>
        <cfvo type="percentile" val="50"/>
        <cfvo type="max"/>
        <color rgb="FFF8696B"/>
        <color rgb="FFFFEB84"/>
        <color rgb="FF63BE7B"/>
      </colorScale>
    </cfRule>
    <cfRule type="colorScale" priority="2843839">
      <colorScale>
        <cfvo type="min"/>
        <cfvo type="max"/>
        <color rgb="FFFCFCFF"/>
        <color rgb="FF63BE7B"/>
      </colorScale>
    </cfRule>
  </conditionalFormatting>
  <conditionalFormatting sqref="BV2:BV11">
    <cfRule type="colorScale" priority="2843840">
      <colorScale>
        <cfvo type="min"/>
        <cfvo type="percentile" val="50"/>
        <cfvo type="max"/>
        <color rgb="FF63BE7B"/>
        <color rgb="FFFFEB84"/>
        <color rgb="FFF8696B"/>
      </colorScale>
    </cfRule>
  </conditionalFormatting>
  <conditionalFormatting sqref="AG2:AG11">
    <cfRule type="colorScale" priority="2843841">
      <colorScale>
        <cfvo type="min"/>
        <cfvo type="percentile" val="50"/>
        <cfvo type="max"/>
        <color rgb="FFF8696B"/>
        <color rgb="FFFFEB84"/>
        <color rgb="FF63BE7B"/>
      </colorScale>
    </cfRule>
  </conditionalFormatting>
  <conditionalFormatting sqref="AQ2:AQ11">
    <cfRule type="dataBar" priority="2843842">
      <dataBar>
        <cfvo type="min"/>
        <cfvo type="max"/>
        <color rgb="FF008AEF"/>
      </dataBar>
      <extLst>
        <ext xmlns:x14="http://schemas.microsoft.com/office/spreadsheetml/2009/9/main" uri="{B025F937-C7B1-47D3-B67F-A62EFF666E3E}">
          <x14:id>{2FC819BD-B89C-455D-B6AE-68CC0317ED24}</x14:id>
        </ext>
      </extLst>
    </cfRule>
  </conditionalFormatting>
  <conditionalFormatting sqref="J2:J11">
    <cfRule type="colorScale" priority="2843843">
      <colorScale>
        <cfvo type="min"/>
        <cfvo type="percentile" val="50"/>
        <cfvo type="max"/>
        <color rgb="FFF8696B"/>
        <color rgb="FFFFEB84"/>
        <color rgb="FF63BE7B"/>
      </colorScale>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6D537749-53AB-41C5-A1F8-D46AFC65EE80}">
            <x14:dataBar minLength="0" maxLength="100" border="1" negativeBarBorderColorSameAsPositive="0">
              <x14:cfvo type="autoMin"/>
              <x14:cfvo type="autoMax"/>
              <x14:borderColor rgb="FF008AEF"/>
              <x14:negativeFillColor rgb="FFFF0000"/>
              <x14:negativeBorderColor rgb="FFFF0000"/>
              <x14:axisColor rgb="FF000000"/>
            </x14:dataBar>
          </x14:cfRule>
          <xm:sqref>AS1:AS1048576</xm:sqref>
        </x14:conditionalFormatting>
        <x14:conditionalFormatting xmlns:xm="http://schemas.microsoft.com/office/excel/2006/main">
          <x14:cfRule type="dataBar" id="{4BE9EE7D-CDDB-4B76-9FC0-2CD95ACCE319}">
            <x14:dataBar minLength="0" maxLength="100" gradient="0">
              <x14:cfvo type="autoMin"/>
              <x14:cfvo type="autoMax"/>
              <x14:negativeFillColor rgb="FFFF0000"/>
              <x14:axisColor rgb="FF000000"/>
            </x14:dataBar>
          </x14:cfRule>
          <xm:sqref>CD1:CD1048576</xm:sqref>
        </x14:conditionalFormatting>
        <x14:conditionalFormatting xmlns:xm="http://schemas.microsoft.com/office/excel/2006/main">
          <x14:cfRule type="dataBar" id="{648AEEE9-13DF-48FA-A43C-E66A6020C798}">
            <x14:dataBar minLength="0" maxLength="100" gradient="0">
              <x14:cfvo type="autoMin"/>
              <x14:cfvo type="autoMax"/>
              <x14:negativeFillColor rgb="FFFF0000"/>
              <x14:axisColor rgb="FF000000"/>
            </x14:dataBar>
          </x14:cfRule>
          <xm:sqref>CE1:CE1048576</xm:sqref>
        </x14:conditionalFormatting>
        <x14:conditionalFormatting xmlns:xm="http://schemas.microsoft.com/office/excel/2006/main">
          <x14:cfRule type="dataBar" id="{57C7AC16-7E8C-445D-9290-782E5BFF0B76}">
            <x14:dataBar minLength="0" maxLength="100" gradient="0">
              <x14:cfvo type="autoMin"/>
              <x14:cfvo type="autoMax"/>
              <x14:negativeFillColor rgb="FFFF0000"/>
              <x14:axisColor rgb="FF000000"/>
            </x14:dataBar>
          </x14:cfRule>
          <xm:sqref>CF1:CF1048576</xm:sqref>
        </x14:conditionalFormatting>
        <x14:conditionalFormatting xmlns:xm="http://schemas.microsoft.com/office/excel/2006/main">
          <x14:cfRule type="dataBar" id="{50FFED53-08B6-497C-9D58-1364802B3BF2}">
            <x14:dataBar minLength="0" maxLength="100" gradient="0">
              <x14:cfvo type="autoMin"/>
              <x14:cfvo type="autoMax"/>
              <x14:negativeFillColor rgb="FFFF0000"/>
              <x14:axisColor rgb="FF000000"/>
            </x14:dataBar>
          </x14:cfRule>
          <xm:sqref>CG1:CG1048576</xm:sqref>
        </x14:conditionalFormatting>
        <x14:conditionalFormatting xmlns:xm="http://schemas.microsoft.com/office/excel/2006/main">
          <x14:cfRule type="dataBar" id="{F0FF4969-8518-4C18-9439-A6DB8733BA81}">
            <x14:dataBar minLength="0" maxLength="100" gradient="0">
              <x14:cfvo type="autoMin"/>
              <x14:cfvo type="autoMax"/>
              <x14:negativeFillColor rgb="FFFF0000"/>
              <x14:axisColor rgb="FF000000"/>
            </x14:dataBar>
          </x14:cfRule>
          <xm:sqref>CH1:CH1048576</xm:sqref>
        </x14:conditionalFormatting>
        <x14:conditionalFormatting xmlns:xm="http://schemas.microsoft.com/office/excel/2006/main">
          <x14:cfRule type="dataBar" id="{04F2973A-18B8-4617-B93D-E979E0E0DA0A}">
            <x14:dataBar minLength="0" maxLength="100" gradient="0">
              <x14:cfvo type="autoMin"/>
              <x14:cfvo type="autoMax"/>
              <x14:negativeFillColor rgb="FFFF0000"/>
              <x14:axisColor rgb="FF000000"/>
            </x14:dataBar>
          </x14:cfRule>
          <xm:sqref>CI1:CI1048576</xm:sqref>
        </x14:conditionalFormatting>
        <x14:conditionalFormatting xmlns:xm="http://schemas.microsoft.com/office/excel/2006/main">
          <x14:cfRule type="dataBar" id="{E9A7ED1D-7264-4B20-9282-DA6CAF4BC8E9}">
            <x14:dataBar minLength="0" maxLength="100" gradient="0">
              <x14:cfvo type="autoMin"/>
              <x14:cfvo type="autoMax"/>
              <x14:negativeFillColor rgb="FFFF0000"/>
              <x14:axisColor rgb="FF000000"/>
            </x14:dataBar>
          </x14:cfRule>
          <xm:sqref>BW1:BW1048576</xm:sqref>
        </x14:conditionalFormatting>
        <x14:conditionalFormatting xmlns:xm="http://schemas.microsoft.com/office/excel/2006/main">
          <x14:cfRule type="dataBar" id="{ADB8A499-A97D-49B2-B301-1329DDB18C80}">
            <x14:dataBar minLength="0" maxLength="100" gradient="0">
              <x14:cfvo type="autoMin"/>
              <x14:cfvo type="autoMax"/>
              <x14:negativeFillColor rgb="FFFF0000"/>
              <x14:axisColor rgb="FF000000"/>
            </x14:dataBar>
          </x14:cfRule>
          <xm:sqref>BZ1:BZ1048576</xm:sqref>
        </x14:conditionalFormatting>
        <x14:conditionalFormatting xmlns:xm="http://schemas.microsoft.com/office/excel/2006/main">
          <x14:cfRule type="dataBar" id="{F852551D-5544-4F19-A7FE-F7475D677C53}">
            <x14:dataBar minLength="0" maxLength="100" gradient="0">
              <x14:cfvo type="autoMin"/>
              <x14:cfvo type="autoMax"/>
              <x14:negativeFillColor rgb="FFFF0000"/>
              <x14:axisColor rgb="FF000000"/>
            </x14:dataBar>
          </x14:cfRule>
          <xm:sqref>CA1:CA1048576</xm:sqref>
        </x14:conditionalFormatting>
        <x14:conditionalFormatting xmlns:xm="http://schemas.microsoft.com/office/excel/2006/main">
          <x14:cfRule type="dataBar" id="{702A60C2-3457-4868-B22C-49D3CEF76C48}">
            <x14:dataBar minLength="0" maxLength="100" gradient="0">
              <x14:cfvo type="autoMin"/>
              <x14:cfvo type="autoMax"/>
              <x14:negativeFillColor rgb="FFFF0000"/>
              <x14:axisColor rgb="FF000000"/>
            </x14:dataBar>
          </x14:cfRule>
          <xm:sqref>CB1:CB1048576</xm:sqref>
        </x14:conditionalFormatting>
        <x14:conditionalFormatting xmlns:xm="http://schemas.microsoft.com/office/excel/2006/main">
          <x14:cfRule type="dataBar" id="{9E7037D8-2F78-49E1-8FD3-C774A01DBAF5}">
            <x14:dataBar minLength="0" maxLength="100" gradient="0">
              <x14:cfvo type="autoMin"/>
              <x14:cfvo type="autoMax"/>
              <x14:negativeFillColor rgb="FFFF0000"/>
              <x14:axisColor rgb="FF000000"/>
            </x14:dataBar>
          </x14:cfRule>
          <xm:sqref>CC1:CC1048576</xm:sqref>
        </x14:conditionalFormatting>
        <x14:conditionalFormatting xmlns:xm="http://schemas.microsoft.com/office/excel/2006/main">
          <x14:cfRule type="dataBar" id="{CA2A2EB0-01C3-41EB-84DB-6FDA66D2A7D6}">
            <x14:dataBar minLength="0" maxLength="100" border="1" negativeBarBorderColorSameAsPositive="0">
              <x14:cfvo type="autoMin"/>
              <x14:cfvo type="autoMax"/>
              <x14:borderColor theme="5" tint="0.39997558519241921"/>
              <x14:negativeFillColor rgb="FFFF0000"/>
              <x14:negativeBorderColor rgb="FFFF0000"/>
              <x14:axisColor rgb="FF000000"/>
            </x14:dataBar>
          </x14:cfRule>
          <xm:sqref>BQ1:BQ1048576</xm:sqref>
        </x14:conditionalFormatting>
        <x14:conditionalFormatting xmlns:xm="http://schemas.microsoft.com/office/excel/2006/main">
          <x14:cfRule type="dataBar" id="{E05C20E0-DEA5-4297-A5E0-AD81D5F854F9}">
            <x14:dataBar minLength="0" maxLength="100" border="1" negativeBarBorderColorSameAsPositive="0">
              <x14:cfvo type="autoMin"/>
              <x14:cfvo type="autoMax"/>
              <x14:borderColor theme="5" tint="0.39997558519241921"/>
              <x14:negativeFillColor rgb="FFFF0000"/>
              <x14:negativeBorderColor rgb="FFFF0000"/>
              <x14:axisColor rgb="FF000000"/>
            </x14:dataBar>
          </x14:cfRule>
          <xm:sqref>BS1:BS1048576</xm:sqref>
        </x14:conditionalFormatting>
        <x14:conditionalFormatting xmlns:xm="http://schemas.microsoft.com/office/excel/2006/main">
          <x14:cfRule type="dataBar" id="{912F4324-9B94-4CBC-97BC-6E0664AE96AE}">
            <x14:dataBar minLength="0" maxLength="100" gradient="0">
              <x14:cfvo type="autoMin"/>
              <x14:cfvo type="autoMax"/>
              <x14:negativeFillColor rgb="FFFF0000"/>
              <x14:axisColor rgb="FF000000"/>
            </x14:dataBar>
          </x14:cfRule>
          <xm:sqref>BX1:BX1048576</xm:sqref>
        </x14:conditionalFormatting>
        <x14:conditionalFormatting xmlns:xm="http://schemas.microsoft.com/office/excel/2006/main">
          <x14:cfRule type="dataBar" id="{0D56D725-C2A4-47B5-A774-7D791B524F90}">
            <x14:dataBar minLength="0" maxLength="100" gradient="0">
              <x14:cfvo type="autoMin"/>
              <x14:cfvo type="autoMax"/>
              <x14:negativeFillColor rgb="FFFF0000"/>
              <x14:axisColor rgb="FF000000"/>
            </x14:dataBar>
          </x14:cfRule>
          <xm:sqref>BY1:BY1048576</xm:sqref>
        </x14:conditionalFormatting>
        <x14:conditionalFormatting xmlns:xm="http://schemas.microsoft.com/office/excel/2006/main">
          <x14:cfRule type="dataBar" id="{4F910DED-6D7C-4C3F-8253-4517D08E309D}">
            <x14:dataBar minLength="0" maxLength="100" gradient="0">
              <x14:cfvo type="autoMin"/>
              <x14:cfvo type="autoMax"/>
              <x14:negativeFillColor rgb="FFFF0000"/>
              <x14:axisColor rgb="FF000000"/>
            </x14:dataBar>
          </x14:cfRule>
          <xm:sqref>AE1:AE1048576</xm:sqref>
        </x14:conditionalFormatting>
        <x14:conditionalFormatting xmlns:xm="http://schemas.microsoft.com/office/excel/2006/main">
          <x14:cfRule type="dataBar" id="{15B415C8-E7B6-42CD-A3C4-5E838EB09ED0}">
            <x14:dataBar minLength="0" maxLength="100" gradient="0">
              <x14:cfvo type="autoMin"/>
              <x14:cfvo type="autoMax"/>
              <x14:negativeFillColor rgb="FFFF0000"/>
              <x14:axisColor rgb="FF000000"/>
            </x14:dataBar>
          </x14:cfRule>
          <xm:sqref>AF1:AF1048576</xm:sqref>
        </x14:conditionalFormatting>
        <x14:conditionalFormatting xmlns:xm="http://schemas.microsoft.com/office/excel/2006/main">
          <x14:cfRule type="dataBar" id="{800466AA-7BDD-4A5D-8839-DD6488EDE55E}">
            <x14:dataBar minLength="0" maxLength="100" gradient="0">
              <x14:cfvo type="autoMin"/>
              <x14:cfvo type="autoMax"/>
              <x14:negativeFillColor rgb="FFFF0000"/>
              <x14:axisColor rgb="FF000000"/>
            </x14:dataBar>
          </x14:cfRule>
          <xm:sqref>AH1:AH1048576</xm:sqref>
        </x14:conditionalFormatting>
        <x14:conditionalFormatting xmlns:xm="http://schemas.microsoft.com/office/excel/2006/main">
          <x14:cfRule type="dataBar" id="{0E6C988F-4E7D-4CA0-A9F9-ABC63C9AE63C}">
            <x14:dataBar minLength="0" maxLength="100" gradient="0">
              <x14:cfvo type="autoMin"/>
              <x14:cfvo type="autoMax"/>
              <x14:negativeFillColor rgb="FFFF0000"/>
              <x14:axisColor rgb="FF000000"/>
            </x14:dataBar>
          </x14:cfRule>
          <xm:sqref>AI1:AI1048576</xm:sqref>
        </x14:conditionalFormatting>
        <x14:conditionalFormatting xmlns:xm="http://schemas.microsoft.com/office/excel/2006/main">
          <x14:cfRule type="dataBar" id="{CB43718A-2809-4FC7-BFCE-4AED96A45411}">
            <x14:dataBar minLength="0" maxLength="100" gradient="0">
              <x14:cfvo type="autoMin"/>
              <x14:cfvo type="autoMax"/>
              <x14:negativeFillColor rgb="FFFF0000"/>
              <x14:axisColor rgb="FF000000"/>
            </x14:dataBar>
          </x14:cfRule>
          <xm:sqref>AK1:AK1048576</xm:sqref>
        </x14:conditionalFormatting>
        <x14:conditionalFormatting xmlns:xm="http://schemas.microsoft.com/office/excel/2006/main">
          <x14:cfRule type="dataBar" id="{FA45AF2F-2F3C-4EA9-8131-C92A7D1766A3}">
            <x14:dataBar minLength="0" maxLength="100" gradient="0">
              <x14:cfvo type="autoMin"/>
              <x14:cfvo type="autoMax"/>
              <x14:negativeFillColor rgb="FFFF0000"/>
              <x14:axisColor rgb="FF000000"/>
            </x14:dataBar>
          </x14:cfRule>
          <xm:sqref>AL1:AL1048576</xm:sqref>
        </x14:conditionalFormatting>
        <x14:conditionalFormatting xmlns:xm="http://schemas.microsoft.com/office/excel/2006/main">
          <x14:cfRule type="dataBar" id="{41BD7D4E-AFAC-44D4-BF36-D5BC3FE249AF}">
            <x14:dataBar minLength="0" maxLength="100" gradient="0">
              <x14:cfvo type="autoMin"/>
              <x14:cfvo type="autoMax"/>
              <x14:negativeFillColor rgb="FFFF0000"/>
              <x14:axisColor rgb="FF000000"/>
            </x14:dataBar>
          </x14:cfRule>
          <xm:sqref>AZ1:AZ1048576</xm:sqref>
        </x14:conditionalFormatting>
        <x14:conditionalFormatting xmlns:xm="http://schemas.microsoft.com/office/excel/2006/main">
          <x14:cfRule type="dataBar" id="{293C16C3-7FC3-4F89-91F6-C262778D5E64}">
            <x14:dataBar minLength="0" maxLength="100" gradient="0">
              <x14:cfvo type="autoMin"/>
              <x14:cfvo type="autoMax"/>
              <x14:negativeFillColor rgb="FFFF0000"/>
              <x14:axisColor rgb="FF000000"/>
            </x14:dataBar>
          </x14:cfRule>
          <xm:sqref>BA1:BA1048576</xm:sqref>
        </x14:conditionalFormatting>
        <x14:conditionalFormatting xmlns:xm="http://schemas.microsoft.com/office/excel/2006/main">
          <x14:cfRule type="dataBar" id="{8B8008EE-00FF-427A-94CD-9A9CB84EDBFB}">
            <x14:dataBar minLength="0" maxLength="100" gradient="0">
              <x14:cfvo type="autoMin"/>
              <x14:cfvo type="autoMax"/>
              <x14:negativeFillColor rgb="FFFF0000"/>
              <x14:axisColor rgb="FF000000"/>
            </x14:dataBar>
          </x14:cfRule>
          <xm:sqref>AU1:AU1048576</xm:sqref>
        </x14:conditionalFormatting>
        <x14:conditionalFormatting xmlns:xm="http://schemas.microsoft.com/office/excel/2006/main">
          <x14:cfRule type="dataBar" id="{2FC819BD-B89C-455D-B6AE-68CC0317ED24}">
            <x14:dataBar minLength="0" maxLength="100" border="1" negativeBarBorderColorSameAsPositive="0">
              <x14:cfvo type="autoMin"/>
              <x14:cfvo type="autoMax"/>
              <x14:borderColor rgb="FF008AEF"/>
              <x14:negativeFillColor rgb="FFFF0000"/>
              <x14:negativeBorderColor rgb="FFFF0000"/>
              <x14:axisColor rgb="FF000000"/>
            </x14:dataBar>
          </x14:cfRule>
          <xm:sqref>AQ2:AQ11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7">
    <tabColor rgb="FF23559B"/>
  </sheetPr>
  <dimension ref="A1:GL11"/>
  <sheetViews>
    <sheetView zoomScale="90" zoomScaleNormal="90" workbookViewId="0">
      <pane xSplit="4" ySplit="1" topLeftCell="E2" activePane="bottomRight" state="frozen"/>
      <selection pane="topRight" activeCell="E1" sqref="E1"/>
      <selection pane="bottomLeft" activeCell="A2" sqref="A2"/>
      <selection pane="bottomRight"/>
    </sheetView>
  </sheetViews>
  <sheetFormatPr defaultRowHeight="24.95" customHeight="1" x14ac:dyDescent="0.25"/>
  <cols>
    <col min="2" max="2" width="30.7109375" customWidth="1"/>
    <col min="3" max="3" width="12.5703125" customWidth="1"/>
    <col min="4" max="4" width="24.28515625" customWidth="1"/>
    <col min="5" max="5" width="21.7109375" customWidth="1"/>
    <col min="6" max="6" width="14" customWidth="1"/>
    <col min="7" max="7" width="15.7109375" customWidth="1"/>
    <col min="8" max="8" width="17.140625" customWidth="1"/>
    <col min="9" max="9" width="18" customWidth="1"/>
    <col min="10" max="10" width="20.85546875" style="13" bestFit="1" customWidth="1"/>
    <col min="11" max="12" width="15.7109375" customWidth="1"/>
    <col min="13" max="62" width="18.7109375" customWidth="1"/>
    <col min="63" max="64" width="18.7109375" style="176" customWidth="1"/>
    <col min="65" max="73" width="18.7109375" customWidth="1"/>
    <col min="74" max="78" width="18.7109375" style="11" customWidth="1"/>
    <col min="79" max="95" width="18.7109375" customWidth="1"/>
    <col min="96" max="96" width="18.7109375" style="11" customWidth="1"/>
    <col min="97" max="99" width="18.7109375" customWidth="1"/>
    <col min="100" max="123" width="18.7109375" style="11" customWidth="1"/>
    <col min="124" max="130" width="18.7109375" customWidth="1"/>
    <col min="131" max="138" width="18.7109375" style="11" customWidth="1"/>
    <col min="139" max="139" width="18.7109375" style="95" customWidth="1"/>
    <col min="140" max="140" width="9.7109375" style="1" customWidth="1"/>
    <col min="141" max="187" width="12.7109375" style="1" customWidth="1"/>
    <col min="188" max="188" width="9.140625" style="1"/>
  </cols>
  <sheetData>
    <row r="1" spans="1:194" ht="50.1" customHeight="1" thickBot="1" x14ac:dyDescent="0.3">
      <c r="A1" s="103"/>
      <c r="B1" s="4" t="s">
        <v>20</v>
      </c>
      <c r="C1" s="4" t="s">
        <v>201</v>
      </c>
      <c r="D1" s="4" t="s">
        <v>28</v>
      </c>
      <c r="E1" s="87" t="s">
        <v>217</v>
      </c>
      <c r="F1" s="4" t="s">
        <v>29</v>
      </c>
      <c r="G1" s="4" t="s">
        <v>1</v>
      </c>
      <c r="H1" s="4" t="s">
        <v>21</v>
      </c>
      <c r="I1" s="8" t="s">
        <v>82</v>
      </c>
      <c r="J1" s="82" t="s">
        <v>3</v>
      </c>
      <c r="K1" s="4" t="s">
        <v>216</v>
      </c>
      <c r="L1" s="4" t="s">
        <v>111</v>
      </c>
      <c r="M1" s="30" t="s">
        <v>401</v>
      </c>
      <c r="N1" s="30" t="s">
        <v>402</v>
      </c>
      <c r="O1" s="30" t="s">
        <v>405</v>
      </c>
      <c r="P1" s="207" t="s">
        <v>22</v>
      </c>
      <c r="Q1" s="207" t="s">
        <v>24</v>
      </c>
      <c r="R1" s="207" t="s">
        <v>291</v>
      </c>
      <c r="S1" s="207" t="s">
        <v>141</v>
      </c>
      <c r="T1" s="207" t="s">
        <v>290</v>
      </c>
      <c r="U1" s="46" t="s">
        <v>315</v>
      </c>
      <c r="V1" s="46" t="s">
        <v>316</v>
      </c>
      <c r="W1" s="46" t="s">
        <v>317</v>
      </c>
      <c r="X1" s="46" t="s">
        <v>318</v>
      </c>
      <c r="Y1" s="46" t="s">
        <v>319</v>
      </c>
      <c r="Z1" s="46" t="s">
        <v>320</v>
      </c>
      <c r="AA1" s="46" t="s">
        <v>338</v>
      </c>
      <c r="AB1" s="46" t="s">
        <v>312</v>
      </c>
      <c r="AC1" s="90" t="s">
        <v>35</v>
      </c>
      <c r="AD1" s="90" t="s">
        <v>398</v>
      </c>
      <c r="AE1" s="90" t="s">
        <v>397</v>
      </c>
      <c r="AF1" s="96" t="s">
        <v>226</v>
      </c>
      <c r="AG1" s="96" t="s">
        <v>223</v>
      </c>
      <c r="AH1" s="97" t="s">
        <v>224</v>
      </c>
      <c r="AI1" s="96" t="s">
        <v>225</v>
      </c>
      <c r="AJ1" s="284" t="s">
        <v>289</v>
      </c>
      <c r="AK1" s="285" t="s">
        <v>288</v>
      </c>
      <c r="AL1" s="407" t="s">
        <v>287</v>
      </c>
      <c r="AM1" s="25" t="s">
        <v>286</v>
      </c>
      <c r="AN1" s="25" t="s">
        <v>285</v>
      </c>
      <c r="AO1" s="25" t="s">
        <v>284</v>
      </c>
      <c r="AP1" s="410" t="s">
        <v>283</v>
      </c>
      <c r="AQ1" s="120" t="s">
        <v>282</v>
      </c>
      <c r="AR1" s="120" t="s">
        <v>281</v>
      </c>
      <c r="AS1" s="120" t="s">
        <v>280</v>
      </c>
      <c r="AT1" s="25" t="s">
        <v>443</v>
      </c>
      <c r="AU1" s="25" t="s">
        <v>444</v>
      </c>
      <c r="AV1" s="146" t="s">
        <v>549</v>
      </c>
      <c r="AW1" s="146" t="s">
        <v>551</v>
      </c>
      <c r="AX1" s="146" t="s">
        <v>552</v>
      </c>
      <c r="AY1" s="146" t="s">
        <v>553</v>
      </c>
      <c r="AZ1" s="146" t="s">
        <v>556</v>
      </c>
      <c r="BA1" s="146" t="s">
        <v>554</v>
      </c>
      <c r="BB1" s="26" t="s">
        <v>555</v>
      </c>
      <c r="BC1" s="26" t="s">
        <v>550</v>
      </c>
      <c r="BD1" s="26" t="s">
        <v>56</v>
      </c>
      <c r="BE1" s="26" t="s">
        <v>457</v>
      </c>
      <c r="BF1" s="26" t="s">
        <v>48</v>
      </c>
      <c r="BG1" s="26" t="s">
        <v>47</v>
      </c>
      <c r="BH1" s="119" t="s">
        <v>279</v>
      </c>
      <c r="BI1" s="119" t="s">
        <v>278</v>
      </c>
      <c r="BJ1" s="119" t="s">
        <v>277</v>
      </c>
      <c r="BK1" s="26" t="s">
        <v>46</v>
      </c>
      <c r="BL1" s="26" t="s">
        <v>476</v>
      </c>
      <c r="BM1" s="119" t="s">
        <v>169</v>
      </c>
      <c r="BN1" s="119" t="s">
        <v>276</v>
      </c>
      <c r="BO1" s="119" t="s">
        <v>103</v>
      </c>
      <c r="BP1" s="119" t="s">
        <v>275</v>
      </c>
      <c r="BQ1" s="118" t="s">
        <v>230</v>
      </c>
      <c r="BR1" s="118" t="s">
        <v>231</v>
      </c>
      <c r="BS1" s="22" t="s">
        <v>102</v>
      </c>
      <c r="BT1" s="50" t="s">
        <v>445</v>
      </c>
      <c r="BU1" s="50" t="s">
        <v>446</v>
      </c>
      <c r="BV1" s="88" t="s">
        <v>211</v>
      </c>
      <c r="BW1" s="88" t="s">
        <v>212</v>
      </c>
      <c r="BX1" s="88" t="s">
        <v>213</v>
      </c>
      <c r="BY1" s="88" t="s">
        <v>214</v>
      </c>
      <c r="BZ1" s="88" t="s">
        <v>215</v>
      </c>
      <c r="CA1" s="117" t="s">
        <v>75</v>
      </c>
      <c r="CB1" s="38" t="s">
        <v>157</v>
      </c>
      <c r="CC1" s="38" t="s">
        <v>274</v>
      </c>
      <c r="CD1" s="38" t="s">
        <v>273</v>
      </c>
      <c r="CE1" s="77" t="s">
        <v>272</v>
      </c>
      <c r="CF1" s="38" t="s">
        <v>271</v>
      </c>
      <c r="CG1" s="38" t="s">
        <v>300</v>
      </c>
      <c r="CH1" s="38" t="s">
        <v>270</v>
      </c>
      <c r="CI1" s="38" t="s">
        <v>269</v>
      </c>
      <c r="CJ1" s="77" t="s">
        <v>268</v>
      </c>
      <c r="CK1" s="331" t="s">
        <v>267</v>
      </c>
      <c r="CL1" s="331" t="s">
        <v>266</v>
      </c>
      <c r="CM1" s="331" t="s">
        <v>265</v>
      </c>
      <c r="CN1" s="201" t="s">
        <v>414</v>
      </c>
      <c r="CO1" s="201" t="s">
        <v>415</v>
      </c>
      <c r="CP1" s="201" t="s">
        <v>449</v>
      </c>
      <c r="CQ1" s="48" t="s">
        <v>450</v>
      </c>
      <c r="CR1" s="48" t="s">
        <v>264</v>
      </c>
      <c r="CS1" s="49" t="s">
        <v>433</v>
      </c>
      <c r="CT1" s="49" t="s">
        <v>434</v>
      </c>
      <c r="CU1" s="49" t="s">
        <v>435</v>
      </c>
      <c r="CV1" s="49" t="s">
        <v>136</v>
      </c>
      <c r="CW1" s="343" t="s">
        <v>436</v>
      </c>
      <c r="CX1" s="343" t="s">
        <v>608</v>
      </c>
      <c r="CY1" s="10" t="s">
        <v>135</v>
      </c>
      <c r="CZ1" s="116" t="s">
        <v>263</v>
      </c>
      <c r="DA1" s="116" t="s">
        <v>262</v>
      </c>
      <c r="DB1" s="116" t="s">
        <v>261</v>
      </c>
      <c r="DC1" s="116" t="s">
        <v>260</v>
      </c>
      <c r="DD1" s="327" t="s">
        <v>259</v>
      </c>
      <c r="DE1" s="328" t="s">
        <v>258</v>
      </c>
      <c r="DF1" s="327" t="s">
        <v>257</v>
      </c>
      <c r="DG1" s="327" t="s">
        <v>256</v>
      </c>
      <c r="DH1" s="327" t="s">
        <v>255</v>
      </c>
      <c r="DI1" s="346" t="s">
        <v>254</v>
      </c>
      <c r="DJ1" s="347" t="s">
        <v>253</v>
      </c>
      <c r="DK1" s="257" t="s">
        <v>63</v>
      </c>
      <c r="DL1" s="257" t="s">
        <v>252</v>
      </c>
      <c r="DM1" s="115" t="s">
        <v>251</v>
      </c>
      <c r="DN1" s="114" t="s">
        <v>250</v>
      </c>
      <c r="DO1" s="113" t="s">
        <v>249</v>
      </c>
      <c r="DP1" s="112" t="s">
        <v>248</v>
      </c>
      <c r="DQ1" s="112" t="s">
        <v>247</v>
      </c>
      <c r="DR1" s="111" t="s">
        <v>246</v>
      </c>
      <c r="DS1" s="110" t="s">
        <v>130</v>
      </c>
      <c r="DT1" s="109" t="s">
        <v>133</v>
      </c>
      <c r="DU1" s="109" t="s">
        <v>131</v>
      </c>
      <c r="DV1" s="109" t="s">
        <v>134</v>
      </c>
      <c r="DW1" s="198" t="s">
        <v>431</v>
      </c>
      <c r="DX1" s="198" t="s">
        <v>432</v>
      </c>
      <c r="DY1" s="48" t="s">
        <v>132</v>
      </c>
      <c r="DZ1" s="47" t="s">
        <v>18</v>
      </c>
      <c r="EA1" s="47" t="s">
        <v>74</v>
      </c>
      <c r="EB1" s="47" t="s">
        <v>245</v>
      </c>
      <c r="EC1" s="47" t="s">
        <v>84</v>
      </c>
      <c r="ED1" s="47" t="s">
        <v>158</v>
      </c>
      <c r="EE1" s="43" t="s">
        <v>395</v>
      </c>
      <c r="EF1" s="43" t="s">
        <v>396</v>
      </c>
      <c r="EG1" s="43" t="s">
        <v>533</v>
      </c>
      <c r="EH1" s="43" t="s">
        <v>167</v>
      </c>
      <c r="EI1" s="101" t="s">
        <v>25</v>
      </c>
      <c r="EJ1" s="261" t="s">
        <v>14</v>
      </c>
      <c r="EK1" s="262" t="s">
        <v>20</v>
      </c>
      <c r="EL1" s="262" t="s">
        <v>29</v>
      </c>
      <c r="EM1" s="262" t="s">
        <v>1</v>
      </c>
      <c r="EN1" s="262" t="s">
        <v>2</v>
      </c>
      <c r="EO1" s="262" t="s">
        <v>3</v>
      </c>
      <c r="EP1" s="262" t="s">
        <v>566</v>
      </c>
      <c r="EQ1" s="262" t="s">
        <v>37</v>
      </c>
      <c r="ER1" s="262" t="s">
        <v>81</v>
      </c>
      <c r="ES1" s="262" t="s">
        <v>0</v>
      </c>
      <c r="ET1" s="262" t="s">
        <v>567</v>
      </c>
      <c r="EU1" s="262" t="s">
        <v>580</v>
      </c>
      <c r="EV1" s="262" t="s">
        <v>720</v>
      </c>
      <c r="EW1" s="262" t="s">
        <v>726</v>
      </c>
      <c r="EX1" s="262" t="s">
        <v>581</v>
      </c>
      <c r="EY1" s="262" t="s">
        <v>582</v>
      </c>
      <c r="EZ1" s="262" t="s">
        <v>342</v>
      </c>
      <c r="FA1" s="262" t="s">
        <v>249</v>
      </c>
      <c r="FB1" s="262" t="s">
        <v>176</v>
      </c>
      <c r="FC1" s="262" t="s">
        <v>177</v>
      </c>
      <c r="FD1" s="262" t="s">
        <v>731</v>
      </c>
      <c r="FE1" s="262" t="s">
        <v>732</v>
      </c>
      <c r="FF1" s="262" t="s">
        <v>733</v>
      </c>
      <c r="FG1" s="262" t="s">
        <v>727</v>
      </c>
      <c r="FH1" s="262" t="s">
        <v>728</v>
      </c>
      <c r="FI1" s="262" t="s">
        <v>238</v>
      </c>
      <c r="FJ1" s="262" t="s">
        <v>221</v>
      </c>
      <c r="FK1" s="262" t="s">
        <v>724</v>
      </c>
      <c r="FL1" s="262" t="s">
        <v>445</v>
      </c>
      <c r="FM1" s="262" t="s">
        <v>734</v>
      </c>
      <c r="FN1" s="262" t="s">
        <v>575</v>
      </c>
      <c r="FO1" s="262" t="s">
        <v>46</v>
      </c>
      <c r="FP1" s="262" t="s">
        <v>18</v>
      </c>
      <c r="FQ1" s="262" t="s">
        <v>154</v>
      </c>
      <c r="FR1" s="262" t="s">
        <v>84</v>
      </c>
      <c r="FS1" s="262" t="s">
        <v>577</v>
      </c>
      <c r="FT1" s="262" t="s">
        <v>71</v>
      </c>
      <c r="FU1" s="262" t="s">
        <v>520</v>
      </c>
      <c r="FV1" s="262" t="s">
        <v>735</v>
      </c>
      <c r="FW1" s="262" t="s">
        <v>8</v>
      </c>
      <c r="FX1" s="262" t="s">
        <v>736</v>
      </c>
      <c r="FY1" s="262" t="s">
        <v>737</v>
      </c>
      <c r="FZ1" s="262" t="s">
        <v>738</v>
      </c>
      <c r="GA1" s="262" t="s">
        <v>7</v>
      </c>
      <c r="GB1" s="262" t="s">
        <v>153</v>
      </c>
      <c r="GC1" s="262" t="s">
        <v>414</v>
      </c>
      <c r="GD1" s="262" t="s">
        <v>583</v>
      </c>
      <c r="GE1" s="263" t="s">
        <v>572</v>
      </c>
      <c r="GL1" s="100"/>
    </row>
    <row r="2" spans="1:194" ht="24.95" customHeight="1" thickBot="1" x14ac:dyDescent="0.3">
      <c r="A2" s="29" t="str">
        <f t="shared" ref="A2:A11" si="0">ROW()-1 &amp; "º"</f>
        <v>1º</v>
      </c>
      <c r="B2" s="93" t="str">
        <f t="shared" ref="B2:B11" si="1">EK2</f>
        <v>Alessandro Circati</v>
      </c>
      <c r="C2" s="83" t="str">
        <f t="shared" ref="C2:C11" si="2">EP2</f>
        <v>AUS</v>
      </c>
      <c r="D2" s="65" t="str">
        <f t="shared" ref="D2:D11" si="3">ES2</f>
        <v>Parma</v>
      </c>
      <c r="E2" s="91" t="str">
        <f t="shared" ref="E2:E11" si="4">EQ2</f>
        <v>Somente Pé Direito</v>
      </c>
      <c r="F2" s="155">
        <f t="shared" ref="F2:F11" si="5">IFERROR(SUBSTITUTE(EL2," cm","")/100,0)</f>
        <v>1.9</v>
      </c>
      <c r="G2" s="158">
        <f t="shared" ref="G2:G11" si="6">EM2</f>
        <v>22</v>
      </c>
      <c r="H2" s="66" t="str">
        <f t="shared" ref="H2:H11" si="7">EN2</f>
        <v>€90M - €113M</v>
      </c>
      <c r="I2" s="187">
        <f t="shared" ref="I2:I11" si="8">IF(ER2="-", "Sem Data Final", ER2)</f>
        <v>47299</v>
      </c>
      <c r="J2" s="273" t="str">
        <f t="shared" ref="J2:J11" si="9">EO2</f>
        <v>€66,5m p/m</v>
      </c>
      <c r="K2" s="89">
        <f t="shared" ref="K2:K11" si="10">AVERAGE(L:L)</f>
        <v>21.943333333333335</v>
      </c>
      <c r="L2" s="135">
        <f t="shared" ref="L2:L11" si="11">IFERROR(ET2/90,0)</f>
        <v>23</v>
      </c>
      <c r="M2" s="135">
        <f t="shared" ref="M2:M11" si="12">IFERROR(IF(ISERROR(FIND("(",EU2)), VALUE(EU2), VALUE(LEFT(EU2,FIND("(",EU2)-2)) + VALUE(MID(EU2,FIND("(",EU2)+1,FIND(")",EU2)-FIND("(",EU2)-1))),0)</f>
        <v>23</v>
      </c>
      <c r="N2" s="135">
        <f t="shared" ref="N2:N11" si="13">IFERROR(ET2/M2,0)</f>
        <v>90</v>
      </c>
      <c r="O2" s="179">
        <f t="shared" ref="O2:O11" si="14">IFERROR(IF(ISERROR(FIND("(",EU2)), "100%", TEXT(VALUE(LEFT(EU2,FIND("(",EU2)-2)) / (VALUE(LEFT(EU2,FIND("(",EU2)-2)) + VALUE(MID(EU2,FIND("(",EU2)+1,FIND(")",EU2)-FIND("(",EU2)-1))),"0%")),0)*1</f>
        <v>1</v>
      </c>
      <c r="P2" s="404">
        <f t="shared" ref="P2:P11" si="15">EX2</f>
        <v>2</v>
      </c>
      <c r="Q2" s="404">
        <f t="shared" ref="Q2:Q11" si="16">EY2</f>
        <v>0</v>
      </c>
      <c r="R2" s="404">
        <f t="shared" ref="R2:R11" si="17">IFERROR(EX2+EY2,0)</f>
        <v>2</v>
      </c>
      <c r="S2" s="405">
        <f t="shared" ref="S2:S11" si="18">IFERROR((P2/L2),0)</f>
        <v>8.6956521739130432E-2</v>
      </c>
      <c r="T2" s="405">
        <f t="shared" ref="T2:T11" si="19">IFERROR(R2/L2,0)</f>
        <v>8.6956521739130432E-2</v>
      </c>
      <c r="U2" s="56">
        <f t="shared" ref="U2:U11" si="20">SUBSTITUTE(GA2,".",",")*1</f>
        <v>1.1599999999999999</v>
      </c>
      <c r="V2" s="56">
        <f t="shared" ref="V2:V11" si="21">IFERROR(U2/L2,0)</f>
        <v>5.0434782608695647E-2</v>
      </c>
      <c r="W2" s="56">
        <f t="shared" ref="W2:W11" si="22">IFERROR(U2-(FY2*0.79),0)</f>
        <v>1.1599999999999999</v>
      </c>
      <c r="X2" s="56">
        <f t="shared" ref="X2:X11" si="23">IFERROR(W2/L2,0)</f>
        <v>5.0434782608695647E-2</v>
      </c>
      <c r="Y2" s="56">
        <f t="shared" ref="Y2:Y11" si="24">SUBSTITUTE(GB2,".",",")*1</f>
        <v>0.48</v>
      </c>
      <c r="Z2" s="56">
        <f t="shared" ref="Z2:Z11" si="25">IFERROR(Y2/L2,0)</f>
        <v>2.0869565217391303E-2</v>
      </c>
      <c r="AA2" s="56">
        <f t="shared" ref="AA2:AA11" si="26">IFERROR(U2+Y2,0)</f>
        <v>1.64</v>
      </c>
      <c r="AB2" s="56">
        <f t="shared" ref="AB2:AB11" si="27">IFERROR(AA2/L2,0)</f>
        <v>7.1304347826086953E-2</v>
      </c>
      <c r="AC2" s="55">
        <f t="shared" ref="AC2:AC11" si="28">IFERROR(EV2,0)</f>
        <v>2</v>
      </c>
      <c r="AD2" s="56">
        <f t="shared" ref="AD2:AD11" si="29">IFERROR((ET2/EV2),5400)</f>
        <v>1035</v>
      </c>
      <c r="AE2" s="61">
        <f t="shared" ref="AE2:AE11" si="30">IFERROR((AC2*1)/L2,0)</f>
        <v>8.6956521739130432E-2</v>
      </c>
      <c r="AF2" s="278">
        <f t="shared" ref="AF2:AF11" si="31">FY2</f>
        <v>0</v>
      </c>
      <c r="AG2" s="278">
        <f t="shared" ref="AG2:AG11" si="32">FZ2</f>
        <v>0</v>
      </c>
      <c r="AH2" s="55">
        <f t="shared" ref="AH2:AH11" si="33">IFERROR(FY2-FZ2,0)</f>
        <v>0</v>
      </c>
      <c r="AI2" s="58">
        <f t="shared" ref="AI2:AI11" si="34">IFERROR((AG2*1)/AF2,0.0000001)</f>
        <v>9.9999999999999995E-8</v>
      </c>
      <c r="AJ2" s="274">
        <f t="shared" ref="AJ2:AJ11" si="35">EW2</f>
        <v>0</v>
      </c>
      <c r="AK2" s="275">
        <f t="shared" ref="AK2:AK11" si="36">IFERROR(AJ2/L2,0)</f>
        <v>0</v>
      </c>
      <c r="AL2" s="55">
        <f t="shared" ref="AL2:AL11" si="37">FE2</f>
        <v>95</v>
      </c>
      <c r="AM2" s="56">
        <f t="shared" ref="AM2:AM11" si="38">IFERROR(AL2/L2,0)</f>
        <v>4.1304347826086953</v>
      </c>
      <c r="AN2" s="55">
        <f t="shared" ref="AN2:AN11" si="39">IFERROR(FD2,0)</f>
        <v>68</v>
      </c>
      <c r="AO2" s="56">
        <f t="shared" ref="AO2:AO11" si="40">IFERROR(AN2/L2,0)</f>
        <v>2.9565217391304346</v>
      </c>
      <c r="AP2" s="58">
        <f t="shared" ref="AP2:AP11" si="41">IFERROR((AN2*1)/AL2,0)</f>
        <v>0.71578947368421053</v>
      </c>
      <c r="AQ2" s="55">
        <f t="shared" ref="AQ2:AQ11" si="42">IFERROR(AL2-AN2,0)</f>
        <v>27</v>
      </c>
      <c r="AR2" s="56">
        <f t="shared" ref="AR2:AR11" si="43">IFERROR(AQ2/L2,0)</f>
        <v>1.173913043478261</v>
      </c>
      <c r="AS2" s="58">
        <f t="shared" ref="AS2:AS11" si="44">IFERROR((AQ2*1)/AL2,0)</f>
        <v>0.28421052631578947</v>
      </c>
      <c r="AT2" s="197">
        <f t="shared" ref="AT2:AT11" si="45">IFERROR((AU2*L2),0)</f>
        <v>20.7</v>
      </c>
      <c r="AU2" s="196">
        <f t="shared" ref="AU2:AU11" si="46">IFERROR(FF2,0)</f>
        <v>0.9</v>
      </c>
      <c r="AV2" s="61">
        <f t="shared" ref="AV2:AV11" si="47">FW2/FE2</f>
        <v>0.10526315789473684</v>
      </c>
      <c r="AW2" s="197">
        <f t="shared" ref="AW2:AW11" si="48">IFERROR(FW2-FY2,0)</f>
        <v>10</v>
      </c>
      <c r="AX2" s="196">
        <f t="shared" ref="AX2:AX11" si="49">AW2/L2</f>
        <v>0.43478260869565216</v>
      </c>
      <c r="AY2" s="197">
        <f t="shared" ref="AY2:AY11" si="50">IFERROR(FX2-FY2,0)</f>
        <v>4</v>
      </c>
      <c r="AZ2" s="196">
        <f t="shared" ref="AZ2:AZ11" si="51">IFERROR(AY2/L2,0)</f>
        <v>0.17391304347826086</v>
      </c>
      <c r="BA2" s="61">
        <f t="shared" ref="BA2:BA11" si="52">IFERROR(AY2/AW2,0)</f>
        <v>0.4</v>
      </c>
      <c r="BB2" s="330">
        <f t="shared" ref="BB2:BB11" si="53">IFERROR(W2/(FW2-FY2),0)</f>
        <v>0.11599999999999999</v>
      </c>
      <c r="BC2" s="329">
        <f t="shared" ref="BC2:BC11" si="54">W2-(FY2*0.79)</f>
        <v>1.1599999999999999</v>
      </c>
      <c r="BD2" s="329">
        <f t="shared" ref="BD2:BD11" si="55">EX2-U2</f>
        <v>0.84000000000000008</v>
      </c>
      <c r="BE2" s="329">
        <f t="shared" ref="BE2:BE11" si="56">IFERROR((EX2-FZ2)-W2,0)</f>
        <v>0.84000000000000008</v>
      </c>
      <c r="BF2" s="55">
        <f t="shared" ref="BF2:BF11" si="57">IFERROR(FM2+FI2+FJ2,0)</f>
        <v>115</v>
      </c>
      <c r="BG2" s="56">
        <f t="shared" ref="BG2:BG11" si="58">IFERROR(BF2/L2,0)</f>
        <v>5</v>
      </c>
      <c r="BH2" s="55">
        <f t="shared" ref="BH2:BH11" si="59">FJ2</f>
        <v>19</v>
      </c>
      <c r="BI2" s="56">
        <f t="shared" ref="BI2:BI11" si="60">IFERROR(BH2/L2,0)</f>
        <v>0.82608695652173914</v>
      </c>
      <c r="BJ2" s="56">
        <f t="shared" ref="BJ2:BJ11" si="61">IFERROR((FJ2+FI2+FM2+FL2)/L2,0)</f>
        <v>5.0869565217391308</v>
      </c>
      <c r="BK2" s="208">
        <f t="shared" ref="BK2:BK11" si="62">FO2</f>
        <v>15</v>
      </c>
      <c r="BL2" s="206">
        <f t="shared" ref="BL2:BL11" si="63">IFERROR(BK2/L2,0)</f>
        <v>0.65217391304347827</v>
      </c>
      <c r="BM2" s="55">
        <f t="shared" ref="BM2:BM11" si="64">FG2+FN2</f>
        <v>20</v>
      </c>
      <c r="BN2" s="56">
        <f t="shared" ref="BN2:BN11" si="65">IFERROR(BM2/L2,0)</f>
        <v>0.86956521739130432</v>
      </c>
      <c r="BO2" s="57">
        <f t="shared" ref="BO2:BO11" si="66">FH2</f>
        <v>10</v>
      </c>
      <c r="BP2" s="56">
        <f t="shared" ref="BP2:BP11" si="67">IFERROR(BO2/L2,0)</f>
        <v>0.43478260869565216</v>
      </c>
      <c r="BQ2" s="72">
        <f t="shared" ref="BQ2:BQ11" si="68">FG2-FH2</f>
        <v>1</v>
      </c>
      <c r="BR2" s="56">
        <f t="shared" ref="BR2:BR11" si="69">IFERROR(BQ2/L2,0)</f>
        <v>4.3478260869565216E-2</v>
      </c>
      <c r="BS2" s="104">
        <f t="shared" ref="BS2:BS11" si="70">IFERROR((BO2*1)/BM2,0)</f>
        <v>0.5</v>
      </c>
      <c r="BT2" s="55">
        <f t="shared" ref="BT2:BT11" si="71">FL2</f>
        <v>2</v>
      </c>
      <c r="BU2" s="56">
        <f t="shared" ref="BU2:BU11" si="72">IFERROR(BT2/L2,0)</f>
        <v>8.6956521739130432E-2</v>
      </c>
      <c r="BV2" s="59">
        <f t="shared" ref="BV2:BV11" si="73">FB2</f>
        <v>52</v>
      </c>
      <c r="BW2" s="60">
        <f t="shared" ref="BW2:BW11" si="74">FB2/L2</f>
        <v>2.2608695652173911</v>
      </c>
      <c r="BX2" s="59">
        <f t="shared" ref="BX2:BX11" si="75">FC2</f>
        <v>10</v>
      </c>
      <c r="BY2" s="60">
        <f t="shared" ref="BY2:BY11" si="76">IFERROR(FC2/L2,0)</f>
        <v>0.43478260869565216</v>
      </c>
      <c r="BZ2" s="61">
        <f t="shared" ref="BZ2:BZ11" si="77">IFERROR((BY2*1)/BW2,0)</f>
        <v>0.19230769230769232</v>
      </c>
      <c r="CA2" s="59">
        <f t="shared" ref="CA2:CA11" si="78">FT2</f>
        <v>1169</v>
      </c>
      <c r="CB2" s="60">
        <f t="shared" ref="CB2:CB11" si="79">IFERROR(CA2/L2,0)</f>
        <v>50.826086956521742</v>
      </c>
      <c r="CC2" s="59">
        <f t="shared" ref="CC2:CC11" si="80">FU2</f>
        <v>1112</v>
      </c>
      <c r="CD2" s="60">
        <f t="shared" ref="CD2:CD11" si="81">IFERROR(CC2/L2,0)</f>
        <v>48.347826086956523</v>
      </c>
      <c r="CE2" s="61">
        <f t="shared" ref="CE2:CE11" si="82">IFERROR((CC2*1)/CA2,0)</f>
        <v>0.95124037639007697</v>
      </c>
      <c r="CF2" s="55">
        <f t="shared" ref="CF2:CF11" si="83">FT2-FS2</f>
        <v>1103</v>
      </c>
      <c r="CG2" s="60">
        <f t="shared" ref="CG2:CG11" si="84">FU2/L2</f>
        <v>48.347826086956523</v>
      </c>
      <c r="CH2" s="59">
        <f t="shared" ref="CH2:CH11" si="85">FS2</f>
        <v>66</v>
      </c>
      <c r="CI2" s="60">
        <f t="shared" ref="CI2:CI11" si="86">CH2/L2</f>
        <v>2.8695652173913042</v>
      </c>
      <c r="CJ2" s="277">
        <f t="shared" ref="CJ2:CJ11" si="87">(CH2*1)/CF2</f>
        <v>5.9836808703535811E-2</v>
      </c>
      <c r="CK2" s="332">
        <f t="shared" ref="CK2:CK11" si="88">FT2-FU2</f>
        <v>57</v>
      </c>
      <c r="CL2" s="333">
        <f t="shared" ref="CL2:CL11" si="89">CK2/L2</f>
        <v>2.4782608695652173</v>
      </c>
      <c r="CM2" s="277">
        <f t="shared" ref="CM2:CM11" si="90">(CK2*1)/FT2</f>
        <v>4.875962360992301E-2</v>
      </c>
      <c r="CN2" s="197">
        <f t="shared" ref="CN2:CN11" si="91">GC2</f>
        <v>4</v>
      </c>
      <c r="CO2" s="196">
        <f t="shared" ref="CO2:CO11" si="92">IFERROR(CN2/L2,0)</f>
        <v>0.17391304347826086</v>
      </c>
      <c r="CP2" s="196">
        <f t="shared" ref="CP2:CP11" si="93">IFERROR(VALUE(SUBSTITUTE(GB2,".",","))/GC2,0)</f>
        <v>0.12</v>
      </c>
      <c r="CQ2" s="197">
        <f t="shared" ref="CQ2:CQ11" si="94">IFERROR(GC2+FV2,0)</f>
        <v>4</v>
      </c>
      <c r="CR2" s="60">
        <f t="shared" ref="CR2:CR11" si="95">IFERROR(CQ2/L2,0)</f>
        <v>0.17391304347826086</v>
      </c>
      <c r="CS2" s="59">
        <f t="shared" ref="CS2:CS11" si="96">((FE2)+(FG2)+(FB2))</f>
        <v>158</v>
      </c>
      <c r="CT2" s="60">
        <f t="shared" ref="CT2:CT11" si="97">CS2/L2</f>
        <v>6.8695652173913047</v>
      </c>
      <c r="CU2" s="59">
        <f t="shared" ref="CU2:CU11" si="98">((FD2)+(FH2)+(FC2))</f>
        <v>88</v>
      </c>
      <c r="CV2" s="60">
        <f t="shared" ref="CV2:CV11" si="99">CU2/L2</f>
        <v>3.8260869565217392</v>
      </c>
      <c r="CW2" s="344">
        <f t="shared" ref="CW2:CW11" si="100">((FE2-FD2)+(FG2-FH2)+(FB2-FC2))</f>
        <v>70</v>
      </c>
      <c r="CX2" s="345">
        <f t="shared" ref="CX2:CX11" si="101">IFERROR(CW2/L2,0)</f>
        <v>3.0434782608695654</v>
      </c>
      <c r="CY2" s="61">
        <f t="shared" ref="CY2:CY11" si="102">IFERROR(CU2/CS2,0)</f>
        <v>0.55696202531645567</v>
      </c>
      <c r="CZ2" s="59">
        <f t="shared" ref="CZ2:CZ11" si="103">(FI2+FJ2+FM2+FO2+(FL2*0.5))</f>
        <v>131</v>
      </c>
      <c r="DA2" s="60">
        <f t="shared" ref="DA2:DA11" si="104">CZ2/L2</f>
        <v>5.6956521739130439</v>
      </c>
      <c r="DB2" s="59">
        <f t="shared" ref="DB2:DB11" si="105">(FC2+FH2)+(FL2*0.5)</f>
        <v>21</v>
      </c>
      <c r="DC2" s="60">
        <f t="shared" ref="DC2:DC11" si="106">DB2/L2</f>
        <v>0.91304347826086951</v>
      </c>
      <c r="DD2" s="292">
        <f t="shared" ref="DD2:DD11" si="107">IFERROR(FE2+FG2+FI2+FN2,0)</f>
        <v>136</v>
      </c>
      <c r="DE2" s="293">
        <f t="shared" ref="DE2:DE11" si="108">DD2/L2</f>
        <v>5.9130434782608692</v>
      </c>
      <c r="DF2" s="292">
        <f t="shared" ref="DF2:DF11" si="109">IFERROR(FD2+FH2+FI2+FL2,0)</f>
        <v>101</v>
      </c>
      <c r="DG2" s="293">
        <f t="shared" ref="DG2:DG11" si="110">DF2/L2</f>
        <v>4.3913043478260869</v>
      </c>
      <c r="DH2" s="61">
        <f t="shared" ref="DH2:DH11" si="111">IFERROR((DF2*1)/DD2,0)</f>
        <v>0.74264705882352944</v>
      </c>
      <c r="DI2" s="344">
        <f t="shared" ref="DI2:DI11" si="112">IFERROR((FE2-FD2)+(FG2-FH2)+FI2,0)</f>
        <v>49</v>
      </c>
      <c r="DJ2" s="345">
        <f t="shared" ref="DJ2:DJ11" si="113">IFERROR(DI2/L2,0)</f>
        <v>2.1304347826086958</v>
      </c>
      <c r="DK2" s="292">
        <f t="shared" ref="DK2:DK11" si="114">FN2</f>
        <v>9</v>
      </c>
      <c r="DL2" s="60">
        <f t="shared" ref="DL2:DL11" si="115">DK2/L2</f>
        <v>0.39130434782608697</v>
      </c>
      <c r="DM2" s="61">
        <f t="shared" ref="DM2:DM11" si="116">(DI2*1)/DD2</f>
        <v>0.36029411764705882</v>
      </c>
      <c r="DN2" s="59">
        <f t="shared" ref="DN2:DN11" si="117">EZ2</f>
        <v>1</v>
      </c>
      <c r="DO2" s="59">
        <f t="shared" ref="DO2:DO11" si="118">FA2</f>
        <v>0</v>
      </c>
      <c r="DP2" s="59">
        <f t="shared" ref="DP2:DP11" si="119">DN2+DO2</f>
        <v>1</v>
      </c>
      <c r="DQ2" s="60">
        <f t="shared" ref="DQ2:DQ11" si="120">(DN2+DO2)/L2</f>
        <v>4.3478260869565216E-2</v>
      </c>
      <c r="DR2" s="61">
        <f t="shared" ref="DR2:DR11" si="121">IFERROR(((DN2+DO2)*1)/FN2,0)</f>
        <v>0.1111111111111111</v>
      </c>
      <c r="DS2" s="59">
        <f t="shared" ref="DS2:DS11" si="122">IFERROR((EW2*3)+(EZ2*1.33)+(FA2*2)+FE2+FG2+FM2+FO2+FI2+FJ2+FN2+AT2,0)</f>
        <v>267.02999999999997</v>
      </c>
      <c r="DT2" s="60">
        <f t="shared" ref="DT2:DT11" si="123">IFERROR(DS2/L2,0)</f>
        <v>11.61</v>
      </c>
      <c r="DU2" s="59">
        <f t="shared" ref="DU2:DU11" si="124">IFERROR(FD2+FH2+FM2+FO2+FI2+FJ2+FL2*1.5+AT2,0)</f>
        <v>231.7</v>
      </c>
      <c r="DV2" s="60">
        <f t="shared" ref="DV2:DV11" si="125">IFERROR(DU2/L2,0)</f>
        <v>10.07391304347826</v>
      </c>
      <c r="DW2" s="59">
        <f t="shared" ref="DW2:DW11" si="126">IFERROR((EW2*3)+(EZ2*1.25)+(FA2*2)+FN2+CK2,0)</f>
        <v>67.25</v>
      </c>
      <c r="DX2" s="60">
        <f t="shared" ref="DX2:DX11" si="127">IFERROR(DW2/L2,0)</f>
        <v>2.9239130434782608</v>
      </c>
      <c r="DY2" s="61">
        <f t="shared" ref="DY2:DY11" si="128">IFERROR(DU2/DS2,0)</f>
        <v>0.86769276860277877</v>
      </c>
      <c r="DZ2" s="60">
        <f t="shared" ref="DZ2:DZ11" si="129">VALUE(SUBSTITUTE(FP2, " km", ""))</f>
        <v>233</v>
      </c>
      <c r="EA2" s="60">
        <f t="shared" ref="EA2:EA11" si="130">IFERROR(DZ2/L2,0)</f>
        <v>10.130434782608695</v>
      </c>
      <c r="EB2" s="60">
        <f t="shared" ref="EB2:EB11" si="131">FQ2</f>
        <v>5.0999999999999996</v>
      </c>
      <c r="EC2" s="59">
        <f t="shared" ref="EC2:EC11" si="132">FR2</f>
        <v>1</v>
      </c>
      <c r="ED2" s="60">
        <f t="shared" ref="ED2:ED11" si="133">IFERROR(EC2/L2,0)</f>
        <v>4.3478260869565216E-2</v>
      </c>
      <c r="EE2" s="59">
        <f t="shared" ref="EE2:EE11" si="134">IFERROR((FE2-FD2)+(FT2-FU2)+(FG2-FH2)+(FN2),0)</f>
        <v>94</v>
      </c>
      <c r="EF2" s="60">
        <f t="shared" ref="EF2:EF11" si="135">IFERROR((EE2/L2),0)</f>
        <v>4.0869565217391308</v>
      </c>
      <c r="EG2" s="59">
        <f t="shared" ref="EG2:EG11" si="136">EH2*L2</f>
        <v>312.8</v>
      </c>
      <c r="EH2" s="60">
        <f t="shared" ref="EH2:EH11" si="137">FK2</f>
        <v>13.6</v>
      </c>
      <c r="EI2" s="60">
        <f t="shared" ref="EI2:EI11" si="138">IFERROR(VALUE(SUBSTITUTE(GE2, ".", ",")),0)</f>
        <v>6.9</v>
      </c>
      <c r="EJ2" s="270"/>
      <c r="EK2" s="266" t="s">
        <v>910</v>
      </c>
      <c r="EL2" s="266" t="s">
        <v>798</v>
      </c>
      <c r="EM2" s="266">
        <v>22</v>
      </c>
      <c r="EN2" s="266" t="s">
        <v>911</v>
      </c>
      <c r="EO2" s="266" t="s">
        <v>912</v>
      </c>
      <c r="EP2" s="266" t="s">
        <v>913</v>
      </c>
      <c r="EQ2" s="266" t="s">
        <v>574</v>
      </c>
      <c r="ER2" s="267">
        <v>47299</v>
      </c>
      <c r="ES2" s="266" t="s">
        <v>710</v>
      </c>
      <c r="ET2" s="266">
        <v>2070</v>
      </c>
      <c r="EU2" s="266">
        <v>23</v>
      </c>
      <c r="EV2" s="266">
        <v>2</v>
      </c>
      <c r="EW2" s="266">
        <v>0</v>
      </c>
      <c r="EX2" s="266">
        <v>2</v>
      </c>
      <c r="EY2" s="266">
        <v>0</v>
      </c>
      <c r="EZ2" s="266">
        <v>1</v>
      </c>
      <c r="FA2" s="266">
        <v>0</v>
      </c>
      <c r="FB2" s="266">
        <v>52</v>
      </c>
      <c r="FC2" s="266">
        <v>10</v>
      </c>
      <c r="FD2" s="266">
        <v>68</v>
      </c>
      <c r="FE2" s="266">
        <v>95</v>
      </c>
      <c r="FF2" s="266">
        <v>0.9</v>
      </c>
      <c r="FG2" s="266">
        <v>11</v>
      </c>
      <c r="FH2" s="266">
        <v>10</v>
      </c>
      <c r="FI2" s="266">
        <v>21</v>
      </c>
      <c r="FJ2" s="266">
        <v>19</v>
      </c>
      <c r="FK2" s="266">
        <v>13.6</v>
      </c>
      <c r="FL2" s="266">
        <v>2</v>
      </c>
      <c r="FM2" s="266">
        <v>75</v>
      </c>
      <c r="FN2" s="266">
        <v>9</v>
      </c>
      <c r="FO2" s="266">
        <v>15</v>
      </c>
      <c r="FP2" s="266" t="s">
        <v>914</v>
      </c>
      <c r="FQ2" s="266">
        <v>5.0999999999999996</v>
      </c>
      <c r="FR2" s="266">
        <v>1</v>
      </c>
      <c r="FS2" s="266">
        <v>66</v>
      </c>
      <c r="FT2" s="266">
        <v>1169</v>
      </c>
      <c r="FU2" s="266">
        <v>1112</v>
      </c>
      <c r="FV2" s="266">
        <v>0</v>
      </c>
      <c r="FW2" s="266">
        <v>10</v>
      </c>
      <c r="FX2" s="266">
        <v>4</v>
      </c>
      <c r="FY2" s="266">
        <v>0</v>
      </c>
      <c r="FZ2" s="266">
        <v>0</v>
      </c>
      <c r="GA2" s="266" t="s">
        <v>915</v>
      </c>
      <c r="GB2" s="266" t="s">
        <v>1043</v>
      </c>
      <c r="GC2" s="266">
        <v>4</v>
      </c>
      <c r="GD2" s="266">
        <v>0</v>
      </c>
      <c r="GE2" s="271">
        <v>6.9</v>
      </c>
    </row>
    <row r="3" spans="1:194" ht="24.95" customHeight="1" thickBot="1" x14ac:dyDescent="0.3">
      <c r="A3" s="29" t="str">
        <f t="shared" si="0"/>
        <v>2º</v>
      </c>
      <c r="B3" s="93" t="str">
        <f t="shared" si="1"/>
        <v>Alessandro Marcandalli</v>
      </c>
      <c r="C3" s="83" t="str">
        <f t="shared" si="2"/>
        <v>ITA</v>
      </c>
      <c r="D3" s="65" t="str">
        <f t="shared" si="3"/>
        <v>Genoa</v>
      </c>
      <c r="E3" s="91" t="str">
        <f t="shared" si="4"/>
        <v>Pé Direito</v>
      </c>
      <c r="F3" s="155">
        <f t="shared" si="5"/>
        <v>1.9</v>
      </c>
      <c r="G3" s="158">
        <f t="shared" si="6"/>
        <v>23</v>
      </c>
      <c r="H3" s="66" t="str">
        <f t="shared" si="7"/>
        <v>€10,5M - €13M</v>
      </c>
      <c r="I3" s="187">
        <f t="shared" si="8"/>
        <v>47299</v>
      </c>
      <c r="J3" s="273" t="str">
        <f t="shared" si="9"/>
        <v>€54,5m p/m</v>
      </c>
      <c r="K3" s="89">
        <f t="shared" si="10"/>
        <v>21.943333333333335</v>
      </c>
      <c r="L3" s="135">
        <f t="shared" si="11"/>
        <v>23.511111111111113</v>
      </c>
      <c r="M3" s="135">
        <f t="shared" si="12"/>
        <v>24</v>
      </c>
      <c r="N3" s="135">
        <f t="shared" si="13"/>
        <v>88.166666666666671</v>
      </c>
      <c r="O3" s="179">
        <f t="shared" si="14"/>
        <v>1</v>
      </c>
      <c r="P3" s="404">
        <f t="shared" si="15"/>
        <v>1</v>
      </c>
      <c r="Q3" s="404">
        <f t="shared" si="16"/>
        <v>0</v>
      </c>
      <c r="R3" s="404">
        <f t="shared" si="17"/>
        <v>1</v>
      </c>
      <c r="S3" s="405">
        <f t="shared" si="18"/>
        <v>4.2533081285444231E-2</v>
      </c>
      <c r="T3" s="405">
        <f t="shared" si="19"/>
        <v>4.2533081285444231E-2</v>
      </c>
      <c r="U3" s="56">
        <f t="shared" si="20"/>
        <v>0.83</v>
      </c>
      <c r="V3" s="56">
        <f t="shared" si="21"/>
        <v>3.5302457466918707E-2</v>
      </c>
      <c r="W3" s="56">
        <f t="shared" si="22"/>
        <v>0.83</v>
      </c>
      <c r="X3" s="56">
        <f t="shared" si="23"/>
        <v>3.5302457466918707E-2</v>
      </c>
      <c r="Y3" s="56">
        <f t="shared" si="24"/>
        <v>1.08</v>
      </c>
      <c r="Z3" s="56">
        <f t="shared" si="25"/>
        <v>4.593572778827977E-2</v>
      </c>
      <c r="AA3" s="56">
        <f t="shared" si="26"/>
        <v>1.9100000000000001</v>
      </c>
      <c r="AB3" s="56">
        <f t="shared" si="27"/>
        <v>8.1238185255198492E-2</v>
      </c>
      <c r="AC3" s="55">
        <f t="shared" si="28"/>
        <v>2</v>
      </c>
      <c r="AD3" s="56">
        <f t="shared" si="29"/>
        <v>1058</v>
      </c>
      <c r="AE3" s="61">
        <f t="shared" si="30"/>
        <v>8.5066162570888462E-2</v>
      </c>
      <c r="AF3" s="278">
        <f t="shared" si="31"/>
        <v>0</v>
      </c>
      <c r="AG3" s="278">
        <f t="shared" si="32"/>
        <v>0</v>
      </c>
      <c r="AH3" s="55">
        <f t="shared" si="33"/>
        <v>0</v>
      </c>
      <c r="AI3" s="58">
        <f t="shared" si="34"/>
        <v>9.9999999999999995E-8</v>
      </c>
      <c r="AJ3" s="274">
        <f t="shared" si="35"/>
        <v>0</v>
      </c>
      <c r="AK3" s="275">
        <f t="shared" si="36"/>
        <v>0</v>
      </c>
      <c r="AL3" s="55">
        <f t="shared" si="37"/>
        <v>142</v>
      </c>
      <c r="AM3" s="56">
        <f t="shared" si="38"/>
        <v>6.039697542533081</v>
      </c>
      <c r="AN3" s="55">
        <f t="shared" si="39"/>
        <v>108</v>
      </c>
      <c r="AO3" s="56">
        <f t="shared" si="40"/>
        <v>4.5935727788279772</v>
      </c>
      <c r="AP3" s="58">
        <f t="shared" si="41"/>
        <v>0.76056338028169013</v>
      </c>
      <c r="AQ3" s="55">
        <f t="shared" si="42"/>
        <v>34</v>
      </c>
      <c r="AR3" s="56">
        <f t="shared" si="43"/>
        <v>1.4461247637051038</v>
      </c>
      <c r="AS3" s="58">
        <f t="shared" si="44"/>
        <v>0.23943661971830985</v>
      </c>
      <c r="AT3" s="197">
        <f t="shared" si="45"/>
        <v>32.915555555555557</v>
      </c>
      <c r="AU3" s="196">
        <f t="shared" si="46"/>
        <v>1.4</v>
      </c>
      <c r="AV3" s="61">
        <f t="shared" si="47"/>
        <v>8.4507042253521125E-2</v>
      </c>
      <c r="AW3" s="197">
        <f t="shared" si="48"/>
        <v>12</v>
      </c>
      <c r="AX3" s="196">
        <f t="shared" si="49"/>
        <v>0.5103969754253308</v>
      </c>
      <c r="AY3" s="197">
        <f t="shared" si="50"/>
        <v>3</v>
      </c>
      <c r="AZ3" s="196">
        <f t="shared" si="51"/>
        <v>0.1275992438563327</v>
      </c>
      <c r="BA3" s="61">
        <f t="shared" si="52"/>
        <v>0.25</v>
      </c>
      <c r="BB3" s="330">
        <f t="shared" si="53"/>
        <v>6.9166666666666668E-2</v>
      </c>
      <c r="BC3" s="329">
        <f t="shared" si="54"/>
        <v>0.83</v>
      </c>
      <c r="BD3" s="329">
        <f t="shared" si="55"/>
        <v>0.17000000000000004</v>
      </c>
      <c r="BE3" s="329">
        <f t="shared" si="56"/>
        <v>0.17000000000000004</v>
      </c>
      <c r="BF3" s="55">
        <f t="shared" si="57"/>
        <v>79</v>
      </c>
      <c r="BG3" s="56">
        <f t="shared" si="58"/>
        <v>3.3601134215500941</v>
      </c>
      <c r="BH3" s="55">
        <f t="shared" si="59"/>
        <v>10</v>
      </c>
      <c r="BI3" s="56">
        <f t="shared" si="60"/>
        <v>0.4253308128544423</v>
      </c>
      <c r="BJ3" s="56">
        <f t="shared" si="61"/>
        <v>3.7003780718336481</v>
      </c>
      <c r="BK3" s="208">
        <f t="shared" si="62"/>
        <v>30</v>
      </c>
      <c r="BL3" s="206">
        <f t="shared" si="63"/>
        <v>1.275992438563327</v>
      </c>
      <c r="BM3" s="55">
        <f t="shared" si="64"/>
        <v>47</v>
      </c>
      <c r="BN3" s="56">
        <f t="shared" si="65"/>
        <v>1.9990548204158789</v>
      </c>
      <c r="BO3" s="57">
        <f t="shared" si="66"/>
        <v>23</v>
      </c>
      <c r="BP3" s="56">
        <f t="shared" si="67"/>
        <v>0.97826086956521729</v>
      </c>
      <c r="BQ3" s="72">
        <f t="shared" si="68"/>
        <v>9</v>
      </c>
      <c r="BR3" s="56">
        <f t="shared" si="69"/>
        <v>0.3827977315689981</v>
      </c>
      <c r="BS3" s="104">
        <f t="shared" si="70"/>
        <v>0.48936170212765956</v>
      </c>
      <c r="BT3" s="55">
        <f t="shared" si="71"/>
        <v>8</v>
      </c>
      <c r="BU3" s="56">
        <f t="shared" si="72"/>
        <v>0.34026465028355385</v>
      </c>
      <c r="BV3" s="59">
        <f t="shared" si="73"/>
        <v>70</v>
      </c>
      <c r="BW3" s="60">
        <f t="shared" si="74"/>
        <v>2.9773156899810962</v>
      </c>
      <c r="BX3" s="59">
        <f t="shared" si="75"/>
        <v>32</v>
      </c>
      <c r="BY3" s="60">
        <f t="shared" si="76"/>
        <v>1.3610586011342154</v>
      </c>
      <c r="BZ3" s="61">
        <f t="shared" si="77"/>
        <v>0.45714285714285713</v>
      </c>
      <c r="CA3" s="59">
        <f t="shared" si="78"/>
        <v>1152</v>
      </c>
      <c r="CB3" s="60">
        <f t="shared" si="79"/>
        <v>48.998109640831757</v>
      </c>
      <c r="CC3" s="59">
        <f t="shared" si="80"/>
        <v>1093</v>
      </c>
      <c r="CD3" s="60">
        <f t="shared" si="81"/>
        <v>46.488657844990541</v>
      </c>
      <c r="CE3" s="61">
        <f t="shared" si="82"/>
        <v>0.94878472222222221</v>
      </c>
      <c r="CF3" s="55">
        <f t="shared" si="83"/>
        <v>1087</v>
      </c>
      <c r="CG3" s="60">
        <f t="shared" si="84"/>
        <v>46.488657844990541</v>
      </c>
      <c r="CH3" s="59">
        <f t="shared" si="85"/>
        <v>65</v>
      </c>
      <c r="CI3" s="60">
        <f t="shared" si="86"/>
        <v>2.7646502835538751</v>
      </c>
      <c r="CJ3" s="277">
        <f t="shared" si="87"/>
        <v>5.979760809567617E-2</v>
      </c>
      <c r="CK3" s="332">
        <f t="shared" si="88"/>
        <v>59</v>
      </c>
      <c r="CL3" s="333">
        <f t="shared" si="89"/>
        <v>2.5094517958412097</v>
      </c>
      <c r="CM3" s="277">
        <f t="shared" si="90"/>
        <v>5.1215277777777776E-2</v>
      </c>
      <c r="CN3" s="197">
        <f t="shared" si="91"/>
        <v>6</v>
      </c>
      <c r="CO3" s="196">
        <f t="shared" si="92"/>
        <v>0.2551984877126654</v>
      </c>
      <c r="CP3" s="196">
        <f t="shared" si="93"/>
        <v>0.18000000000000002</v>
      </c>
      <c r="CQ3" s="197">
        <f t="shared" si="94"/>
        <v>6</v>
      </c>
      <c r="CR3" s="60">
        <f t="shared" si="95"/>
        <v>0.2551984877126654</v>
      </c>
      <c r="CS3" s="59">
        <f t="shared" si="96"/>
        <v>244</v>
      </c>
      <c r="CT3" s="60">
        <f t="shared" si="97"/>
        <v>10.378071833648393</v>
      </c>
      <c r="CU3" s="59">
        <f t="shared" si="98"/>
        <v>163</v>
      </c>
      <c r="CV3" s="60">
        <f t="shared" si="99"/>
        <v>6.9328922495274101</v>
      </c>
      <c r="CW3" s="344">
        <f t="shared" si="100"/>
        <v>81</v>
      </c>
      <c r="CX3" s="345">
        <f t="shared" si="101"/>
        <v>3.4451795841209827</v>
      </c>
      <c r="CY3" s="61">
        <f t="shared" si="102"/>
        <v>0.66803278688524592</v>
      </c>
      <c r="CZ3" s="59">
        <f t="shared" si="103"/>
        <v>113</v>
      </c>
      <c r="DA3" s="60">
        <f t="shared" si="104"/>
        <v>4.8062381852551983</v>
      </c>
      <c r="DB3" s="59">
        <f t="shared" si="105"/>
        <v>59</v>
      </c>
      <c r="DC3" s="60">
        <f t="shared" si="106"/>
        <v>2.5094517958412097</v>
      </c>
      <c r="DD3" s="292">
        <f t="shared" si="107"/>
        <v>198</v>
      </c>
      <c r="DE3" s="293">
        <f t="shared" si="108"/>
        <v>8.4215500945179578</v>
      </c>
      <c r="DF3" s="292">
        <f t="shared" si="109"/>
        <v>148</v>
      </c>
      <c r="DG3" s="293">
        <f t="shared" si="110"/>
        <v>6.294896030245746</v>
      </c>
      <c r="DH3" s="61">
        <f t="shared" si="111"/>
        <v>0.74747474747474751</v>
      </c>
      <c r="DI3" s="344">
        <f t="shared" si="112"/>
        <v>52</v>
      </c>
      <c r="DJ3" s="345">
        <f t="shared" si="113"/>
        <v>2.2117202268431</v>
      </c>
      <c r="DK3" s="292">
        <f t="shared" si="114"/>
        <v>15</v>
      </c>
      <c r="DL3" s="60">
        <f t="shared" si="115"/>
        <v>0.6379962192816635</v>
      </c>
      <c r="DM3" s="61">
        <f t="shared" si="116"/>
        <v>0.26262626262626265</v>
      </c>
      <c r="DN3" s="59">
        <f t="shared" si="117"/>
        <v>2</v>
      </c>
      <c r="DO3" s="59">
        <f t="shared" si="118"/>
        <v>0</v>
      </c>
      <c r="DP3" s="59">
        <f t="shared" si="119"/>
        <v>2</v>
      </c>
      <c r="DQ3" s="60">
        <f t="shared" si="120"/>
        <v>8.5066162570888462E-2</v>
      </c>
      <c r="DR3" s="61">
        <f t="shared" si="121"/>
        <v>0.13333333333333333</v>
      </c>
      <c r="DS3" s="59">
        <f t="shared" si="122"/>
        <v>333.57555555555552</v>
      </c>
      <c r="DT3" s="60">
        <f t="shared" si="123"/>
        <v>14.187996219281661</v>
      </c>
      <c r="DU3" s="59">
        <f t="shared" si="124"/>
        <v>284.91555555555556</v>
      </c>
      <c r="DV3" s="60">
        <f t="shared" si="125"/>
        <v>12.118336483931946</v>
      </c>
      <c r="DW3" s="59">
        <f t="shared" si="126"/>
        <v>76.5</v>
      </c>
      <c r="DX3" s="60">
        <f t="shared" si="127"/>
        <v>3.2537807183364835</v>
      </c>
      <c r="DY3" s="61">
        <f t="shared" si="128"/>
        <v>0.85412600177204578</v>
      </c>
      <c r="DZ3" s="60">
        <f t="shared" si="129"/>
        <v>234.2</v>
      </c>
      <c r="EA3" s="60">
        <f t="shared" si="130"/>
        <v>9.9612476370510379</v>
      </c>
      <c r="EB3" s="60">
        <f t="shared" si="131"/>
        <v>3.7</v>
      </c>
      <c r="EC3" s="59">
        <f t="shared" si="132"/>
        <v>5</v>
      </c>
      <c r="ED3" s="60">
        <f t="shared" si="133"/>
        <v>0.21266540642722115</v>
      </c>
      <c r="EE3" s="59">
        <f t="shared" si="134"/>
        <v>117</v>
      </c>
      <c r="EF3" s="60">
        <f t="shared" si="135"/>
        <v>4.9763705103969746</v>
      </c>
      <c r="EG3" s="59">
        <f t="shared" si="136"/>
        <v>317.40000000000003</v>
      </c>
      <c r="EH3" s="60">
        <f t="shared" si="137"/>
        <v>13.5</v>
      </c>
      <c r="EI3" s="60">
        <f t="shared" si="138"/>
        <v>6.89</v>
      </c>
      <c r="EJ3" s="270"/>
      <c r="EK3" s="266" t="s">
        <v>905</v>
      </c>
      <c r="EL3" s="266" t="s">
        <v>798</v>
      </c>
      <c r="EM3" s="266">
        <v>23</v>
      </c>
      <c r="EN3" s="266" t="s">
        <v>906</v>
      </c>
      <c r="EO3" s="266" t="s">
        <v>907</v>
      </c>
      <c r="EP3" s="266" t="s">
        <v>614</v>
      </c>
      <c r="EQ3" s="266" t="s">
        <v>573</v>
      </c>
      <c r="ER3" s="267">
        <v>47299</v>
      </c>
      <c r="ES3" s="266" t="s">
        <v>802</v>
      </c>
      <c r="ET3" s="266">
        <v>2116</v>
      </c>
      <c r="EU3" s="266">
        <v>24</v>
      </c>
      <c r="EV3" s="266">
        <v>2</v>
      </c>
      <c r="EW3" s="266">
        <v>0</v>
      </c>
      <c r="EX3" s="266">
        <v>1</v>
      </c>
      <c r="EY3" s="266">
        <v>0</v>
      </c>
      <c r="EZ3" s="266">
        <v>2</v>
      </c>
      <c r="FA3" s="266">
        <v>0</v>
      </c>
      <c r="FB3" s="266">
        <v>70</v>
      </c>
      <c r="FC3" s="266">
        <v>32</v>
      </c>
      <c r="FD3" s="266">
        <v>108</v>
      </c>
      <c r="FE3" s="266">
        <v>142</v>
      </c>
      <c r="FF3" s="266">
        <v>1.4</v>
      </c>
      <c r="FG3" s="266">
        <v>32</v>
      </c>
      <c r="FH3" s="266">
        <v>23</v>
      </c>
      <c r="FI3" s="266">
        <v>9</v>
      </c>
      <c r="FJ3" s="266">
        <v>10</v>
      </c>
      <c r="FK3" s="266">
        <v>13.5</v>
      </c>
      <c r="FL3" s="266">
        <v>8</v>
      </c>
      <c r="FM3" s="266">
        <v>60</v>
      </c>
      <c r="FN3" s="266">
        <v>15</v>
      </c>
      <c r="FO3" s="266">
        <v>30</v>
      </c>
      <c r="FP3" s="266" t="s">
        <v>908</v>
      </c>
      <c r="FQ3" s="266">
        <v>3.7</v>
      </c>
      <c r="FR3" s="266">
        <v>5</v>
      </c>
      <c r="FS3" s="266">
        <v>65</v>
      </c>
      <c r="FT3" s="266">
        <v>1152</v>
      </c>
      <c r="FU3" s="266">
        <v>1093</v>
      </c>
      <c r="FV3" s="266">
        <v>0</v>
      </c>
      <c r="FW3" s="266">
        <v>12</v>
      </c>
      <c r="FX3" s="266">
        <v>3</v>
      </c>
      <c r="FY3" s="266">
        <v>0</v>
      </c>
      <c r="FZ3" s="266">
        <v>0</v>
      </c>
      <c r="GA3" s="266" t="s">
        <v>909</v>
      </c>
      <c r="GB3" s="266" t="s">
        <v>1044</v>
      </c>
      <c r="GC3" s="266">
        <v>6</v>
      </c>
      <c r="GD3" s="266">
        <v>0</v>
      </c>
      <c r="GE3" s="271">
        <v>6.89</v>
      </c>
    </row>
    <row r="4" spans="1:194" ht="24.95" customHeight="1" thickBot="1" x14ac:dyDescent="0.3">
      <c r="A4" s="29" t="str">
        <f t="shared" si="0"/>
        <v>3º</v>
      </c>
      <c r="B4" s="93" t="str">
        <f t="shared" si="1"/>
        <v>Antonio Caracciolo</v>
      </c>
      <c r="C4" s="83" t="str">
        <f t="shared" si="2"/>
        <v>ITA</v>
      </c>
      <c r="D4" s="65" t="str">
        <f t="shared" si="3"/>
        <v>Pisa</v>
      </c>
      <c r="E4" s="91" t="str">
        <f t="shared" si="4"/>
        <v>Pé Direito</v>
      </c>
      <c r="F4" s="155">
        <f t="shared" si="5"/>
        <v>1.85</v>
      </c>
      <c r="G4" s="158">
        <f t="shared" si="6"/>
        <v>35</v>
      </c>
      <c r="H4" s="66" t="str">
        <f t="shared" si="7"/>
        <v>€230m - €650m</v>
      </c>
      <c r="I4" s="187">
        <f t="shared" si="8"/>
        <v>46568</v>
      </c>
      <c r="J4" s="273" t="str">
        <f t="shared" si="9"/>
        <v>€46m p/m</v>
      </c>
      <c r="K4" s="89">
        <f t="shared" si="10"/>
        <v>21.943333333333335</v>
      </c>
      <c r="L4" s="135">
        <f t="shared" si="11"/>
        <v>19.366666666666667</v>
      </c>
      <c r="M4" s="135">
        <f t="shared" si="12"/>
        <v>21</v>
      </c>
      <c r="N4" s="135">
        <f t="shared" si="13"/>
        <v>83</v>
      </c>
      <c r="O4" s="179">
        <f t="shared" si="14"/>
        <v>0.95</v>
      </c>
      <c r="P4" s="404">
        <f t="shared" si="15"/>
        <v>1</v>
      </c>
      <c r="Q4" s="404">
        <f t="shared" si="16"/>
        <v>1</v>
      </c>
      <c r="R4" s="404">
        <f t="shared" si="17"/>
        <v>2</v>
      </c>
      <c r="S4" s="405">
        <f t="shared" si="18"/>
        <v>5.163511187607573E-2</v>
      </c>
      <c r="T4" s="405">
        <f t="shared" si="19"/>
        <v>0.10327022375215146</v>
      </c>
      <c r="U4" s="56">
        <f t="shared" si="20"/>
        <v>0.24</v>
      </c>
      <c r="V4" s="56">
        <f t="shared" si="21"/>
        <v>1.2392426850258174E-2</v>
      </c>
      <c r="W4" s="56">
        <f t="shared" si="22"/>
        <v>0.24</v>
      </c>
      <c r="X4" s="56">
        <f t="shared" si="23"/>
        <v>1.2392426850258174E-2</v>
      </c>
      <c r="Y4" s="56">
        <f t="shared" si="24"/>
        <v>0.92</v>
      </c>
      <c r="Z4" s="56">
        <f t="shared" si="25"/>
        <v>4.7504302925989672E-2</v>
      </c>
      <c r="AA4" s="56">
        <f t="shared" si="26"/>
        <v>1.1600000000000001</v>
      </c>
      <c r="AB4" s="56">
        <f t="shared" si="27"/>
        <v>5.9896729776247853E-2</v>
      </c>
      <c r="AC4" s="55">
        <f t="shared" si="28"/>
        <v>0</v>
      </c>
      <c r="AD4" s="56">
        <f t="shared" si="29"/>
        <v>5400</v>
      </c>
      <c r="AE4" s="61">
        <f t="shared" si="30"/>
        <v>0</v>
      </c>
      <c r="AF4" s="278">
        <f t="shared" si="31"/>
        <v>0</v>
      </c>
      <c r="AG4" s="278">
        <f t="shared" si="32"/>
        <v>0</v>
      </c>
      <c r="AH4" s="55">
        <f t="shared" si="33"/>
        <v>0</v>
      </c>
      <c r="AI4" s="58">
        <f t="shared" si="34"/>
        <v>9.9999999999999995E-8</v>
      </c>
      <c r="AJ4" s="274">
        <f t="shared" si="35"/>
        <v>0</v>
      </c>
      <c r="AK4" s="275">
        <f t="shared" si="36"/>
        <v>0</v>
      </c>
      <c r="AL4" s="55">
        <f t="shared" si="37"/>
        <v>91</v>
      </c>
      <c r="AM4" s="56">
        <f t="shared" si="38"/>
        <v>4.6987951807228914</v>
      </c>
      <c r="AN4" s="55">
        <f t="shared" si="39"/>
        <v>63</v>
      </c>
      <c r="AO4" s="56">
        <f t="shared" si="40"/>
        <v>3.2530120481927711</v>
      </c>
      <c r="AP4" s="58">
        <f t="shared" si="41"/>
        <v>0.69230769230769229</v>
      </c>
      <c r="AQ4" s="55">
        <f t="shared" si="42"/>
        <v>28</v>
      </c>
      <c r="AR4" s="56">
        <f t="shared" si="43"/>
        <v>1.4457831325301205</v>
      </c>
      <c r="AS4" s="58">
        <f t="shared" si="44"/>
        <v>0.30769230769230771</v>
      </c>
      <c r="AT4" s="197">
        <f t="shared" si="45"/>
        <v>13.556666666666667</v>
      </c>
      <c r="AU4" s="196">
        <f t="shared" si="46"/>
        <v>0.7</v>
      </c>
      <c r="AV4" s="61">
        <f t="shared" si="47"/>
        <v>4.3956043956043959E-2</v>
      </c>
      <c r="AW4" s="197">
        <f t="shared" si="48"/>
        <v>4</v>
      </c>
      <c r="AX4" s="196">
        <f t="shared" si="49"/>
        <v>0.20654044750430292</v>
      </c>
      <c r="AY4" s="197">
        <f t="shared" si="50"/>
        <v>1</v>
      </c>
      <c r="AZ4" s="196">
        <f t="shared" si="51"/>
        <v>5.163511187607573E-2</v>
      </c>
      <c r="BA4" s="61">
        <f t="shared" si="52"/>
        <v>0.25</v>
      </c>
      <c r="BB4" s="330">
        <f t="shared" si="53"/>
        <v>0.06</v>
      </c>
      <c r="BC4" s="329">
        <f t="shared" si="54"/>
        <v>0.24</v>
      </c>
      <c r="BD4" s="329">
        <f t="shared" si="55"/>
        <v>0.76</v>
      </c>
      <c r="BE4" s="329">
        <f t="shared" si="56"/>
        <v>0.76</v>
      </c>
      <c r="BF4" s="55">
        <f t="shared" si="57"/>
        <v>68</v>
      </c>
      <c r="BG4" s="56">
        <f t="shared" si="58"/>
        <v>3.5111876075731496</v>
      </c>
      <c r="BH4" s="55">
        <f t="shared" si="59"/>
        <v>10</v>
      </c>
      <c r="BI4" s="56">
        <f t="shared" si="60"/>
        <v>0.51635111876075734</v>
      </c>
      <c r="BJ4" s="56">
        <f t="shared" si="61"/>
        <v>3.7693631669535281</v>
      </c>
      <c r="BK4" s="208">
        <f t="shared" si="62"/>
        <v>31</v>
      </c>
      <c r="BL4" s="206">
        <f t="shared" si="63"/>
        <v>1.6006884681583475</v>
      </c>
      <c r="BM4" s="55">
        <f t="shared" si="64"/>
        <v>35</v>
      </c>
      <c r="BN4" s="56">
        <f t="shared" si="65"/>
        <v>1.8072289156626506</v>
      </c>
      <c r="BO4" s="57">
        <f t="shared" si="66"/>
        <v>20</v>
      </c>
      <c r="BP4" s="56">
        <f t="shared" si="67"/>
        <v>1.0327022375215147</v>
      </c>
      <c r="BQ4" s="72">
        <f t="shared" si="68"/>
        <v>6</v>
      </c>
      <c r="BR4" s="56">
        <f t="shared" si="69"/>
        <v>0.3098106712564544</v>
      </c>
      <c r="BS4" s="104">
        <f t="shared" si="70"/>
        <v>0.5714285714285714</v>
      </c>
      <c r="BT4" s="55">
        <f t="shared" si="71"/>
        <v>5</v>
      </c>
      <c r="BU4" s="56">
        <f t="shared" si="72"/>
        <v>0.25817555938037867</v>
      </c>
      <c r="BV4" s="59">
        <f t="shared" si="73"/>
        <v>52</v>
      </c>
      <c r="BW4" s="60">
        <f t="shared" si="74"/>
        <v>2.6850258175559381</v>
      </c>
      <c r="BX4" s="59">
        <f t="shared" si="75"/>
        <v>21</v>
      </c>
      <c r="BY4" s="60">
        <f t="shared" si="76"/>
        <v>1.0843373493975903</v>
      </c>
      <c r="BZ4" s="61">
        <f t="shared" si="77"/>
        <v>0.4038461538461538</v>
      </c>
      <c r="CA4" s="59">
        <f t="shared" si="78"/>
        <v>854</v>
      </c>
      <c r="CB4" s="60">
        <f t="shared" si="79"/>
        <v>44.096385542168676</v>
      </c>
      <c r="CC4" s="59">
        <f t="shared" si="80"/>
        <v>806</v>
      </c>
      <c r="CD4" s="60">
        <f t="shared" si="81"/>
        <v>41.617900172117039</v>
      </c>
      <c r="CE4" s="61">
        <f t="shared" si="82"/>
        <v>0.94379391100702581</v>
      </c>
      <c r="CF4" s="55">
        <f t="shared" si="83"/>
        <v>800</v>
      </c>
      <c r="CG4" s="60">
        <f t="shared" si="84"/>
        <v>41.617900172117039</v>
      </c>
      <c r="CH4" s="59">
        <f t="shared" si="85"/>
        <v>54</v>
      </c>
      <c r="CI4" s="60">
        <f t="shared" si="86"/>
        <v>2.7882960413080893</v>
      </c>
      <c r="CJ4" s="277">
        <f t="shared" si="87"/>
        <v>6.7500000000000004E-2</v>
      </c>
      <c r="CK4" s="332">
        <f t="shared" si="88"/>
        <v>48</v>
      </c>
      <c r="CL4" s="333">
        <f t="shared" si="89"/>
        <v>2.4784853700516352</v>
      </c>
      <c r="CM4" s="277">
        <f t="shared" si="90"/>
        <v>5.6206088992974239E-2</v>
      </c>
      <c r="CN4" s="197">
        <f t="shared" si="91"/>
        <v>5</v>
      </c>
      <c r="CO4" s="196">
        <f t="shared" si="92"/>
        <v>0.25817555938037867</v>
      </c>
      <c r="CP4" s="196">
        <f t="shared" si="93"/>
        <v>0.184</v>
      </c>
      <c r="CQ4" s="197">
        <f t="shared" si="94"/>
        <v>8</v>
      </c>
      <c r="CR4" s="60">
        <f t="shared" si="95"/>
        <v>0.41308089500860584</v>
      </c>
      <c r="CS4" s="59">
        <f t="shared" si="96"/>
        <v>169</v>
      </c>
      <c r="CT4" s="60">
        <f t="shared" si="97"/>
        <v>8.726333907056798</v>
      </c>
      <c r="CU4" s="59">
        <f t="shared" si="98"/>
        <v>104</v>
      </c>
      <c r="CV4" s="60">
        <f t="shared" si="99"/>
        <v>5.3700516351118761</v>
      </c>
      <c r="CW4" s="344">
        <f t="shared" si="100"/>
        <v>65</v>
      </c>
      <c r="CX4" s="345">
        <f t="shared" si="101"/>
        <v>3.3562822719449223</v>
      </c>
      <c r="CY4" s="61">
        <f t="shared" si="102"/>
        <v>0.61538461538461542</v>
      </c>
      <c r="CZ4" s="59">
        <f t="shared" si="103"/>
        <v>101.5</v>
      </c>
      <c r="DA4" s="60">
        <f t="shared" si="104"/>
        <v>5.2409638554216862</v>
      </c>
      <c r="DB4" s="59">
        <f t="shared" si="105"/>
        <v>43.5</v>
      </c>
      <c r="DC4" s="60">
        <f t="shared" si="106"/>
        <v>2.2461273666092945</v>
      </c>
      <c r="DD4" s="292">
        <f t="shared" si="107"/>
        <v>138</v>
      </c>
      <c r="DE4" s="293">
        <f t="shared" si="108"/>
        <v>7.1256454388984505</v>
      </c>
      <c r="DF4" s="292">
        <f t="shared" si="109"/>
        <v>100</v>
      </c>
      <c r="DG4" s="293">
        <f t="shared" si="110"/>
        <v>5.1635111876075728</v>
      </c>
      <c r="DH4" s="61">
        <f t="shared" si="111"/>
        <v>0.72463768115942029</v>
      </c>
      <c r="DI4" s="344">
        <f t="shared" si="112"/>
        <v>46</v>
      </c>
      <c r="DJ4" s="345">
        <f t="shared" si="113"/>
        <v>2.3752151462994835</v>
      </c>
      <c r="DK4" s="292">
        <f t="shared" si="114"/>
        <v>9</v>
      </c>
      <c r="DL4" s="60">
        <f t="shared" si="115"/>
        <v>0.46471600688468157</v>
      </c>
      <c r="DM4" s="61">
        <f t="shared" si="116"/>
        <v>0.33333333333333331</v>
      </c>
      <c r="DN4" s="59">
        <f t="shared" si="117"/>
        <v>2</v>
      </c>
      <c r="DO4" s="59">
        <f t="shared" si="118"/>
        <v>0</v>
      </c>
      <c r="DP4" s="59">
        <f t="shared" si="119"/>
        <v>2</v>
      </c>
      <c r="DQ4" s="60">
        <f t="shared" si="120"/>
        <v>0.10327022375215146</v>
      </c>
      <c r="DR4" s="61">
        <f t="shared" si="121"/>
        <v>0.22222222222222221</v>
      </c>
      <c r="DS4" s="59">
        <f t="shared" si="122"/>
        <v>241.21666666666667</v>
      </c>
      <c r="DT4" s="60">
        <f t="shared" si="123"/>
        <v>12.455249569707401</v>
      </c>
      <c r="DU4" s="59">
        <f t="shared" si="124"/>
        <v>203.05666666666667</v>
      </c>
      <c r="DV4" s="60">
        <f t="shared" si="125"/>
        <v>10.484853700516352</v>
      </c>
      <c r="DW4" s="59">
        <f t="shared" si="126"/>
        <v>59.5</v>
      </c>
      <c r="DX4" s="60">
        <f t="shared" si="127"/>
        <v>3.072289156626506</v>
      </c>
      <c r="DY4" s="61">
        <f t="shared" si="128"/>
        <v>0.84180197609341534</v>
      </c>
      <c r="DZ4" s="60">
        <f t="shared" si="129"/>
        <v>195.4</v>
      </c>
      <c r="EA4" s="60">
        <f t="shared" si="130"/>
        <v>10.089500860585199</v>
      </c>
      <c r="EB4" s="60">
        <f t="shared" si="131"/>
        <v>6.2</v>
      </c>
      <c r="EC4" s="59">
        <f t="shared" si="132"/>
        <v>0</v>
      </c>
      <c r="ED4" s="60">
        <f t="shared" si="133"/>
        <v>0</v>
      </c>
      <c r="EE4" s="59">
        <f t="shared" si="134"/>
        <v>91</v>
      </c>
      <c r="EF4" s="60">
        <f t="shared" si="135"/>
        <v>4.6987951807228914</v>
      </c>
      <c r="EG4" s="59">
        <f t="shared" si="136"/>
        <v>251.76666666666668</v>
      </c>
      <c r="EH4" s="60">
        <f t="shared" si="137"/>
        <v>13</v>
      </c>
      <c r="EI4" s="60">
        <f t="shared" si="138"/>
        <v>6.87</v>
      </c>
      <c r="EJ4" s="270"/>
      <c r="EK4" s="266" t="s">
        <v>940</v>
      </c>
      <c r="EL4" s="266" t="s">
        <v>751</v>
      </c>
      <c r="EM4" s="266">
        <v>35</v>
      </c>
      <c r="EN4" s="266" t="s">
        <v>941</v>
      </c>
      <c r="EO4" s="266" t="s">
        <v>889</v>
      </c>
      <c r="EP4" s="266" t="s">
        <v>614</v>
      </c>
      <c r="EQ4" s="266" t="s">
        <v>573</v>
      </c>
      <c r="ER4" s="267">
        <v>46568</v>
      </c>
      <c r="ES4" s="266" t="s">
        <v>718</v>
      </c>
      <c r="ET4" s="266">
        <v>1743</v>
      </c>
      <c r="EU4" s="266" t="s">
        <v>884</v>
      </c>
      <c r="EV4" s="266">
        <v>0</v>
      </c>
      <c r="EW4" s="266">
        <v>0</v>
      </c>
      <c r="EX4" s="266">
        <v>1</v>
      </c>
      <c r="EY4" s="266">
        <v>1</v>
      </c>
      <c r="EZ4" s="266">
        <v>2</v>
      </c>
      <c r="FA4" s="266">
        <v>0</v>
      </c>
      <c r="FB4" s="266">
        <v>52</v>
      </c>
      <c r="FC4" s="266">
        <v>21</v>
      </c>
      <c r="FD4" s="266">
        <v>63</v>
      </c>
      <c r="FE4" s="266">
        <v>91</v>
      </c>
      <c r="FF4" s="266">
        <v>0.7</v>
      </c>
      <c r="FG4" s="266">
        <v>26</v>
      </c>
      <c r="FH4" s="266">
        <v>20</v>
      </c>
      <c r="FI4" s="266">
        <v>12</v>
      </c>
      <c r="FJ4" s="266">
        <v>10</v>
      </c>
      <c r="FK4" s="266">
        <v>13</v>
      </c>
      <c r="FL4" s="266">
        <v>5</v>
      </c>
      <c r="FM4" s="266">
        <v>46</v>
      </c>
      <c r="FN4" s="266">
        <v>9</v>
      </c>
      <c r="FO4" s="266">
        <v>31</v>
      </c>
      <c r="FP4" s="266" t="s">
        <v>942</v>
      </c>
      <c r="FQ4" s="266">
        <v>6.2</v>
      </c>
      <c r="FR4" s="266">
        <v>0</v>
      </c>
      <c r="FS4" s="266">
        <v>54</v>
      </c>
      <c r="FT4" s="266">
        <v>854</v>
      </c>
      <c r="FU4" s="266">
        <v>806</v>
      </c>
      <c r="FV4" s="266">
        <v>3</v>
      </c>
      <c r="FW4" s="266">
        <v>4</v>
      </c>
      <c r="FX4" s="266">
        <v>1</v>
      </c>
      <c r="FY4" s="266">
        <v>0</v>
      </c>
      <c r="FZ4" s="266">
        <v>0</v>
      </c>
      <c r="GA4" s="266" t="s">
        <v>943</v>
      </c>
      <c r="GB4" s="266" t="s">
        <v>1045</v>
      </c>
      <c r="GC4" s="266">
        <v>5</v>
      </c>
      <c r="GD4" s="266">
        <v>0</v>
      </c>
      <c r="GE4" s="271">
        <v>6.87</v>
      </c>
    </row>
    <row r="5" spans="1:194" ht="24.95" customHeight="1" thickBot="1" x14ac:dyDescent="0.3">
      <c r="A5" s="29" t="str">
        <f t="shared" si="0"/>
        <v>4º</v>
      </c>
      <c r="B5" s="93" t="str">
        <f t="shared" si="1"/>
        <v>Daniele Rugani</v>
      </c>
      <c r="C5" s="83" t="str">
        <f t="shared" si="2"/>
        <v>ITA</v>
      </c>
      <c r="D5" s="65" t="str">
        <f t="shared" si="3"/>
        <v>Fiorentina</v>
      </c>
      <c r="E5" s="91" t="str">
        <f t="shared" si="4"/>
        <v>Pé Direito</v>
      </c>
      <c r="F5" s="155">
        <f t="shared" si="5"/>
        <v>1.9</v>
      </c>
      <c r="G5" s="158">
        <f t="shared" si="6"/>
        <v>31</v>
      </c>
      <c r="H5" s="66" t="str">
        <f t="shared" si="7"/>
        <v>€7,6M - €9,6M</v>
      </c>
      <c r="I5" s="187">
        <f t="shared" si="8"/>
        <v>46934</v>
      </c>
      <c r="J5" s="273" t="str">
        <f t="shared" si="9"/>
        <v>€386m p/m</v>
      </c>
      <c r="K5" s="89">
        <f t="shared" si="10"/>
        <v>21.943333333333335</v>
      </c>
      <c r="L5" s="135">
        <f t="shared" si="11"/>
        <v>23.977777777777778</v>
      </c>
      <c r="M5" s="135">
        <f t="shared" si="12"/>
        <v>26</v>
      </c>
      <c r="N5" s="135">
        <f t="shared" si="13"/>
        <v>83</v>
      </c>
      <c r="O5" s="179">
        <f t="shared" si="14"/>
        <v>0.92</v>
      </c>
      <c r="P5" s="404">
        <f t="shared" si="15"/>
        <v>1</v>
      </c>
      <c r="Q5" s="404">
        <f t="shared" si="16"/>
        <v>0</v>
      </c>
      <c r="R5" s="404">
        <f t="shared" si="17"/>
        <v>1</v>
      </c>
      <c r="S5" s="405">
        <f t="shared" si="18"/>
        <v>4.1705282669138088E-2</v>
      </c>
      <c r="T5" s="405">
        <f t="shared" si="19"/>
        <v>4.1705282669138088E-2</v>
      </c>
      <c r="U5" s="56">
        <f t="shared" si="20"/>
        <v>1.0900000000000001</v>
      </c>
      <c r="V5" s="56">
        <f t="shared" si="21"/>
        <v>4.5458758109360523E-2</v>
      </c>
      <c r="W5" s="56">
        <f t="shared" si="22"/>
        <v>1.0900000000000001</v>
      </c>
      <c r="X5" s="56">
        <f t="shared" si="23"/>
        <v>4.5458758109360523E-2</v>
      </c>
      <c r="Y5" s="56">
        <f t="shared" si="24"/>
        <v>0.02</v>
      </c>
      <c r="Z5" s="56">
        <f t="shared" si="25"/>
        <v>8.3410565338276187E-4</v>
      </c>
      <c r="AA5" s="56">
        <f t="shared" si="26"/>
        <v>1.1100000000000001</v>
      </c>
      <c r="AB5" s="56">
        <f t="shared" si="27"/>
        <v>4.6292863762743282E-2</v>
      </c>
      <c r="AC5" s="55">
        <f t="shared" si="28"/>
        <v>0</v>
      </c>
      <c r="AD5" s="56">
        <f t="shared" si="29"/>
        <v>5400</v>
      </c>
      <c r="AE5" s="61">
        <f t="shared" si="30"/>
        <v>0</v>
      </c>
      <c r="AF5" s="278">
        <f t="shared" si="31"/>
        <v>0</v>
      </c>
      <c r="AG5" s="278">
        <f t="shared" si="32"/>
        <v>0</v>
      </c>
      <c r="AH5" s="55">
        <f t="shared" si="33"/>
        <v>0</v>
      </c>
      <c r="AI5" s="58">
        <f t="shared" si="34"/>
        <v>9.9999999999999995E-8</v>
      </c>
      <c r="AJ5" s="274">
        <f t="shared" si="35"/>
        <v>1</v>
      </c>
      <c r="AK5" s="275">
        <f t="shared" si="36"/>
        <v>4.1705282669138088E-2</v>
      </c>
      <c r="AL5" s="55">
        <f t="shared" si="37"/>
        <v>108</v>
      </c>
      <c r="AM5" s="56">
        <f t="shared" si="38"/>
        <v>4.504170528266914</v>
      </c>
      <c r="AN5" s="55">
        <f t="shared" si="39"/>
        <v>80</v>
      </c>
      <c r="AO5" s="56">
        <f t="shared" si="40"/>
        <v>3.3364226135310471</v>
      </c>
      <c r="AP5" s="58">
        <f t="shared" si="41"/>
        <v>0.7407407407407407</v>
      </c>
      <c r="AQ5" s="55">
        <f t="shared" si="42"/>
        <v>28</v>
      </c>
      <c r="AR5" s="56">
        <f t="shared" si="43"/>
        <v>1.1677479147358665</v>
      </c>
      <c r="AS5" s="58">
        <f t="shared" si="44"/>
        <v>0.25925925925925924</v>
      </c>
      <c r="AT5" s="197">
        <f t="shared" si="45"/>
        <v>16.784444444444443</v>
      </c>
      <c r="AU5" s="196">
        <f t="shared" si="46"/>
        <v>0.7</v>
      </c>
      <c r="AV5" s="61">
        <f t="shared" si="47"/>
        <v>6.4814814814814811E-2</v>
      </c>
      <c r="AW5" s="197">
        <f t="shared" si="48"/>
        <v>7</v>
      </c>
      <c r="AX5" s="196">
        <f t="shared" si="49"/>
        <v>0.29193697868396662</v>
      </c>
      <c r="AY5" s="197">
        <f t="shared" si="50"/>
        <v>3</v>
      </c>
      <c r="AZ5" s="196">
        <f t="shared" si="51"/>
        <v>0.12511584800741427</v>
      </c>
      <c r="BA5" s="61">
        <f t="shared" si="52"/>
        <v>0.42857142857142855</v>
      </c>
      <c r="BB5" s="330">
        <f t="shared" si="53"/>
        <v>0.15571428571428572</v>
      </c>
      <c r="BC5" s="329">
        <f t="shared" si="54"/>
        <v>1.0900000000000001</v>
      </c>
      <c r="BD5" s="329">
        <f t="shared" si="55"/>
        <v>-9.000000000000008E-2</v>
      </c>
      <c r="BE5" s="329">
        <f t="shared" si="56"/>
        <v>-9.000000000000008E-2</v>
      </c>
      <c r="BF5" s="55">
        <f t="shared" si="57"/>
        <v>97</v>
      </c>
      <c r="BG5" s="56">
        <f t="shared" si="58"/>
        <v>4.0454124189063947</v>
      </c>
      <c r="BH5" s="55">
        <f t="shared" si="59"/>
        <v>11</v>
      </c>
      <c r="BI5" s="56">
        <f t="shared" si="60"/>
        <v>0.45875810936051897</v>
      </c>
      <c r="BJ5" s="56">
        <f t="shared" si="61"/>
        <v>4.1705282669138093</v>
      </c>
      <c r="BK5" s="208">
        <f t="shared" si="62"/>
        <v>29</v>
      </c>
      <c r="BL5" s="206">
        <f t="shared" si="63"/>
        <v>1.2094531974050047</v>
      </c>
      <c r="BM5" s="55">
        <f t="shared" si="64"/>
        <v>30</v>
      </c>
      <c r="BN5" s="56">
        <f t="shared" si="65"/>
        <v>1.2511584800741427</v>
      </c>
      <c r="BO5" s="57">
        <f t="shared" si="66"/>
        <v>14</v>
      </c>
      <c r="BP5" s="56">
        <f t="shared" si="67"/>
        <v>0.58387395736793324</v>
      </c>
      <c r="BQ5" s="72">
        <f t="shared" si="68"/>
        <v>7</v>
      </c>
      <c r="BR5" s="56">
        <f t="shared" si="69"/>
        <v>0.29193697868396662</v>
      </c>
      <c r="BS5" s="104">
        <f t="shared" si="70"/>
        <v>0.46666666666666667</v>
      </c>
      <c r="BT5" s="55">
        <f t="shared" si="71"/>
        <v>3</v>
      </c>
      <c r="BU5" s="56">
        <f t="shared" si="72"/>
        <v>0.12511584800741427</v>
      </c>
      <c r="BV5" s="59">
        <f t="shared" si="73"/>
        <v>65</v>
      </c>
      <c r="BW5" s="60">
        <f t="shared" si="74"/>
        <v>2.7108433734939759</v>
      </c>
      <c r="BX5" s="59">
        <f t="shared" si="75"/>
        <v>17</v>
      </c>
      <c r="BY5" s="60">
        <f t="shared" si="76"/>
        <v>0.7089898053753475</v>
      </c>
      <c r="BZ5" s="61">
        <f t="shared" si="77"/>
        <v>0.26153846153846155</v>
      </c>
      <c r="CA5" s="59">
        <f t="shared" si="78"/>
        <v>1281</v>
      </c>
      <c r="CB5" s="60">
        <f t="shared" si="79"/>
        <v>53.424467099165895</v>
      </c>
      <c r="CC5" s="59">
        <f t="shared" si="80"/>
        <v>1195</v>
      </c>
      <c r="CD5" s="60">
        <f t="shared" si="81"/>
        <v>49.837812789620017</v>
      </c>
      <c r="CE5" s="61">
        <f t="shared" si="82"/>
        <v>0.93286494925839192</v>
      </c>
      <c r="CF5" s="55">
        <f t="shared" si="83"/>
        <v>1188</v>
      </c>
      <c r="CG5" s="60">
        <f t="shared" si="84"/>
        <v>49.837812789620017</v>
      </c>
      <c r="CH5" s="59">
        <f t="shared" si="85"/>
        <v>93</v>
      </c>
      <c r="CI5" s="60">
        <f t="shared" si="86"/>
        <v>3.8785912882298423</v>
      </c>
      <c r="CJ5" s="277">
        <f t="shared" si="87"/>
        <v>7.8282828282828287E-2</v>
      </c>
      <c r="CK5" s="332">
        <f t="shared" si="88"/>
        <v>86</v>
      </c>
      <c r="CL5" s="333">
        <f t="shared" si="89"/>
        <v>3.5866543095458758</v>
      </c>
      <c r="CM5" s="277">
        <f t="shared" si="90"/>
        <v>6.7135050741608124E-2</v>
      </c>
      <c r="CN5" s="197">
        <f t="shared" si="91"/>
        <v>3</v>
      </c>
      <c r="CO5" s="196">
        <f t="shared" si="92"/>
        <v>0.12511584800741427</v>
      </c>
      <c r="CP5" s="196">
        <f t="shared" si="93"/>
        <v>6.6666666666666671E-3</v>
      </c>
      <c r="CQ5" s="197">
        <f t="shared" si="94"/>
        <v>4</v>
      </c>
      <c r="CR5" s="60">
        <f t="shared" si="95"/>
        <v>0.16682113067655235</v>
      </c>
      <c r="CS5" s="59">
        <f t="shared" si="96"/>
        <v>194</v>
      </c>
      <c r="CT5" s="60">
        <f t="shared" si="97"/>
        <v>8.0908248378127894</v>
      </c>
      <c r="CU5" s="59">
        <f t="shared" si="98"/>
        <v>111</v>
      </c>
      <c r="CV5" s="60">
        <f t="shared" si="99"/>
        <v>4.6292863762743277</v>
      </c>
      <c r="CW5" s="344">
        <f t="shared" si="100"/>
        <v>83</v>
      </c>
      <c r="CX5" s="345">
        <f t="shared" si="101"/>
        <v>3.4615384615384617</v>
      </c>
      <c r="CY5" s="61">
        <f t="shared" si="102"/>
        <v>0.57216494845360821</v>
      </c>
      <c r="CZ5" s="59">
        <f t="shared" si="103"/>
        <v>127.5</v>
      </c>
      <c r="DA5" s="60">
        <f t="shared" si="104"/>
        <v>5.3174235403151062</v>
      </c>
      <c r="DB5" s="59">
        <f t="shared" si="105"/>
        <v>32.5</v>
      </c>
      <c r="DC5" s="60">
        <f t="shared" si="106"/>
        <v>1.3554216867469879</v>
      </c>
      <c r="DD5" s="292">
        <f t="shared" si="107"/>
        <v>151</v>
      </c>
      <c r="DE5" s="293">
        <f t="shared" si="108"/>
        <v>6.2974976830398521</v>
      </c>
      <c r="DF5" s="292">
        <f t="shared" si="109"/>
        <v>110</v>
      </c>
      <c r="DG5" s="293">
        <f t="shared" si="110"/>
        <v>4.5875810936051904</v>
      </c>
      <c r="DH5" s="61">
        <f t="shared" si="111"/>
        <v>0.72847682119205293</v>
      </c>
      <c r="DI5" s="344">
        <f t="shared" si="112"/>
        <v>48</v>
      </c>
      <c r="DJ5" s="345">
        <f t="shared" si="113"/>
        <v>2.0018535681186282</v>
      </c>
      <c r="DK5" s="292">
        <f t="shared" si="114"/>
        <v>9</v>
      </c>
      <c r="DL5" s="60">
        <f t="shared" si="115"/>
        <v>0.3753475440222428</v>
      </c>
      <c r="DM5" s="61">
        <f t="shared" si="116"/>
        <v>0.31788079470198677</v>
      </c>
      <c r="DN5" s="59">
        <f t="shared" si="117"/>
        <v>1</v>
      </c>
      <c r="DO5" s="59">
        <f t="shared" si="118"/>
        <v>0</v>
      </c>
      <c r="DP5" s="59">
        <f t="shared" si="119"/>
        <v>1</v>
      </c>
      <c r="DQ5" s="60">
        <f t="shared" si="120"/>
        <v>4.1705282669138088E-2</v>
      </c>
      <c r="DR5" s="61">
        <f t="shared" si="121"/>
        <v>0.1111111111111111</v>
      </c>
      <c r="DS5" s="59">
        <f t="shared" si="122"/>
        <v>285.11444444444442</v>
      </c>
      <c r="DT5" s="60">
        <f t="shared" si="123"/>
        <v>11.890778498609823</v>
      </c>
      <c r="DU5" s="59">
        <f t="shared" si="124"/>
        <v>241.28444444444443</v>
      </c>
      <c r="DV5" s="60">
        <f t="shared" si="125"/>
        <v>10.0628359592215</v>
      </c>
      <c r="DW5" s="59">
        <f t="shared" si="126"/>
        <v>99.25</v>
      </c>
      <c r="DX5" s="60">
        <f t="shared" si="127"/>
        <v>4.1392493049119556</v>
      </c>
      <c r="DY5" s="61">
        <f t="shared" si="128"/>
        <v>0.84627225714430465</v>
      </c>
      <c r="DZ5" s="60">
        <f t="shared" si="129"/>
        <v>248.7</v>
      </c>
      <c r="EA5" s="60">
        <f t="shared" si="130"/>
        <v>10.372103799814642</v>
      </c>
      <c r="EB5" s="60">
        <f t="shared" si="131"/>
        <v>6.5</v>
      </c>
      <c r="EC5" s="59">
        <f t="shared" si="132"/>
        <v>3</v>
      </c>
      <c r="ED5" s="60">
        <f t="shared" si="133"/>
        <v>0.12511584800741427</v>
      </c>
      <c r="EE5" s="59">
        <f t="shared" si="134"/>
        <v>130</v>
      </c>
      <c r="EF5" s="60">
        <f t="shared" si="135"/>
        <v>5.4216867469879517</v>
      </c>
      <c r="EG5" s="59">
        <f t="shared" si="136"/>
        <v>225.39111111111112</v>
      </c>
      <c r="EH5" s="60">
        <f t="shared" si="137"/>
        <v>9.4</v>
      </c>
      <c r="EI5" s="60">
        <f t="shared" si="138"/>
        <v>6.88</v>
      </c>
      <c r="EJ5" s="268"/>
      <c r="EK5" s="264" t="s">
        <v>899</v>
      </c>
      <c r="EL5" s="264" t="s">
        <v>798</v>
      </c>
      <c r="EM5" s="264">
        <v>31</v>
      </c>
      <c r="EN5" s="264" t="s">
        <v>900</v>
      </c>
      <c r="EO5" s="264" t="s">
        <v>901</v>
      </c>
      <c r="EP5" s="264" t="s">
        <v>614</v>
      </c>
      <c r="EQ5" s="264" t="s">
        <v>573</v>
      </c>
      <c r="ER5" s="265">
        <v>46934</v>
      </c>
      <c r="ES5" s="264" t="s">
        <v>717</v>
      </c>
      <c r="ET5" s="264">
        <v>2158</v>
      </c>
      <c r="EU5" s="264" t="s">
        <v>902</v>
      </c>
      <c r="EV5" s="264">
        <v>0</v>
      </c>
      <c r="EW5" s="264">
        <v>1</v>
      </c>
      <c r="EX5" s="264">
        <v>1</v>
      </c>
      <c r="EY5" s="264">
        <v>0</v>
      </c>
      <c r="EZ5" s="264">
        <v>1</v>
      </c>
      <c r="FA5" s="264">
        <v>0</v>
      </c>
      <c r="FB5" s="264">
        <v>65</v>
      </c>
      <c r="FC5" s="264">
        <v>17</v>
      </c>
      <c r="FD5" s="264">
        <v>80</v>
      </c>
      <c r="FE5" s="264">
        <v>108</v>
      </c>
      <c r="FF5" s="264">
        <v>0.7</v>
      </c>
      <c r="FG5" s="264">
        <v>21</v>
      </c>
      <c r="FH5" s="264">
        <v>14</v>
      </c>
      <c r="FI5" s="264">
        <v>13</v>
      </c>
      <c r="FJ5" s="264">
        <v>11</v>
      </c>
      <c r="FK5" s="264">
        <v>9.4</v>
      </c>
      <c r="FL5" s="264">
        <v>3</v>
      </c>
      <c r="FM5" s="264">
        <v>73</v>
      </c>
      <c r="FN5" s="264">
        <v>9</v>
      </c>
      <c r="FO5" s="264">
        <v>29</v>
      </c>
      <c r="FP5" s="264" t="s">
        <v>903</v>
      </c>
      <c r="FQ5" s="264">
        <v>6.5</v>
      </c>
      <c r="FR5" s="264">
        <v>3</v>
      </c>
      <c r="FS5" s="264">
        <v>93</v>
      </c>
      <c r="FT5" s="264">
        <v>1281</v>
      </c>
      <c r="FU5" s="264">
        <v>1195</v>
      </c>
      <c r="FV5" s="264">
        <v>1</v>
      </c>
      <c r="FW5" s="264">
        <v>7</v>
      </c>
      <c r="FX5" s="264">
        <v>3</v>
      </c>
      <c r="FY5" s="264">
        <v>0</v>
      </c>
      <c r="FZ5" s="264">
        <v>0</v>
      </c>
      <c r="GA5" s="264" t="s">
        <v>904</v>
      </c>
      <c r="GB5" s="264" t="s">
        <v>1046</v>
      </c>
      <c r="GC5" s="264">
        <v>3</v>
      </c>
      <c r="GD5" s="264">
        <v>0</v>
      </c>
      <c r="GE5" s="269">
        <v>6.88</v>
      </c>
    </row>
    <row r="6" spans="1:194" ht="24.95" customHeight="1" thickBot="1" x14ac:dyDescent="0.3">
      <c r="A6" s="29" t="str">
        <f t="shared" si="0"/>
        <v>5º</v>
      </c>
      <c r="B6" s="93" t="str">
        <f t="shared" si="1"/>
        <v>Federico Baschirotto</v>
      </c>
      <c r="C6" s="83" t="str">
        <f t="shared" si="2"/>
        <v>ITA</v>
      </c>
      <c r="D6" s="65" t="str">
        <f t="shared" si="3"/>
        <v>Cremonese</v>
      </c>
      <c r="E6" s="91" t="str">
        <f t="shared" si="4"/>
        <v>Somente Pé Direito</v>
      </c>
      <c r="F6" s="155">
        <f t="shared" si="5"/>
        <v>1.84</v>
      </c>
      <c r="G6" s="158">
        <f t="shared" si="6"/>
        <v>29</v>
      </c>
      <c r="H6" s="66" t="str">
        <f t="shared" si="7"/>
        <v>€7,6M - €9,4M</v>
      </c>
      <c r="I6" s="187">
        <f t="shared" si="8"/>
        <v>46934</v>
      </c>
      <c r="J6" s="273" t="str">
        <f t="shared" si="9"/>
        <v>€155m p/m</v>
      </c>
      <c r="K6" s="89">
        <f t="shared" si="10"/>
        <v>21.943333333333335</v>
      </c>
      <c r="L6" s="135">
        <f t="shared" si="11"/>
        <v>22</v>
      </c>
      <c r="M6" s="135">
        <f t="shared" si="12"/>
        <v>22</v>
      </c>
      <c r="N6" s="135">
        <f t="shared" si="13"/>
        <v>90</v>
      </c>
      <c r="O6" s="179">
        <f t="shared" si="14"/>
        <v>1</v>
      </c>
      <c r="P6" s="404">
        <f t="shared" si="15"/>
        <v>0</v>
      </c>
      <c r="Q6" s="404">
        <f t="shared" si="16"/>
        <v>0</v>
      </c>
      <c r="R6" s="404">
        <f t="shared" si="17"/>
        <v>0</v>
      </c>
      <c r="S6" s="405">
        <f t="shared" si="18"/>
        <v>0</v>
      </c>
      <c r="T6" s="405">
        <f t="shared" si="19"/>
        <v>0</v>
      </c>
      <c r="U6" s="56">
        <f t="shared" si="20"/>
        <v>0.83</v>
      </c>
      <c r="V6" s="56">
        <f t="shared" si="21"/>
        <v>3.7727272727272727E-2</v>
      </c>
      <c r="W6" s="56">
        <f t="shared" si="22"/>
        <v>0.83</v>
      </c>
      <c r="X6" s="56">
        <f t="shared" si="23"/>
        <v>3.7727272727272727E-2</v>
      </c>
      <c r="Y6" s="56">
        <f t="shared" si="24"/>
        <v>0.39</v>
      </c>
      <c r="Z6" s="56">
        <f t="shared" si="25"/>
        <v>1.7727272727272727E-2</v>
      </c>
      <c r="AA6" s="56">
        <f t="shared" si="26"/>
        <v>1.22</v>
      </c>
      <c r="AB6" s="56">
        <f t="shared" si="27"/>
        <v>5.5454545454545451E-2</v>
      </c>
      <c r="AC6" s="55">
        <f t="shared" si="28"/>
        <v>0</v>
      </c>
      <c r="AD6" s="56">
        <f t="shared" si="29"/>
        <v>5400</v>
      </c>
      <c r="AE6" s="61">
        <f t="shared" si="30"/>
        <v>0</v>
      </c>
      <c r="AF6" s="278">
        <f t="shared" si="31"/>
        <v>0</v>
      </c>
      <c r="AG6" s="278">
        <f t="shared" si="32"/>
        <v>0</v>
      </c>
      <c r="AH6" s="55">
        <f t="shared" si="33"/>
        <v>0</v>
      </c>
      <c r="AI6" s="58">
        <f t="shared" si="34"/>
        <v>9.9999999999999995E-8</v>
      </c>
      <c r="AJ6" s="274">
        <f t="shared" si="35"/>
        <v>0</v>
      </c>
      <c r="AK6" s="275">
        <f t="shared" si="36"/>
        <v>0</v>
      </c>
      <c r="AL6" s="55">
        <f t="shared" si="37"/>
        <v>77</v>
      </c>
      <c r="AM6" s="56">
        <f t="shared" si="38"/>
        <v>3.5</v>
      </c>
      <c r="AN6" s="55">
        <f t="shared" si="39"/>
        <v>58</v>
      </c>
      <c r="AO6" s="56">
        <f t="shared" si="40"/>
        <v>2.6363636363636362</v>
      </c>
      <c r="AP6" s="58">
        <f t="shared" si="41"/>
        <v>0.75324675324675328</v>
      </c>
      <c r="AQ6" s="55">
        <f t="shared" si="42"/>
        <v>19</v>
      </c>
      <c r="AR6" s="56">
        <f t="shared" si="43"/>
        <v>0.86363636363636365</v>
      </c>
      <c r="AS6" s="58">
        <f t="shared" si="44"/>
        <v>0.24675324675324675</v>
      </c>
      <c r="AT6" s="197">
        <f t="shared" si="45"/>
        <v>13.2</v>
      </c>
      <c r="AU6" s="196">
        <f t="shared" si="46"/>
        <v>0.6</v>
      </c>
      <c r="AV6" s="61">
        <f t="shared" si="47"/>
        <v>9.0909090909090912E-2</v>
      </c>
      <c r="AW6" s="197">
        <f t="shared" si="48"/>
        <v>7</v>
      </c>
      <c r="AX6" s="196">
        <f t="shared" si="49"/>
        <v>0.31818181818181818</v>
      </c>
      <c r="AY6" s="197">
        <f t="shared" si="50"/>
        <v>1</v>
      </c>
      <c r="AZ6" s="196">
        <f t="shared" si="51"/>
        <v>4.5454545454545456E-2</v>
      </c>
      <c r="BA6" s="61">
        <f t="shared" si="52"/>
        <v>0.14285714285714285</v>
      </c>
      <c r="BB6" s="330">
        <f t="shared" si="53"/>
        <v>0.11857142857142856</v>
      </c>
      <c r="BC6" s="329">
        <f t="shared" si="54"/>
        <v>0.83</v>
      </c>
      <c r="BD6" s="329">
        <f t="shared" si="55"/>
        <v>-0.83</v>
      </c>
      <c r="BE6" s="329">
        <f t="shared" si="56"/>
        <v>-0.83</v>
      </c>
      <c r="BF6" s="55">
        <f t="shared" si="57"/>
        <v>105</v>
      </c>
      <c r="BG6" s="56">
        <f t="shared" si="58"/>
        <v>4.7727272727272725</v>
      </c>
      <c r="BH6" s="55">
        <f t="shared" si="59"/>
        <v>16</v>
      </c>
      <c r="BI6" s="56">
        <f t="shared" si="60"/>
        <v>0.72727272727272729</v>
      </c>
      <c r="BJ6" s="56">
        <f t="shared" si="61"/>
        <v>4.9545454545454541</v>
      </c>
      <c r="BK6" s="208">
        <f t="shared" si="62"/>
        <v>21</v>
      </c>
      <c r="BL6" s="206">
        <f t="shared" si="63"/>
        <v>0.95454545454545459</v>
      </c>
      <c r="BM6" s="55">
        <f t="shared" si="64"/>
        <v>29</v>
      </c>
      <c r="BN6" s="56">
        <f t="shared" si="65"/>
        <v>1.3181818181818181</v>
      </c>
      <c r="BO6" s="57">
        <f t="shared" si="66"/>
        <v>14</v>
      </c>
      <c r="BP6" s="56">
        <f t="shared" si="67"/>
        <v>0.63636363636363635</v>
      </c>
      <c r="BQ6" s="72">
        <f t="shared" si="68"/>
        <v>7</v>
      </c>
      <c r="BR6" s="56">
        <f t="shared" si="69"/>
        <v>0.31818181818181818</v>
      </c>
      <c r="BS6" s="104">
        <f t="shared" si="70"/>
        <v>0.48275862068965519</v>
      </c>
      <c r="BT6" s="55">
        <f t="shared" si="71"/>
        <v>4</v>
      </c>
      <c r="BU6" s="56">
        <f t="shared" si="72"/>
        <v>0.18181818181818182</v>
      </c>
      <c r="BV6" s="59">
        <f t="shared" si="73"/>
        <v>64</v>
      </c>
      <c r="BW6" s="60">
        <f t="shared" si="74"/>
        <v>2.9090909090909092</v>
      </c>
      <c r="BX6" s="59">
        <f t="shared" si="75"/>
        <v>25</v>
      </c>
      <c r="BY6" s="60">
        <f t="shared" si="76"/>
        <v>1.1363636363636365</v>
      </c>
      <c r="BZ6" s="61">
        <f t="shared" si="77"/>
        <v>0.390625</v>
      </c>
      <c r="CA6" s="59">
        <f t="shared" si="78"/>
        <v>1115</v>
      </c>
      <c r="CB6" s="60">
        <f t="shared" si="79"/>
        <v>50.68181818181818</v>
      </c>
      <c r="CC6" s="59">
        <f t="shared" si="80"/>
        <v>1027</v>
      </c>
      <c r="CD6" s="60">
        <f t="shared" si="81"/>
        <v>46.68181818181818</v>
      </c>
      <c r="CE6" s="61">
        <f t="shared" si="82"/>
        <v>0.92107623318385645</v>
      </c>
      <c r="CF6" s="55">
        <f t="shared" si="83"/>
        <v>1065</v>
      </c>
      <c r="CG6" s="60">
        <f t="shared" si="84"/>
        <v>46.68181818181818</v>
      </c>
      <c r="CH6" s="59">
        <f t="shared" si="85"/>
        <v>50</v>
      </c>
      <c r="CI6" s="60">
        <f t="shared" si="86"/>
        <v>2.2727272727272729</v>
      </c>
      <c r="CJ6" s="277">
        <f t="shared" si="87"/>
        <v>4.6948356807511735E-2</v>
      </c>
      <c r="CK6" s="332">
        <f t="shared" si="88"/>
        <v>88</v>
      </c>
      <c r="CL6" s="333">
        <f t="shared" si="89"/>
        <v>4</v>
      </c>
      <c r="CM6" s="277">
        <f t="shared" si="90"/>
        <v>7.8923766816143492E-2</v>
      </c>
      <c r="CN6" s="197">
        <f t="shared" si="91"/>
        <v>1</v>
      </c>
      <c r="CO6" s="196">
        <f t="shared" si="92"/>
        <v>4.5454545454545456E-2</v>
      </c>
      <c r="CP6" s="196">
        <f t="shared" si="93"/>
        <v>0.39</v>
      </c>
      <c r="CQ6" s="197">
        <f t="shared" si="94"/>
        <v>4</v>
      </c>
      <c r="CR6" s="60">
        <f t="shared" si="95"/>
        <v>0.18181818181818182</v>
      </c>
      <c r="CS6" s="59">
        <f t="shared" si="96"/>
        <v>162</v>
      </c>
      <c r="CT6" s="60">
        <f t="shared" si="97"/>
        <v>7.3636363636363633</v>
      </c>
      <c r="CU6" s="59">
        <f t="shared" si="98"/>
        <v>97</v>
      </c>
      <c r="CV6" s="60">
        <f t="shared" si="99"/>
        <v>4.4090909090909092</v>
      </c>
      <c r="CW6" s="344">
        <f t="shared" si="100"/>
        <v>65</v>
      </c>
      <c r="CX6" s="345">
        <f t="shared" si="101"/>
        <v>2.9545454545454546</v>
      </c>
      <c r="CY6" s="61">
        <f t="shared" si="102"/>
        <v>0.59876543209876543</v>
      </c>
      <c r="CZ6" s="59">
        <f t="shared" si="103"/>
        <v>128</v>
      </c>
      <c r="DA6" s="60">
        <f t="shared" si="104"/>
        <v>5.8181818181818183</v>
      </c>
      <c r="DB6" s="59">
        <f t="shared" si="105"/>
        <v>41</v>
      </c>
      <c r="DC6" s="60">
        <f t="shared" si="106"/>
        <v>1.8636363636363635</v>
      </c>
      <c r="DD6" s="292">
        <f t="shared" si="107"/>
        <v>123</v>
      </c>
      <c r="DE6" s="293">
        <f t="shared" si="108"/>
        <v>5.5909090909090908</v>
      </c>
      <c r="DF6" s="292">
        <f t="shared" si="109"/>
        <v>93</v>
      </c>
      <c r="DG6" s="293">
        <f t="shared" si="110"/>
        <v>4.2272727272727275</v>
      </c>
      <c r="DH6" s="61">
        <f t="shared" si="111"/>
        <v>0.75609756097560976</v>
      </c>
      <c r="DI6" s="344">
        <f t="shared" si="112"/>
        <v>43</v>
      </c>
      <c r="DJ6" s="345">
        <f t="shared" si="113"/>
        <v>1.9545454545454546</v>
      </c>
      <c r="DK6" s="292">
        <f t="shared" si="114"/>
        <v>8</v>
      </c>
      <c r="DL6" s="60">
        <f t="shared" si="115"/>
        <v>0.36363636363636365</v>
      </c>
      <c r="DM6" s="61">
        <f t="shared" si="116"/>
        <v>0.34959349593495936</v>
      </c>
      <c r="DN6" s="59">
        <f t="shared" si="117"/>
        <v>3</v>
      </c>
      <c r="DO6" s="59">
        <f t="shared" si="118"/>
        <v>0</v>
      </c>
      <c r="DP6" s="59">
        <f t="shared" si="119"/>
        <v>3</v>
      </c>
      <c r="DQ6" s="60">
        <f t="shared" si="120"/>
        <v>0.13636363636363635</v>
      </c>
      <c r="DR6" s="61">
        <f t="shared" si="121"/>
        <v>0.375</v>
      </c>
      <c r="DS6" s="59">
        <f t="shared" si="122"/>
        <v>249.19</v>
      </c>
      <c r="DT6" s="60">
        <f t="shared" si="123"/>
        <v>11.326818181818181</v>
      </c>
      <c r="DU6" s="59">
        <f t="shared" si="124"/>
        <v>217.2</v>
      </c>
      <c r="DV6" s="60">
        <f t="shared" si="125"/>
        <v>9.872727272727273</v>
      </c>
      <c r="DW6" s="59">
        <f t="shared" si="126"/>
        <v>99.75</v>
      </c>
      <c r="DX6" s="60">
        <f t="shared" si="127"/>
        <v>4.5340909090909092</v>
      </c>
      <c r="DY6" s="61">
        <f t="shared" si="128"/>
        <v>0.87162406196075282</v>
      </c>
      <c r="DZ6" s="60">
        <f t="shared" si="129"/>
        <v>211.5</v>
      </c>
      <c r="EA6" s="60">
        <f t="shared" si="130"/>
        <v>9.6136363636363633</v>
      </c>
      <c r="EB6" s="60">
        <f t="shared" si="131"/>
        <v>4.3</v>
      </c>
      <c r="EC6" s="59">
        <f t="shared" si="132"/>
        <v>1</v>
      </c>
      <c r="ED6" s="60">
        <f t="shared" si="133"/>
        <v>4.5454545454545456E-2</v>
      </c>
      <c r="EE6" s="59">
        <f t="shared" si="134"/>
        <v>122</v>
      </c>
      <c r="EF6" s="60">
        <f t="shared" si="135"/>
        <v>5.5454545454545459</v>
      </c>
      <c r="EG6" s="59">
        <f t="shared" si="136"/>
        <v>316.8</v>
      </c>
      <c r="EH6" s="60">
        <f t="shared" si="137"/>
        <v>14.4</v>
      </c>
      <c r="EI6" s="60">
        <f t="shared" si="138"/>
        <v>6.75</v>
      </c>
      <c r="EJ6" s="270"/>
      <c r="EK6" s="266" t="s">
        <v>929</v>
      </c>
      <c r="EL6" s="266" t="s">
        <v>540</v>
      </c>
      <c r="EM6" s="266">
        <v>29</v>
      </c>
      <c r="EN6" s="266" t="s">
        <v>930</v>
      </c>
      <c r="EO6" s="266" t="s">
        <v>757</v>
      </c>
      <c r="EP6" s="266" t="s">
        <v>614</v>
      </c>
      <c r="EQ6" s="266" t="s">
        <v>574</v>
      </c>
      <c r="ER6" s="267">
        <v>46934</v>
      </c>
      <c r="ES6" s="266" t="s">
        <v>885</v>
      </c>
      <c r="ET6" s="266">
        <v>1980</v>
      </c>
      <c r="EU6" s="266">
        <v>22</v>
      </c>
      <c r="EV6" s="266">
        <v>0</v>
      </c>
      <c r="EW6" s="266">
        <v>0</v>
      </c>
      <c r="EX6" s="266">
        <v>0</v>
      </c>
      <c r="EY6" s="266">
        <v>0</v>
      </c>
      <c r="EZ6" s="266">
        <v>3</v>
      </c>
      <c r="FA6" s="266">
        <v>0</v>
      </c>
      <c r="FB6" s="266">
        <v>64</v>
      </c>
      <c r="FC6" s="266">
        <v>25</v>
      </c>
      <c r="FD6" s="266">
        <v>58</v>
      </c>
      <c r="FE6" s="266">
        <v>77</v>
      </c>
      <c r="FF6" s="266">
        <v>0.6</v>
      </c>
      <c r="FG6" s="266">
        <v>21</v>
      </c>
      <c r="FH6" s="266">
        <v>14</v>
      </c>
      <c r="FI6" s="266">
        <v>17</v>
      </c>
      <c r="FJ6" s="266">
        <v>16</v>
      </c>
      <c r="FK6" s="266">
        <v>14.4</v>
      </c>
      <c r="FL6" s="266">
        <v>4</v>
      </c>
      <c r="FM6" s="266">
        <v>72</v>
      </c>
      <c r="FN6" s="266">
        <v>8</v>
      </c>
      <c r="FO6" s="266">
        <v>21</v>
      </c>
      <c r="FP6" s="266" t="s">
        <v>931</v>
      </c>
      <c r="FQ6" s="266">
        <v>4.3</v>
      </c>
      <c r="FR6" s="266">
        <v>1</v>
      </c>
      <c r="FS6" s="266">
        <v>50</v>
      </c>
      <c r="FT6" s="266">
        <v>1115</v>
      </c>
      <c r="FU6" s="266">
        <v>1027</v>
      </c>
      <c r="FV6" s="266">
        <v>3</v>
      </c>
      <c r="FW6" s="266">
        <v>7</v>
      </c>
      <c r="FX6" s="266">
        <v>1</v>
      </c>
      <c r="FY6" s="266">
        <v>0</v>
      </c>
      <c r="FZ6" s="266">
        <v>0</v>
      </c>
      <c r="GA6" s="266" t="s">
        <v>909</v>
      </c>
      <c r="GB6" s="266" t="s">
        <v>1047</v>
      </c>
      <c r="GC6" s="266">
        <v>1</v>
      </c>
      <c r="GD6" s="266">
        <v>0</v>
      </c>
      <c r="GE6" s="271">
        <v>6.75</v>
      </c>
    </row>
    <row r="7" spans="1:194" ht="24.95" customHeight="1" thickBot="1" x14ac:dyDescent="0.3">
      <c r="A7" s="29" t="str">
        <f t="shared" si="0"/>
        <v>6º</v>
      </c>
      <c r="B7" s="93" t="str">
        <f t="shared" si="1"/>
        <v>Francesco Acerbi</v>
      </c>
      <c r="C7" s="83" t="str">
        <f t="shared" si="2"/>
        <v>ITA</v>
      </c>
      <c r="D7" s="65" t="str">
        <f t="shared" si="3"/>
        <v>Internazionale de Milano</v>
      </c>
      <c r="E7" s="91" t="str">
        <f t="shared" si="4"/>
        <v>Pé Esquerdo</v>
      </c>
      <c r="F7" s="155">
        <f t="shared" si="5"/>
        <v>1.92</v>
      </c>
      <c r="G7" s="158">
        <f t="shared" si="6"/>
        <v>37</v>
      </c>
      <c r="H7" s="66" t="str">
        <f t="shared" si="7"/>
        <v>Não está à venda</v>
      </c>
      <c r="I7" s="187">
        <f t="shared" si="8"/>
        <v>46568</v>
      </c>
      <c r="J7" s="273" t="str">
        <f t="shared" si="9"/>
        <v>€455m p/m</v>
      </c>
      <c r="K7" s="89">
        <f t="shared" si="10"/>
        <v>21.943333333333335</v>
      </c>
      <c r="L7" s="135">
        <f t="shared" si="11"/>
        <v>20.844444444444445</v>
      </c>
      <c r="M7" s="135">
        <f t="shared" si="12"/>
        <v>22</v>
      </c>
      <c r="N7" s="135">
        <f t="shared" si="13"/>
        <v>85.272727272727266</v>
      </c>
      <c r="O7" s="179">
        <f t="shared" si="14"/>
        <v>0.95</v>
      </c>
      <c r="P7" s="404">
        <f t="shared" si="15"/>
        <v>0</v>
      </c>
      <c r="Q7" s="404">
        <f t="shared" si="16"/>
        <v>0</v>
      </c>
      <c r="R7" s="404">
        <f t="shared" si="17"/>
        <v>0</v>
      </c>
      <c r="S7" s="405">
        <f t="shared" si="18"/>
        <v>0</v>
      </c>
      <c r="T7" s="405">
        <f t="shared" si="19"/>
        <v>0</v>
      </c>
      <c r="U7" s="56">
        <f t="shared" si="20"/>
        <v>0.45</v>
      </c>
      <c r="V7" s="56">
        <f t="shared" si="21"/>
        <v>2.1588486140724946E-2</v>
      </c>
      <c r="W7" s="56">
        <f t="shared" si="22"/>
        <v>0.45</v>
      </c>
      <c r="X7" s="56">
        <f t="shared" si="23"/>
        <v>2.1588486140724946E-2</v>
      </c>
      <c r="Y7" s="56">
        <f t="shared" si="24"/>
        <v>1.36</v>
      </c>
      <c r="Z7" s="56">
        <f t="shared" si="25"/>
        <v>6.5245202558635404E-2</v>
      </c>
      <c r="AA7" s="56">
        <f t="shared" si="26"/>
        <v>1.81</v>
      </c>
      <c r="AB7" s="56">
        <f t="shared" si="27"/>
        <v>8.683368869936034E-2</v>
      </c>
      <c r="AC7" s="55">
        <f t="shared" si="28"/>
        <v>1</v>
      </c>
      <c r="AD7" s="56">
        <f t="shared" si="29"/>
        <v>1876</v>
      </c>
      <c r="AE7" s="61">
        <f t="shared" si="30"/>
        <v>4.7974413646055439E-2</v>
      </c>
      <c r="AF7" s="278">
        <f t="shared" si="31"/>
        <v>0</v>
      </c>
      <c r="AG7" s="278">
        <f t="shared" si="32"/>
        <v>0</v>
      </c>
      <c r="AH7" s="55">
        <f t="shared" si="33"/>
        <v>0</v>
      </c>
      <c r="AI7" s="58">
        <f t="shared" si="34"/>
        <v>9.9999999999999995E-8</v>
      </c>
      <c r="AJ7" s="274">
        <f t="shared" si="35"/>
        <v>0</v>
      </c>
      <c r="AK7" s="275">
        <f t="shared" si="36"/>
        <v>0</v>
      </c>
      <c r="AL7" s="55">
        <f t="shared" si="37"/>
        <v>116</v>
      </c>
      <c r="AM7" s="56">
        <f t="shared" si="38"/>
        <v>5.5650319829424308</v>
      </c>
      <c r="AN7" s="55">
        <f t="shared" si="39"/>
        <v>93</v>
      </c>
      <c r="AO7" s="56">
        <f t="shared" si="40"/>
        <v>4.4616204690831553</v>
      </c>
      <c r="AP7" s="58">
        <f t="shared" si="41"/>
        <v>0.80172413793103448</v>
      </c>
      <c r="AQ7" s="55">
        <f t="shared" si="42"/>
        <v>23</v>
      </c>
      <c r="AR7" s="56">
        <f t="shared" si="43"/>
        <v>1.1034115138592751</v>
      </c>
      <c r="AS7" s="58">
        <f t="shared" si="44"/>
        <v>0.19827586206896552</v>
      </c>
      <c r="AT7" s="197">
        <f t="shared" si="45"/>
        <v>14.591111111111111</v>
      </c>
      <c r="AU7" s="196">
        <f t="shared" si="46"/>
        <v>0.7</v>
      </c>
      <c r="AV7" s="61">
        <f t="shared" si="47"/>
        <v>5.1724137931034482E-2</v>
      </c>
      <c r="AW7" s="197">
        <f t="shared" si="48"/>
        <v>6</v>
      </c>
      <c r="AX7" s="196">
        <f t="shared" si="49"/>
        <v>0.2878464818763326</v>
      </c>
      <c r="AY7" s="197">
        <f t="shared" si="50"/>
        <v>2</v>
      </c>
      <c r="AZ7" s="196">
        <f t="shared" si="51"/>
        <v>9.5948827292110878E-2</v>
      </c>
      <c r="BA7" s="61">
        <f t="shared" si="52"/>
        <v>0.33333333333333331</v>
      </c>
      <c r="BB7" s="330">
        <f t="shared" si="53"/>
        <v>7.4999999999999997E-2</v>
      </c>
      <c r="BC7" s="329">
        <f t="shared" si="54"/>
        <v>0.45</v>
      </c>
      <c r="BD7" s="329">
        <f t="shared" si="55"/>
        <v>-0.45</v>
      </c>
      <c r="BE7" s="329">
        <f t="shared" si="56"/>
        <v>-0.45</v>
      </c>
      <c r="BF7" s="55">
        <f t="shared" si="57"/>
        <v>91</v>
      </c>
      <c r="BG7" s="56">
        <f t="shared" si="58"/>
        <v>4.3656716417910451</v>
      </c>
      <c r="BH7" s="55">
        <f t="shared" si="59"/>
        <v>21</v>
      </c>
      <c r="BI7" s="56">
        <f t="shared" si="60"/>
        <v>1.0074626865671641</v>
      </c>
      <c r="BJ7" s="56">
        <f t="shared" si="61"/>
        <v>4.4136460554371002</v>
      </c>
      <c r="BK7" s="208">
        <f t="shared" si="62"/>
        <v>16</v>
      </c>
      <c r="BL7" s="206">
        <f t="shared" si="63"/>
        <v>0.76759061833688702</v>
      </c>
      <c r="BM7" s="55">
        <f t="shared" si="64"/>
        <v>16</v>
      </c>
      <c r="BN7" s="56">
        <f t="shared" si="65"/>
        <v>0.76759061833688702</v>
      </c>
      <c r="BO7" s="57">
        <f t="shared" si="66"/>
        <v>6</v>
      </c>
      <c r="BP7" s="56">
        <f t="shared" si="67"/>
        <v>0.2878464818763326</v>
      </c>
      <c r="BQ7" s="72">
        <f t="shared" si="68"/>
        <v>3</v>
      </c>
      <c r="BR7" s="56">
        <f t="shared" si="69"/>
        <v>0.1439232409381663</v>
      </c>
      <c r="BS7" s="104">
        <f t="shared" si="70"/>
        <v>0.375</v>
      </c>
      <c r="BT7" s="55">
        <f t="shared" si="71"/>
        <v>1</v>
      </c>
      <c r="BU7" s="56">
        <f t="shared" si="72"/>
        <v>4.7974413646055439E-2</v>
      </c>
      <c r="BV7" s="59">
        <f t="shared" si="73"/>
        <v>55</v>
      </c>
      <c r="BW7" s="60">
        <f t="shared" si="74"/>
        <v>2.6385927505330491</v>
      </c>
      <c r="BX7" s="59">
        <f t="shared" si="75"/>
        <v>17</v>
      </c>
      <c r="BY7" s="60">
        <f t="shared" si="76"/>
        <v>0.81556503198294239</v>
      </c>
      <c r="BZ7" s="61">
        <f t="shared" si="77"/>
        <v>0.30909090909090908</v>
      </c>
      <c r="CA7" s="59">
        <f t="shared" si="78"/>
        <v>1097</v>
      </c>
      <c r="CB7" s="60">
        <f t="shared" si="79"/>
        <v>52.627931769722814</v>
      </c>
      <c r="CC7" s="59">
        <f t="shared" si="80"/>
        <v>1032</v>
      </c>
      <c r="CD7" s="60">
        <f t="shared" si="81"/>
        <v>49.50959488272921</v>
      </c>
      <c r="CE7" s="61">
        <f t="shared" si="82"/>
        <v>0.9407474931631723</v>
      </c>
      <c r="CF7" s="55">
        <f t="shared" si="83"/>
        <v>1051</v>
      </c>
      <c r="CG7" s="60">
        <f t="shared" si="84"/>
        <v>49.50959488272921</v>
      </c>
      <c r="CH7" s="59">
        <f t="shared" si="85"/>
        <v>46</v>
      </c>
      <c r="CI7" s="60">
        <f t="shared" si="86"/>
        <v>2.2068230277185501</v>
      </c>
      <c r="CJ7" s="277">
        <f t="shared" si="87"/>
        <v>4.3767840152235969E-2</v>
      </c>
      <c r="CK7" s="332">
        <f t="shared" si="88"/>
        <v>65</v>
      </c>
      <c r="CL7" s="333">
        <f t="shared" si="89"/>
        <v>3.1183368869936032</v>
      </c>
      <c r="CM7" s="277">
        <f t="shared" si="90"/>
        <v>5.9252506836827715E-2</v>
      </c>
      <c r="CN7" s="197">
        <f t="shared" si="91"/>
        <v>2</v>
      </c>
      <c r="CO7" s="196">
        <f t="shared" si="92"/>
        <v>9.5948827292110878E-2</v>
      </c>
      <c r="CP7" s="196">
        <f t="shared" si="93"/>
        <v>0.68</v>
      </c>
      <c r="CQ7" s="197">
        <f t="shared" si="94"/>
        <v>6</v>
      </c>
      <c r="CR7" s="60">
        <f t="shared" si="95"/>
        <v>0.2878464818763326</v>
      </c>
      <c r="CS7" s="59">
        <f t="shared" si="96"/>
        <v>180</v>
      </c>
      <c r="CT7" s="60">
        <f t="shared" si="97"/>
        <v>8.635394456289978</v>
      </c>
      <c r="CU7" s="59">
        <f t="shared" si="98"/>
        <v>116</v>
      </c>
      <c r="CV7" s="60">
        <f t="shared" si="99"/>
        <v>5.5650319829424308</v>
      </c>
      <c r="CW7" s="344">
        <f t="shared" si="100"/>
        <v>64</v>
      </c>
      <c r="CX7" s="345">
        <f t="shared" si="101"/>
        <v>3.0703624733475481</v>
      </c>
      <c r="CY7" s="61">
        <f t="shared" si="102"/>
        <v>0.64444444444444449</v>
      </c>
      <c r="CZ7" s="59">
        <f t="shared" si="103"/>
        <v>107.5</v>
      </c>
      <c r="DA7" s="60">
        <f t="shared" si="104"/>
        <v>5.157249466950959</v>
      </c>
      <c r="DB7" s="59">
        <f t="shared" si="105"/>
        <v>23.5</v>
      </c>
      <c r="DC7" s="60">
        <f t="shared" si="106"/>
        <v>1.1273987206823028</v>
      </c>
      <c r="DD7" s="292">
        <f t="shared" si="107"/>
        <v>143</v>
      </c>
      <c r="DE7" s="293">
        <f t="shared" si="108"/>
        <v>6.8603411513859269</v>
      </c>
      <c r="DF7" s="292">
        <f t="shared" si="109"/>
        <v>111</v>
      </c>
      <c r="DG7" s="293">
        <f t="shared" si="110"/>
        <v>5.3251599147121533</v>
      </c>
      <c r="DH7" s="61">
        <f t="shared" si="111"/>
        <v>0.77622377622377625</v>
      </c>
      <c r="DI7" s="344">
        <f t="shared" si="112"/>
        <v>37</v>
      </c>
      <c r="DJ7" s="345">
        <f t="shared" si="113"/>
        <v>1.7750533049040511</v>
      </c>
      <c r="DK7" s="292">
        <f t="shared" si="114"/>
        <v>7</v>
      </c>
      <c r="DL7" s="60">
        <f t="shared" si="115"/>
        <v>0.33582089552238803</v>
      </c>
      <c r="DM7" s="61">
        <f t="shared" si="116"/>
        <v>0.25874125874125875</v>
      </c>
      <c r="DN7" s="59">
        <f t="shared" si="117"/>
        <v>1</v>
      </c>
      <c r="DO7" s="59">
        <f t="shared" si="118"/>
        <v>0</v>
      </c>
      <c r="DP7" s="59">
        <f t="shared" si="119"/>
        <v>1</v>
      </c>
      <c r="DQ7" s="60">
        <f t="shared" si="120"/>
        <v>4.7974413646055439E-2</v>
      </c>
      <c r="DR7" s="61">
        <f t="shared" si="121"/>
        <v>0.14285714285714285</v>
      </c>
      <c r="DS7" s="59">
        <f t="shared" si="122"/>
        <v>254.92111111111109</v>
      </c>
      <c r="DT7" s="60">
        <f t="shared" si="123"/>
        <v>12.229690831556502</v>
      </c>
      <c r="DU7" s="59">
        <f t="shared" si="124"/>
        <v>222.0911111111111</v>
      </c>
      <c r="DV7" s="60">
        <f t="shared" si="125"/>
        <v>10.654690831556502</v>
      </c>
      <c r="DW7" s="59">
        <f t="shared" si="126"/>
        <v>73.25</v>
      </c>
      <c r="DX7" s="60">
        <f t="shared" si="127"/>
        <v>3.5141257995735606</v>
      </c>
      <c r="DY7" s="61">
        <f t="shared" si="128"/>
        <v>0.87121505999677462</v>
      </c>
      <c r="DZ7" s="60">
        <f t="shared" si="129"/>
        <v>210.5</v>
      </c>
      <c r="EA7" s="60">
        <f t="shared" si="130"/>
        <v>10.098614072494669</v>
      </c>
      <c r="EB7" s="60">
        <f t="shared" si="131"/>
        <v>3.6</v>
      </c>
      <c r="EC7" s="59">
        <f t="shared" si="132"/>
        <v>0</v>
      </c>
      <c r="ED7" s="60">
        <f t="shared" si="133"/>
        <v>0</v>
      </c>
      <c r="EE7" s="59">
        <f t="shared" si="134"/>
        <v>98</v>
      </c>
      <c r="EF7" s="60">
        <f t="shared" si="135"/>
        <v>4.7014925373134329</v>
      </c>
      <c r="EG7" s="59">
        <f t="shared" si="136"/>
        <v>260.55555555555554</v>
      </c>
      <c r="EH7" s="60">
        <f t="shared" si="137"/>
        <v>12.5</v>
      </c>
      <c r="EI7" s="60">
        <f t="shared" si="138"/>
        <v>7.06</v>
      </c>
      <c r="EJ7" s="268"/>
      <c r="EK7" s="264" t="s">
        <v>936</v>
      </c>
      <c r="EL7" s="264" t="s">
        <v>523</v>
      </c>
      <c r="EM7" s="264">
        <v>37</v>
      </c>
      <c r="EN7" s="264" t="s">
        <v>394</v>
      </c>
      <c r="EO7" s="264" t="s">
        <v>937</v>
      </c>
      <c r="EP7" s="264" t="s">
        <v>614</v>
      </c>
      <c r="EQ7" s="264" t="s">
        <v>579</v>
      </c>
      <c r="ER7" s="265">
        <v>46568</v>
      </c>
      <c r="ES7" s="264" t="s">
        <v>801</v>
      </c>
      <c r="ET7" s="264">
        <v>1876</v>
      </c>
      <c r="EU7" s="264" t="s">
        <v>897</v>
      </c>
      <c r="EV7" s="264">
        <v>1</v>
      </c>
      <c r="EW7" s="264">
        <v>0</v>
      </c>
      <c r="EX7" s="264">
        <v>0</v>
      </c>
      <c r="EY7" s="264">
        <v>0</v>
      </c>
      <c r="EZ7" s="264">
        <v>1</v>
      </c>
      <c r="FA7" s="264">
        <v>0</v>
      </c>
      <c r="FB7" s="264">
        <v>55</v>
      </c>
      <c r="FC7" s="264">
        <v>17</v>
      </c>
      <c r="FD7" s="264">
        <v>93</v>
      </c>
      <c r="FE7" s="264">
        <v>116</v>
      </c>
      <c r="FF7" s="264">
        <v>0.7</v>
      </c>
      <c r="FG7" s="264">
        <v>9</v>
      </c>
      <c r="FH7" s="264">
        <v>6</v>
      </c>
      <c r="FI7" s="264">
        <v>11</v>
      </c>
      <c r="FJ7" s="264">
        <v>21</v>
      </c>
      <c r="FK7" s="264">
        <v>12.5</v>
      </c>
      <c r="FL7" s="264">
        <v>1</v>
      </c>
      <c r="FM7" s="264">
        <v>59</v>
      </c>
      <c r="FN7" s="264">
        <v>7</v>
      </c>
      <c r="FO7" s="264">
        <v>16</v>
      </c>
      <c r="FP7" s="264" t="s">
        <v>938</v>
      </c>
      <c r="FQ7" s="264">
        <v>3.6</v>
      </c>
      <c r="FR7" s="264">
        <v>0</v>
      </c>
      <c r="FS7" s="264">
        <v>46</v>
      </c>
      <c r="FT7" s="264">
        <v>1097</v>
      </c>
      <c r="FU7" s="264">
        <v>1032</v>
      </c>
      <c r="FV7" s="264">
        <v>4</v>
      </c>
      <c r="FW7" s="264">
        <v>6</v>
      </c>
      <c r="FX7" s="264">
        <v>2</v>
      </c>
      <c r="FY7" s="264">
        <v>0</v>
      </c>
      <c r="FZ7" s="264">
        <v>0</v>
      </c>
      <c r="GA7" s="264" t="s">
        <v>755</v>
      </c>
      <c r="GB7" s="264" t="s">
        <v>1048</v>
      </c>
      <c r="GC7" s="264">
        <v>2</v>
      </c>
      <c r="GD7" s="264">
        <v>0</v>
      </c>
      <c r="GE7" s="269">
        <v>7.06</v>
      </c>
    </row>
    <row r="8" spans="1:194" ht="24.95" customHeight="1" thickBot="1" x14ac:dyDescent="0.3">
      <c r="A8" s="29" t="str">
        <f t="shared" si="0"/>
        <v>7º</v>
      </c>
      <c r="B8" s="93" t="str">
        <f t="shared" si="1"/>
        <v>Giorgio Scalvini</v>
      </c>
      <c r="C8" s="83" t="str">
        <f t="shared" si="2"/>
        <v>ITA</v>
      </c>
      <c r="D8" s="65" t="str">
        <f t="shared" si="3"/>
        <v>Atalanta B.C.</v>
      </c>
      <c r="E8" s="91" t="str">
        <f t="shared" si="4"/>
        <v>Pé Direito</v>
      </c>
      <c r="F8" s="155">
        <f t="shared" si="5"/>
        <v>1.94</v>
      </c>
      <c r="G8" s="158">
        <f t="shared" si="6"/>
        <v>22</v>
      </c>
      <c r="H8" s="66" t="str">
        <f t="shared" si="7"/>
        <v>€129M - €161M</v>
      </c>
      <c r="I8" s="187">
        <f t="shared" si="8"/>
        <v>46934</v>
      </c>
      <c r="J8" s="273" t="str">
        <f t="shared" si="9"/>
        <v>€233m p/m</v>
      </c>
      <c r="K8" s="89">
        <f t="shared" si="10"/>
        <v>21.943333333333335</v>
      </c>
      <c r="L8" s="135">
        <f t="shared" si="11"/>
        <v>22.888888888888889</v>
      </c>
      <c r="M8" s="135">
        <f t="shared" si="12"/>
        <v>24</v>
      </c>
      <c r="N8" s="135">
        <f t="shared" si="13"/>
        <v>85.833333333333329</v>
      </c>
      <c r="O8" s="179">
        <f t="shared" si="14"/>
        <v>1</v>
      </c>
      <c r="P8" s="404">
        <f t="shared" si="15"/>
        <v>0</v>
      </c>
      <c r="Q8" s="404">
        <f t="shared" si="16"/>
        <v>2</v>
      </c>
      <c r="R8" s="404">
        <f t="shared" si="17"/>
        <v>2</v>
      </c>
      <c r="S8" s="405">
        <f t="shared" si="18"/>
        <v>0</v>
      </c>
      <c r="T8" s="405">
        <f t="shared" si="19"/>
        <v>8.7378640776699032E-2</v>
      </c>
      <c r="U8" s="56">
        <f t="shared" si="20"/>
        <v>0.52</v>
      </c>
      <c r="V8" s="56">
        <f t="shared" si="21"/>
        <v>2.2718446601941746E-2</v>
      </c>
      <c r="W8" s="56">
        <f t="shared" si="22"/>
        <v>0.52</v>
      </c>
      <c r="X8" s="56">
        <f t="shared" si="23"/>
        <v>2.2718446601941746E-2</v>
      </c>
      <c r="Y8" s="56">
        <f t="shared" si="24"/>
        <v>1.08</v>
      </c>
      <c r="Z8" s="56">
        <f t="shared" si="25"/>
        <v>4.7184466019417476E-2</v>
      </c>
      <c r="AA8" s="56">
        <f t="shared" si="26"/>
        <v>1.6</v>
      </c>
      <c r="AB8" s="56">
        <f t="shared" si="27"/>
        <v>6.9902912621359226E-2</v>
      </c>
      <c r="AC8" s="55">
        <f t="shared" si="28"/>
        <v>3</v>
      </c>
      <c r="AD8" s="56">
        <f t="shared" si="29"/>
        <v>686.66666666666663</v>
      </c>
      <c r="AE8" s="61">
        <f t="shared" si="30"/>
        <v>0.13106796116504854</v>
      </c>
      <c r="AF8" s="278">
        <f t="shared" si="31"/>
        <v>0</v>
      </c>
      <c r="AG8" s="278">
        <f t="shared" si="32"/>
        <v>0</v>
      </c>
      <c r="AH8" s="55">
        <f t="shared" si="33"/>
        <v>0</v>
      </c>
      <c r="AI8" s="58">
        <f t="shared" si="34"/>
        <v>9.9999999999999995E-8</v>
      </c>
      <c r="AJ8" s="274">
        <f t="shared" si="35"/>
        <v>0</v>
      </c>
      <c r="AK8" s="275">
        <f t="shared" si="36"/>
        <v>0</v>
      </c>
      <c r="AL8" s="55">
        <f t="shared" si="37"/>
        <v>122</v>
      </c>
      <c r="AM8" s="56">
        <f t="shared" si="38"/>
        <v>5.3300970873786406</v>
      </c>
      <c r="AN8" s="55">
        <f t="shared" si="39"/>
        <v>91</v>
      </c>
      <c r="AO8" s="56">
        <f t="shared" si="40"/>
        <v>3.9757281553398056</v>
      </c>
      <c r="AP8" s="58">
        <f t="shared" si="41"/>
        <v>0.74590163934426235</v>
      </c>
      <c r="AQ8" s="55">
        <f t="shared" si="42"/>
        <v>31</v>
      </c>
      <c r="AR8" s="56">
        <f t="shared" si="43"/>
        <v>1.354368932038835</v>
      </c>
      <c r="AS8" s="58">
        <f t="shared" si="44"/>
        <v>0.25409836065573771</v>
      </c>
      <c r="AT8" s="197">
        <f t="shared" si="45"/>
        <v>27.466666666666665</v>
      </c>
      <c r="AU8" s="196">
        <f t="shared" si="46"/>
        <v>1.2</v>
      </c>
      <c r="AV8" s="61">
        <f t="shared" si="47"/>
        <v>6.5573770491803282E-2</v>
      </c>
      <c r="AW8" s="197">
        <f t="shared" si="48"/>
        <v>8</v>
      </c>
      <c r="AX8" s="196">
        <f t="shared" si="49"/>
        <v>0.34951456310679613</v>
      </c>
      <c r="AY8" s="197">
        <f t="shared" si="50"/>
        <v>2</v>
      </c>
      <c r="AZ8" s="196">
        <f t="shared" si="51"/>
        <v>8.7378640776699032E-2</v>
      </c>
      <c r="BA8" s="61">
        <f t="shared" si="52"/>
        <v>0.25</v>
      </c>
      <c r="BB8" s="330">
        <f t="shared" si="53"/>
        <v>6.5000000000000002E-2</v>
      </c>
      <c r="BC8" s="329">
        <f t="shared" si="54"/>
        <v>0.52</v>
      </c>
      <c r="BD8" s="329">
        <f t="shared" si="55"/>
        <v>-0.52</v>
      </c>
      <c r="BE8" s="329">
        <f t="shared" si="56"/>
        <v>-0.52</v>
      </c>
      <c r="BF8" s="55">
        <f t="shared" si="57"/>
        <v>94</v>
      </c>
      <c r="BG8" s="56">
        <f t="shared" si="58"/>
        <v>4.1067961165048539</v>
      </c>
      <c r="BH8" s="55">
        <f t="shared" si="59"/>
        <v>10</v>
      </c>
      <c r="BI8" s="56">
        <f t="shared" si="60"/>
        <v>0.43689320388349512</v>
      </c>
      <c r="BJ8" s="56">
        <f t="shared" si="61"/>
        <v>4.1941747572815533</v>
      </c>
      <c r="BK8" s="208">
        <f t="shared" si="62"/>
        <v>27</v>
      </c>
      <c r="BL8" s="206">
        <f t="shared" si="63"/>
        <v>1.1796116504854368</v>
      </c>
      <c r="BM8" s="55">
        <f t="shared" si="64"/>
        <v>25</v>
      </c>
      <c r="BN8" s="56">
        <f t="shared" si="65"/>
        <v>1.0922330097087378</v>
      </c>
      <c r="BO8" s="57">
        <f t="shared" si="66"/>
        <v>7</v>
      </c>
      <c r="BP8" s="56">
        <f t="shared" si="67"/>
        <v>0.30582524271844658</v>
      </c>
      <c r="BQ8" s="72">
        <f t="shared" si="68"/>
        <v>8</v>
      </c>
      <c r="BR8" s="56">
        <f t="shared" si="69"/>
        <v>0.34951456310679613</v>
      </c>
      <c r="BS8" s="104">
        <f t="shared" si="70"/>
        <v>0.28000000000000003</v>
      </c>
      <c r="BT8" s="55">
        <f t="shared" si="71"/>
        <v>2</v>
      </c>
      <c r="BU8" s="56">
        <f t="shared" si="72"/>
        <v>8.7378640776699032E-2</v>
      </c>
      <c r="BV8" s="59">
        <f t="shared" si="73"/>
        <v>58</v>
      </c>
      <c r="BW8" s="60">
        <f t="shared" si="74"/>
        <v>2.5339805825242716</v>
      </c>
      <c r="BX8" s="59">
        <f t="shared" si="75"/>
        <v>20</v>
      </c>
      <c r="BY8" s="60">
        <f t="shared" si="76"/>
        <v>0.87378640776699024</v>
      </c>
      <c r="BZ8" s="61">
        <f t="shared" si="77"/>
        <v>0.34482758620689657</v>
      </c>
      <c r="CA8" s="59">
        <f t="shared" si="78"/>
        <v>1264</v>
      </c>
      <c r="CB8" s="60">
        <f t="shared" si="79"/>
        <v>55.223300970873787</v>
      </c>
      <c r="CC8" s="59">
        <f t="shared" si="80"/>
        <v>1183</v>
      </c>
      <c r="CD8" s="60">
        <f t="shared" si="81"/>
        <v>51.684466019417478</v>
      </c>
      <c r="CE8" s="61">
        <f t="shared" si="82"/>
        <v>0.93591772151898733</v>
      </c>
      <c r="CF8" s="55">
        <f t="shared" si="83"/>
        <v>1197</v>
      </c>
      <c r="CG8" s="60">
        <f t="shared" si="84"/>
        <v>51.684466019417478</v>
      </c>
      <c r="CH8" s="59">
        <f t="shared" si="85"/>
        <v>67</v>
      </c>
      <c r="CI8" s="60">
        <f t="shared" si="86"/>
        <v>2.9271844660194173</v>
      </c>
      <c r="CJ8" s="277">
        <f t="shared" si="87"/>
        <v>5.5973266499582286E-2</v>
      </c>
      <c r="CK8" s="332">
        <f t="shared" si="88"/>
        <v>81</v>
      </c>
      <c r="CL8" s="333">
        <f t="shared" si="89"/>
        <v>3.5388349514563107</v>
      </c>
      <c r="CM8" s="277">
        <f t="shared" si="90"/>
        <v>6.4082278481012653E-2</v>
      </c>
      <c r="CN8" s="197">
        <f t="shared" si="91"/>
        <v>6</v>
      </c>
      <c r="CO8" s="196">
        <f t="shared" si="92"/>
        <v>0.26213592233009708</v>
      </c>
      <c r="CP8" s="196">
        <f t="shared" si="93"/>
        <v>0.18000000000000002</v>
      </c>
      <c r="CQ8" s="197">
        <f t="shared" si="94"/>
        <v>8</v>
      </c>
      <c r="CR8" s="60">
        <f t="shared" si="95"/>
        <v>0.34951456310679613</v>
      </c>
      <c r="CS8" s="59">
        <f t="shared" si="96"/>
        <v>195</v>
      </c>
      <c r="CT8" s="60">
        <f t="shared" si="97"/>
        <v>8.5194174757281544</v>
      </c>
      <c r="CU8" s="59">
        <f t="shared" si="98"/>
        <v>118</v>
      </c>
      <c r="CV8" s="60">
        <f t="shared" si="99"/>
        <v>5.1553398058252426</v>
      </c>
      <c r="CW8" s="344">
        <f t="shared" si="100"/>
        <v>77</v>
      </c>
      <c r="CX8" s="345">
        <f t="shared" si="101"/>
        <v>3.3640776699029127</v>
      </c>
      <c r="CY8" s="61">
        <f t="shared" si="102"/>
        <v>0.60512820512820509</v>
      </c>
      <c r="CZ8" s="59">
        <f t="shared" si="103"/>
        <v>122</v>
      </c>
      <c r="DA8" s="60">
        <f t="shared" si="104"/>
        <v>5.3300970873786406</v>
      </c>
      <c r="DB8" s="59">
        <f t="shared" si="105"/>
        <v>28</v>
      </c>
      <c r="DC8" s="60">
        <f t="shared" si="106"/>
        <v>1.2233009708737863</v>
      </c>
      <c r="DD8" s="292">
        <f t="shared" si="107"/>
        <v>164</v>
      </c>
      <c r="DE8" s="293">
        <f t="shared" si="108"/>
        <v>7.1650485436893199</v>
      </c>
      <c r="DF8" s="292">
        <f t="shared" si="109"/>
        <v>117</v>
      </c>
      <c r="DG8" s="293">
        <f t="shared" si="110"/>
        <v>5.1116504854368934</v>
      </c>
      <c r="DH8" s="61">
        <f t="shared" si="111"/>
        <v>0.71341463414634143</v>
      </c>
      <c r="DI8" s="344">
        <f t="shared" si="112"/>
        <v>56</v>
      </c>
      <c r="DJ8" s="345">
        <f t="shared" si="113"/>
        <v>2.4466019417475726</v>
      </c>
      <c r="DK8" s="292">
        <f t="shared" si="114"/>
        <v>10</v>
      </c>
      <c r="DL8" s="60">
        <f t="shared" si="115"/>
        <v>0.43689320388349512</v>
      </c>
      <c r="DM8" s="61">
        <f t="shared" si="116"/>
        <v>0.34146341463414637</v>
      </c>
      <c r="DN8" s="59">
        <f t="shared" si="117"/>
        <v>0</v>
      </c>
      <c r="DO8" s="59">
        <f t="shared" si="118"/>
        <v>0</v>
      </c>
      <c r="DP8" s="59">
        <f t="shared" si="119"/>
        <v>0</v>
      </c>
      <c r="DQ8" s="60">
        <f t="shared" si="120"/>
        <v>0</v>
      </c>
      <c r="DR8" s="61">
        <f t="shared" si="121"/>
        <v>0</v>
      </c>
      <c r="DS8" s="59">
        <f t="shared" si="122"/>
        <v>295.46666666666664</v>
      </c>
      <c r="DT8" s="60">
        <f t="shared" si="123"/>
        <v>12.908737864077668</v>
      </c>
      <c r="DU8" s="59">
        <f t="shared" si="124"/>
        <v>249.46666666666667</v>
      </c>
      <c r="DV8" s="60">
        <f t="shared" si="125"/>
        <v>10.899029126213593</v>
      </c>
      <c r="DW8" s="59">
        <f t="shared" si="126"/>
        <v>91</v>
      </c>
      <c r="DX8" s="60">
        <f t="shared" si="127"/>
        <v>3.9757281553398056</v>
      </c>
      <c r="DY8" s="61">
        <f t="shared" si="128"/>
        <v>0.84431407942238279</v>
      </c>
      <c r="DZ8" s="60">
        <f t="shared" si="129"/>
        <v>228.3</v>
      </c>
      <c r="EA8" s="60">
        <f t="shared" si="130"/>
        <v>9.9742718446601941</v>
      </c>
      <c r="EB8" s="60">
        <f t="shared" si="131"/>
        <v>4.5</v>
      </c>
      <c r="EC8" s="59">
        <f t="shared" si="132"/>
        <v>0</v>
      </c>
      <c r="ED8" s="60">
        <f t="shared" si="133"/>
        <v>0</v>
      </c>
      <c r="EE8" s="59">
        <f t="shared" si="134"/>
        <v>130</v>
      </c>
      <c r="EF8" s="60">
        <f t="shared" si="135"/>
        <v>5.6796116504854366</v>
      </c>
      <c r="EG8" s="59">
        <f t="shared" si="136"/>
        <v>379.95555555555558</v>
      </c>
      <c r="EH8" s="60">
        <f t="shared" si="137"/>
        <v>16.600000000000001</v>
      </c>
      <c r="EI8" s="60">
        <f t="shared" si="138"/>
        <v>7.13</v>
      </c>
      <c r="EJ8" s="268"/>
      <c r="EK8" s="264" t="s">
        <v>916</v>
      </c>
      <c r="EL8" s="264" t="s">
        <v>715</v>
      </c>
      <c r="EM8" s="264">
        <v>22</v>
      </c>
      <c r="EN8" s="264" t="s">
        <v>917</v>
      </c>
      <c r="EO8" s="264" t="s">
        <v>756</v>
      </c>
      <c r="EP8" s="264" t="s">
        <v>614</v>
      </c>
      <c r="EQ8" s="264" t="s">
        <v>573</v>
      </c>
      <c r="ER8" s="265">
        <v>46934</v>
      </c>
      <c r="ES8" s="264" t="s">
        <v>743</v>
      </c>
      <c r="ET8" s="264">
        <v>2060</v>
      </c>
      <c r="EU8" s="264">
        <v>24</v>
      </c>
      <c r="EV8" s="264">
        <v>3</v>
      </c>
      <c r="EW8" s="264">
        <v>0</v>
      </c>
      <c r="EX8" s="264">
        <v>0</v>
      </c>
      <c r="EY8" s="264">
        <v>2</v>
      </c>
      <c r="EZ8" s="264">
        <v>0</v>
      </c>
      <c r="FA8" s="264">
        <v>0</v>
      </c>
      <c r="FB8" s="264">
        <v>58</v>
      </c>
      <c r="FC8" s="264">
        <v>20</v>
      </c>
      <c r="FD8" s="264">
        <v>91</v>
      </c>
      <c r="FE8" s="264">
        <v>122</v>
      </c>
      <c r="FF8" s="264">
        <v>1.2</v>
      </c>
      <c r="FG8" s="264">
        <v>15</v>
      </c>
      <c r="FH8" s="264">
        <v>7</v>
      </c>
      <c r="FI8" s="264">
        <v>17</v>
      </c>
      <c r="FJ8" s="264">
        <v>10</v>
      </c>
      <c r="FK8" s="264">
        <v>16.600000000000001</v>
      </c>
      <c r="FL8" s="264">
        <v>2</v>
      </c>
      <c r="FM8" s="264">
        <v>67</v>
      </c>
      <c r="FN8" s="264">
        <v>10</v>
      </c>
      <c r="FO8" s="264">
        <v>27</v>
      </c>
      <c r="FP8" s="264" t="s">
        <v>918</v>
      </c>
      <c r="FQ8" s="264">
        <v>4.5</v>
      </c>
      <c r="FR8" s="264">
        <v>0</v>
      </c>
      <c r="FS8" s="264">
        <v>67</v>
      </c>
      <c r="FT8" s="264">
        <v>1264</v>
      </c>
      <c r="FU8" s="264">
        <v>1183</v>
      </c>
      <c r="FV8" s="264">
        <v>2</v>
      </c>
      <c r="FW8" s="264">
        <v>8</v>
      </c>
      <c r="FX8" s="264">
        <v>2</v>
      </c>
      <c r="FY8" s="264">
        <v>0</v>
      </c>
      <c r="FZ8" s="264">
        <v>0</v>
      </c>
      <c r="GA8" s="264" t="s">
        <v>919</v>
      </c>
      <c r="GB8" s="264" t="s">
        <v>1044</v>
      </c>
      <c r="GC8" s="264">
        <v>6</v>
      </c>
      <c r="GD8" s="264">
        <v>0</v>
      </c>
      <c r="GE8" s="269">
        <v>7.13</v>
      </c>
    </row>
    <row r="9" spans="1:194" ht="24.95" customHeight="1" thickBot="1" x14ac:dyDescent="0.3">
      <c r="A9" s="29" t="str">
        <f t="shared" si="0"/>
        <v>8º</v>
      </c>
      <c r="B9" s="93" t="str">
        <f t="shared" si="1"/>
        <v>Lautaro Valenti</v>
      </c>
      <c r="C9" s="83" t="str">
        <f t="shared" si="2"/>
        <v>ARG</v>
      </c>
      <c r="D9" s="65" t="str">
        <f t="shared" si="3"/>
        <v>Parma</v>
      </c>
      <c r="E9" s="91" t="str">
        <f t="shared" si="4"/>
        <v>Pé Esquerdo</v>
      </c>
      <c r="F9" s="155">
        <f t="shared" si="5"/>
        <v>1.88</v>
      </c>
      <c r="G9" s="158">
        <f t="shared" si="6"/>
        <v>27</v>
      </c>
      <c r="H9" s="66" t="str">
        <f t="shared" si="7"/>
        <v>€7,2M - €10,5M</v>
      </c>
      <c r="I9" s="187">
        <f t="shared" si="8"/>
        <v>47299</v>
      </c>
      <c r="J9" s="273" t="str">
        <f t="shared" si="9"/>
        <v>€109m p/m</v>
      </c>
      <c r="K9" s="89">
        <f t="shared" si="10"/>
        <v>21.943333333333335</v>
      </c>
      <c r="L9" s="135">
        <f t="shared" si="11"/>
        <v>22.611111111111111</v>
      </c>
      <c r="M9" s="135">
        <f t="shared" si="12"/>
        <v>23</v>
      </c>
      <c r="N9" s="135">
        <f t="shared" si="13"/>
        <v>88.478260869565219</v>
      </c>
      <c r="O9" s="179">
        <f t="shared" si="14"/>
        <v>1</v>
      </c>
      <c r="P9" s="404">
        <f t="shared" si="15"/>
        <v>2</v>
      </c>
      <c r="Q9" s="404">
        <f t="shared" si="16"/>
        <v>3</v>
      </c>
      <c r="R9" s="404">
        <f t="shared" si="17"/>
        <v>5</v>
      </c>
      <c r="S9" s="405">
        <f t="shared" si="18"/>
        <v>8.8452088452088448E-2</v>
      </c>
      <c r="T9" s="405">
        <f t="shared" si="19"/>
        <v>0.22113022113022113</v>
      </c>
      <c r="U9" s="56">
        <f t="shared" si="20"/>
        <v>2.2999999999999998</v>
      </c>
      <c r="V9" s="56">
        <f t="shared" si="21"/>
        <v>0.10171990171990171</v>
      </c>
      <c r="W9" s="56">
        <f t="shared" si="22"/>
        <v>2.2999999999999998</v>
      </c>
      <c r="X9" s="56">
        <f t="shared" si="23"/>
        <v>0.10171990171990171</v>
      </c>
      <c r="Y9" s="56">
        <f t="shared" si="24"/>
        <v>0.78</v>
      </c>
      <c r="Z9" s="56">
        <f t="shared" si="25"/>
        <v>3.4496314496314497E-2</v>
      </c>
      <c r="AA9" s="56">
        <f t="shared" si="26"/>
        <v>3.08</v>
      </c>
      <c r="AB9" s="56">
        <f t="shared" si="27"/>
        <v>0.13621621621621621</v>
      </c>
      <c r="AC9" s="55">
        <f t="shared" si="28"/>
        <v>1</v>
      </c>
      <c r="AD9" s="56">
        <f t="shared" si="29"/>
        <v>2035</v>
      </c>
      <c r="AE9" s="61">
        <f t="shared" si="30"/>
        <v>4.4226044226044224E-2</v>
      </c>
      <c r="AF9" s="278">
        <f t="shared" si="31"/>
        <v>0</v>
      </c>
      <c r="AG9" s="278">
        <f t="shared" si="32"/>
        <v>0</v>
      </c>
      <c r="AH9" s="55">
        <f t="shared" si="33"/>
        <v>0</v>
      </c>
      <c r="AI9" s="58">
        <f t="shared" si="34"/>
        <v>9.9999999999999995E-8</v>
      </c>
      <c r="AJ9" s="274">
        <f t="shared" si="35"/>
        <v>0</v>
      </c>
      <c r="AK9" s="275">
        <f t="shared" si="36"/>
        <v>0</v>
      </c>
      <c r="AL9" s="55">
        <f t="shared" si="37"/>
        <v>118</v>
      </c>
      <c r="AM9" s="56">
        <f t="shared" si="38"/>
        <v>5.218673218673219</v>
      </c>
      <c r="AN9" s="55">
        <f t="shared" si="39"/>
        <v>98</v>
      </c>
      <c r="AO9" s="56">
        <f t="shared" si="40"/>
        <v>4.3341523341523338</v>
      </c>
      <c r="AP9" s="58">
        <f t="shared" si="41"/>
        <v>0.83050847457627119</v>
      </c>
      <c r="AQ9" s="55">
        <f t="shared" si="42"/>
        <v>20</v>
      </c>
      <c r="AR9" s="56">
        <f t="shared" si="43"/>
        <v>0.88452088452088451</v>
      </c>
      <c r="AS9" s="58">
        <f t="shared" si="44"/>
        <v>0.16949152542372881</v>
      </c>
      <c r="AT9" s="197">
        <f t="shared" si="45"/>
        <v>18.088888888888889</v>
      </c>
      <c r="AU9" s="196">
        <f t="shared" si="46"/>
        <v>0.8</v>
      </c>
      <c r="AV9" s="61">
        <f t="shared" si="47"/>
        <v>0.1440677966101695</v>
      </c>
      <c r="AW9" s="197">
        <f t="shared" si="48"/>
        <v>17</v>
      </c>
      <c r="AX9" s="196">
        <f t="shared" si="49"/>
        <v>0.75184275184275184</v>
      </c>
      <c r="AY9" s="197">
        <f t="shared" si="50"/>
        <v>4</v>
      </c>
      <c r="AZ9" s="196">
        <f t="shared" si="51"/>
        <v>0.1769041769041769</v>
      </c>
      <c r="BA9" s="61">
        <f t="shared" si="52"/>
        <v>0.23529411764705882</v>
      </c>
      <c r="BB9" s="330">
        <f t="shared" si="53"/>
        <v>0.13529411764705881</v>
      </c>
      <c r="BC9" s="329">
        <f t="shared" si="54"/>
        <v>2.2999999999999998</v>
      </c>
      <c r="BD9" s="329">
        <f t="shared" si="55"/>
        <v>-0.29999999999999982</v>
      </c>
      <c r="BE9" s="329">
        <f t="shared" si="56"/>
        <v>-0.29999999999999982</v>
      </c>
      <c r="BF9" s="55">
        <f t="shared" si="57"/>
        <v>100</v>
      </c>
      <c r="BG9" s="56">
        <f t="shared" si="58"/>
        <v>4.4226044226044223</v>
      </c>
      <c r="BH9" s="55">
        <f t="shared" si="59"/>
        <v>12</v>
      </c>
      <c r="BI9" s="56">
        <f t="shared" si="60"/>
        <v>0.53071253071253077</v>
      </c>
      <c r="BJ9" s="56">
        <f t="shared" si="61"/>
        <v>4.4668304668304666</v>
      </c>
      <c r="BK9" s="208">
        <f t="shared" si="62"/>
        <v>20</v>
      </c>
      <c r="BL9" s="206">
        <f t="shared" si="63"/>
        <v>0.88452088452088451</v>
      </c>
      <c r="BM9" s="55">
        <f t="shared" si="64"/>
        <v>23</v>
      </c>
      <c r="BN9" s="56">
        <f t="shared" si="65"/>
        <v>1.0171990171990173</v>
      </c>
      <c r="BO9" s="57">
        <f t="shared" si="66"/>
        <v>7</v>
      </c>
      <c r="BP9" s="56">
        <f t="shared" si="67"/>
        <v>0.30958230958230959</v>
      </c>
      <c r="BQ9" s="72">
        <f t="shared" si="68"/>
        <v>1</v>
      </c>
      <c r="BR9" s="56">
        <f t="shared" si="69"/>
        <v>4.4226044226044224E-2</v>
      </c>
      <c r="BS9" s="104">
        <f t="shared" si="70"/>
        <v>0.30434782608695654</v>
      </c>
      <c r="BT9" s="55">
        <f t="shared" si="71"/>
        <v>1</v>
      </c>
      <c r="BU9" s="56">
        <f t="shared" si="72"/>
        <v>4.4226044226044224E-2</v>
      </c>
      <c r="BV9" s="59">
        <f t="shared" si="73"/>
        <v>56</v>
      </c>
      <c r="BW9" s="60">
        <f t="shared" si="74"/>
        <v>2.4766584766584767</v>
      </c>
      <c r="BX9" s="59">
        <f t="shared" si="75"/>
        <v>10</v>
      </c>
      <c r="BY9" s="60">
        <f t="shared" si="76"/>
        <v>0.44226044226044225</v>
      </c>
      <c r="BZ9" s="61">
        <f t="shared" si="77"/>
        <v>0.17857142857142858</v>
      </c>
      <c r="CA9" s="59">
        <f t="shared" si="78"/>
        <v>1061</v>
      </c>
      <c r="CB9" s="60">
        <f t="shared" si="79"/>
        <v>46.923832923832926</v>
      </c>
      <c r="CC9" s="59">
        <f t="shared" si="80"/>
        <v>994</v>
      </c>
      <c r="CD9" s="60">
        <f t="shared" si="81"/>
        <v>43.960687960687963</v>
      </c>
      <c r="CE9" s="61">
        <f t="shared" si="82"/>
        <v>0.93685202639019793</v>
      </c>
      <c r="CF9" s="55">
        <f t="shared" si="83"/>
        <v>1015</v>
      </c>
      <c r="CG9" s="60">
        <f t="shared" si="84"/>
        <v>43.960687960687963</v>
      </c>
      <c r="CH9" s="59">
        <f t="shared" si="85"/>
        <v>46</v>
      </c>
      <c r="CI9" s="60">
        <f t="shared" si="86"/>
        <v>2.0343980343980346</v>
      </c>
      <c r="CJ9" s="277">
        <f t="shared" si="87"/>
        <v>4.5320197044334973E-2</v>
      </c>
      <c r="CK9" s="332">
        <f t="shared" si="88"/>
        <v>67</v>
      </c>
      <c r="CL9" s="333">
        <f t="shared" si="89"/>
        <v>2.9631449631449631</v>
      </c>
      <c r="CM9" s="277">
        <f t="shared" si="90"/>
        <v>6.314797360980208E-2</v>
      </c>
      <c r="CN9" s="197">
        <f t="shared" si="91"/>
        <v>8</v>
      </c>
      <c r="CO9" s="196">
        <f t="shared" si="92"/>
        <v>0.35380835380835379</v>
      </c>
      <c r="CP9" s="196">
        <f t="shared" si="93"/>
        <v>9.7500000000000003E-2</v>
      </c>
      <c r="CQ9" s="197">
        <f t="shared" si="94"/>
        <v>11</v>
      </c>
      <c r="CR9" s="60">
        <f t="shared" si="95"/>
        <v>0.48648648648648651</v>
      </c>
      <c r="CS9" s="59">
        <f t="shared" si="96"/>
        <v>182</v>
      </c>
      <c r="CT9" s="60">
        <f t="shared" si="97"/>
        <v>8.0491400491400498</v>
      </c>
      <c r="CU9" s="59">
        <f t="shared" si="98"/>
        <v>115</v>
      </c>
      <c r="CV9" s="60">
        <f t="shared" si="99"/>
        <v>5.0859950859950862</v>
      </c>
      <c r="CW9" s="344">
        <f t="shared" si="100"/>
        <v>67</v>
      </c>
      <c r="CX9" s="345">
        <f t="shared" si="101"/>
        <v>2.9631449631449631</v>
      </c>
      <c r="CY9" s="61">
        <f t="shared" si="102"/>
        <v>0.63186813186813184</v>
      </c>
      <c r="CZ9" s="59">
        <f t="shared" si="103"/>
        <v>120.5</v>
      </c>
      <c r="DA9" s="60">
        <f t="shared" si="104"/>
        <v>5.3292383292383292</v>
      </c>
      <c r="DB9" s="59">
        <f t="shared" si="105"/>
        <v>17.5</v>
      </c>
      <c r="DC9" s="60">
        <f t="shared" si="106"/>
        <v>0.77395577395577397</v>
      </c>
      <c r="DD9" s="292">
        <f t="shared" si="107"/>
        <v>163</v>
      </c>
      <c r="DE9" s="293">
        <f t="shared" si="108"/>
        <v>7.2088452088452089</v>
      </c>
      <c r="DF9" s="292">
        <f t="shared" si="109"/>
        <v>128</v>
      </c>
      <c r="DG9" s="293">
        <f t="shared" si="110"/>
        <v>5.6609336609336607</v>
      </c>
      <c r="DH9" s="61">
        <f t="shared" si="111"/>
        <v>0.78527607361963192</v>
      </c>
      <c r="DI9" s="344">
        <f t="shared" si="112"/>
        <v>43</v>
      </c>
      <c r="DJ9" s="345">
        <f t="shared" si="113"/>
        <v>1.9017199017199018</v>
      </c>
      <c r="DK9" s="292">
        <f t="shared" si="114"/>
        <v>15</v>
      </c>
      <c r="DL9" s="60">
        <f t="shared" si="115"/>
        <v>0.66339066339066344</v>
      </c>
      <c r="DM9" s="61">
        <f t="shared" si="116"/>
        <v>0.26380368098159507</v>
      </c>
      <c r="DN9" s="59">
        <f t="shared" si="117"/>
        <v>3</v>
      </c>
      <c r="DO9" s="59">
        <f t="shared" si="118"/>
        <v>0</v>
      </c>
      <c r="DP9" s="59">
        <f t="shared" si="119"/>
        <v>3</v>
      </c>
      <c r="DQ9" s="60">
        <f t="shared" si="120"/>
        <v>0.13267813267813269</v>
      </c>
      <c r="DR9" s="61">
        <f t="shared" si="121"/>
        <v>0.2</v>
      </c>
      <c r="DS9" s="59">
        <f t="shared" si="122"/>
        <v>283.07888888888891</v>
      </c>
      <c r="DT9" s="60">
        <f t="shared" si="123"/>
        <v>12.51945945945946</v>
      </c>
      <c r="DU9" s="59">
        <f t="shared" si="124"/>
        <v>244.5888888888889</v>
      </c>
      <c r="DV9" s="60">
        <f t="shared" si="125"/>
        <v>10.817199017199018</v>
      </c>
      <c r="DW9" s="59">
        <f t="shared" si="126"/>
        <v>85.75</v>
      </c>
      <c r="DX9" s="60">
        <f t="shared" si="127"/>
        <v>3.7923832923832923</v>
      </c>
      <c r="DY9" s="61">
        <f t="shared" si="128"/>
        <v>0.86403083553465654</v>
      </c>
      <c r="DZ9" s="60">
        <f t="shared" si="129"/>
        <v>227.7</v>
      </c>
      <c r="EA9" s="60">
        <f t="shared" si="130"/>
        <v>10.070270270270269</v>
      </c>
      <c r="EB9" s="60">
        <f t="shared" si="131"/>
        <v>4.8</v>
      </c>
      <c r="EC9" s="59">
        <f t="shared" si="132"/>
        <v>4</v>
      </c>
      <c r="ED9" s="60">
        <f t="shared" si="133"/>
        <v>0.1769041769041769</v>
      </c>
      <c r="EE9" s="59">
        <f t="shared" si="134"/>
        <v>103</v>
      </c>
      <c r="EF9" s="60">
        <f t="shared" si="135"/>
        <v>4.5552825552825551</v>
      </c>
      <c r="EG9" s="59">
        <f t="shared" si="136"/>
        <v>269.07222222222225</v>
      </c>
      <c r="EH9" s="60">
        <f t="shared" si="137"/>
        <v>11.9</v>
      </c>
      <c r="EI9" s="60">
        <f t="shared" si="138"/>
        <v>6.9</v>
      </c>
      <c r="EJ9" s="270"/>
      <c r="EK9" s="266" t="s">
        <v>920</v>
      </c>
      <c r="EL9" s="266" t="s">
        <v>623</v>
      </c>
      <c r="EM9" s="266">
        <v>27</v>
      </c>
      <c r="EN9" s="266" t="s">
        <v>921</v>
      </c>
      <c r="EO9" s="266" t="s">
        <v>797</v>
      </c>
      <c r="EP9" s="266" t="s">
        <v>708</v>
      </c>
      <c r="EQ9" s="266" t="s">
        <v>579</v>
      </c>
      <c r="ER9" s="267">
        <v>47299</v>
      </c>
      <c r="ES9" s="266" t="s">
        <v>710</v>
      </c>
      <c r="ET9" s="266">
        <v>2035</v>
      </c>
      <c r="EU9" s="266">
        <v>23</v>
      </c>
      <c r="EV9" s="266">
        <v>1</v>
      </c>
      <c r="EW9" s="266">
        <v>0</v>
      </c>
      <c r="EX9" s="266">
        <v>2</v>
      </c>
      <c r="EY9" s="266">
        <v>3</v>
      </c>
      <c r="EZ9" s="266">
        <v>3</v>
      </c>
      <c r="FA9" s="266">
        <v>0</v>
      </c>
      <c r="FB9" s="266">
        <v>56</v>
      </c>
      <c r="FC9" s="266">
        <v>10</v>
      </c>
      <c r="FD9" s="266">
        <v>98</v>
      </c>
      <c r="FE9" s="266">
        <v>118</v>
      </c>
      <c r="FF9" s="266">
        <v>0.8</v>
      </c>
      <c r="FG9" s="266">
        <v>8</v>
      </c>
      <c r="FH9" s="266">
        <v>7</v>
      </c>
      <c r="FI9" s="266">
        <v>22</v>
      </c>
      <c r="FJ9" s="266">
        <v>12</v>
      </c>
      <c r="FK9" s="266">
        <v>11.9</v>
      </c>
      <c r="FL9" s="266">
        <v>1</v>
      </c>
      <c r="FM9" s="266">
        <v>66</v>
      </c>
      <c r="FN9" s="266">
        <v>15</v>
      </c>
      <c r="FO9" s="266">
        <v>20</v>
      </c>
      <c r="FP9" s="266" t="s">
        <v>922</v>
      </c>
      <c r="FQ9" s="266">
        <v>4.8</v>
      </c>
      <c r="FR9" s="266">
        <v>4</v>
      </c>
      <c r="FS9" s="266">
        <v>46</v>
      </c>
      <c r="FT9" s="266">
        <v>1061</v>
      </c>
      <c r="FU9" s="266">
        <v>994</v>
      </c>
      <c r="FV9" s="266">
        <v>3</v>
      </c>
      <c r="FW9" s="266">
        <v>17</v>
      </c>
      <c r="FX9" s="266">
        <v>4</v>
      </c>
      <c r="FY9" s="266">
        <v>0</v>
      </c>
      <c r="FZ9" s="266">
        <v>0</v>
      </c>
      <c r="GA9" s="266" t="s">
        <v>923</v>
      </c>
      <c r="GB9" s="266" t="s">
        <v>1049</v>
      </c>
      <c r="GC9" s="266">
        <v>8</v>
      </c>
      <c r="GD9" s="266">
        <v>0</v>
      </c>
      <c r="GE9" s="271">
        <v>6.9</v>
      </c>
    </row>
    <row r="10" spans="1:194" ht="24.95" customHeight="1" thickBot="1" x14ac:dyDescent="0.3">
      <c r="A10" s="29" t="str">
        <f t="shared" si="0"/>
        <v>9º</v>
      </c>
      <c r="B10" s="93" t="str">
        <f t="shared" si="1"/>
        <v>Matteo Gabbia</v>
      </c>
      <c r="C10" s="83" t="str">
        <f t="shared" si="2"/>
        <v>ITA</v>
      </c>
      <c r="D10" s="65" t="str">
        <f t="shared" si="3"/>
        <v>AC Milan</v>
      </c>
      <c r="E10" s="91" t="str">
        <f t="shared" si="4"/>
        <v>Pé Direito</v>
      </c>
      <c r="F10" s="155">
        <f t="shared" si="5"/>
        <v>1.85</v>
      </c>
      <c r="G10" s="158">
        <f t="shared" si="6"/>
        <v>26</v>
      </c>
      <c r="H10" s="66" t="str">
        <f t="shared" si="7"/>
        <v>€62M - €94M</v>
      </c>
      <c r="I10" s="187">
        <f t="shared" si="8"/>
        <v>47299</v>
      </c>
      <c r="J10" s="273" t="str">
        <f t="shared" si="9"/>
        <v>€280m p/m</v>
      </c>
      <c r="K10" s="89">
        <f t="shared" si="10"/>
        <v>21.943333333333335</v>
      </c>
      <c r="L10" s="135">
        <f t="shared" si="11"/>
        <v>19.233333333333334</v>
      </c>
      <c r="M10" s="135">
        <f t="shared" si="12"/>
        <v>20</v>
      </c>
      <c r="N10" s="135">
        <f t="shared" si="13"/>
        <v>86.55</v>
      </c>
      <c r="O10" s="179">
        <f t="shared" si="14"/>
        <v>1</v>
      </c>
      <c r="P10" s="404">
        <f t="shared" si="15"/>
        <v>2</v>
      </c>
      <c r="Q10" s="404">
        <f t="shared" si="16"/>
        <v>2</v>
      </c>
      <c r="R10" s="404">
        <f t="shared" si="17"/>
        <v>4</v>
      </c>
      <c r="S10" s="405">
        <f t="shared" si="18"/>
        <v>0.10398613518197573</v>
      </c>
      <c r="T10" s="405">
        <f t="shared" si="19"/>
        <v>0.20797227036395147</v>
      </c>
      <c r="U10" s="56">
        <f t="shared" si="20"/>
        <v>1.82</v>
      </c>
      <c r="V10" s="56">
        <f t="shared" si="21"/>
        <v>9.4627383015597921E-2</v>
      </c>
      <c r="W10" s="56">
        <f t="shared" si="22"/>
        <v>1.82</v>
      </c>
      <c r="X10" s="56">
        <f t="shared" si="23"/>
        <v>9.4627383015597921E-2</v>
      </c>
      <c r="Y10" s="56">
        <f t="shared" si="24"/>
        <v>1.51</v>
      </c>
      <c r="Z10" s="56">
        <f t="shared" si="25"/>
        <v>7.8509532062391682E-2</v>
      </c>
      <c r="AA10" s="56">
        <f t="shared" si="26"/>
        <v>3.33</v>
      </c>
      <c r="AB10" s="56">
        <f t="shared" si="27"/>
        <v>0.17313691507798959</v>
      </c>
      <c r="AC10" s="55">
        <f t="shared" si="28"/>
        <v>0</v>
      </c>
      <c r="AD10" s="56">
        <f t="shared" si="29"/>
        <v>5400</v>
      </c>
      <c r="AE10" s="61">
        <f t="shared" si="30"/>
        <v>0</v>
      </c>
      <c r="AF10" s="278">
        <f t="shared" si="31"/>
        <v>0</v>
      </c>
      <c r="AG10" s="278">
        <f t="shared" si="32"/>
        <v>0</v>
      </c>
      <c r="AH10" s="55">
        <f t="shared" si="33"/>
        <v>0</v>
      </c>
      <c r="AI10" s="58">
        <f t="shared" si="34"/>
        <v>9.9999999999999995E-8</v>
      </c>
      <c r="AJ10" s="274">
        <f t="shared" si="35"/>
        <v>0</v>
      </c>
      <c r="AK10" s="275">
        <f t="shared" si="36"/>
        <v>0</v>
      </c>
      <c r="AL10" s="55">
        <f t="shared" si="37"/>
        <v>99</v>
      </c>
      <c r="AM10" s="56">
        <f t="shared" si="38"/>
        <v>5.147313691507799</v>
      </c>
      <c r="AN10" s="55">
        <f t="shared" si="39"/>
        <v>77</v>
      </c>
      <c r="AO10" s="56">
        <f t="shared" si="40"/>
        <v>4.0034662045060658</v>
      </c>
      <c r="AP10" s="58">
        <f t="shared" si="41"/>
        <v>0.77777777777777779</v>
      </c>
      <c r="AQ10" s="55">
        <f t="shared" si="42"/>
        <v>22</v>
      </c>
      <c r="AR10" s="56">
        <f t="shared" si="43"/>
        <v>1.143847487001733</v>
      </c>
      <c r="AS10" s="58">
        <f t="shared" si="44"/>
        <v>0.22222222222222221</v>
      </c>
      <c r="AT10" s="197">
        <f t="shared" si="45"/>
        <v>21.15666666666667</v>
      </c>
      <c r="AU10" s="196">
        <f t="shared" si="46"/>
        <v>1.1000000000000001</v>
      </c>
      <c r="AV10" s="61">
        <f t="shared" si="47"/>
        <v>0.17171717171717171</v>
      </c>
      <c r="AW10" s="197">
        <f t="shared" si="48"/>
        <v>17</v>
      </c>
      <c r="AX10" s="196">
        <f t="shared" si="49"/>
        <v>0.88388214904679374</v>
      </c>
      <c r="AY10" s="197">
        <f t="shared" si="50"/>
        <v>2</v>
      </c>
      <c r="AZ10" s="196">
        <f t="shared" si="51"/>
        <v>0.10398613518197573</v>
      </c>
      <c r="BA10" s="61">
        <f t="shared" si="52"/>
        <v>0.11764705882352941</v>
      </c>
      <c r="BB10" s="330">
        <f t="shared" si="53"/>
        <v>0.10705882352941176</v>
      </c>
      <c r="BC10" s="329">
        <f t="shared" si="54"/>
        <v>1.82</v>
      </c>
      <c r="BD10" s="329">
        <f t="shared" si="55"/>
        <v>0.17999999999999994</v>
      </c>
      <c r="BE10" s="329">
        <f t="shared" si="56"/>
        <v>0.17999999999999994</v>
      </c>
      <c r="BF10" s="55">
        <f t="shared" si="57"/>
        <v>76</v>
      </c>
      <c r="BG10" s="56">
        <f t="shared" si="58"/>
        <v>3.951473136915078</v>
      </c>
      <c r="BH10" s="55">
        <f t="shared" si="59"/>
        <v>13</v>
      </c>
      <c r="BI10" s="56">
        <f t="shared" si="60"/>
        <v>0.67590987868284225</v>
      </c>
      <c r="BJ10" s="56">
        <f t="shared" si="61"/>
        <v>3.951473136915078</v>
      </c>
      <c r="BK10" s="208">
        <f t="shared" si="62"/>
        <v>21</v>
      </c>
      <c r="BL10" s="206">
        <f t="shared" si="63"/>
        <v>1.0918544194107451</v>
      </c>
      <c r="BM10" s="55">
        <f t="shared" si="64"/>
        <v>22</v>
      </c>
      <c r="BN10" s="56">
        <f t="shared" si="65"/>
        <v>1.143847487001733</v>
      </c>
      <c r="BO10" s="57">
        <f t="shared" si="66"/>
        <v>11</v>
      </c>
      <c r="BP10" s="56">
        <f t="shared" si="67"/>
        <v>0.5719237435008665</v>
      </c>
      <c r="BQ10" s="72">
        <f t="shared" si="68"/>
        <v>2</v>
      </c>
      <c r="BR10" s="56">
        <f t="shared" si="69"/>
        <v>0.10398613518197573</v>
      </c>
      <c r="BS10" s="104">
        <f t="shared" si="70"/>
        <v>0.5</v>
      </c>
      <c r="BT10" s="55">
        <f t="shared" si="71"/>
        <v>0</v>
      </c>
      <c r="BU10" s="56">
        <f t="shared" si="72"/>
        <v>0</v>
      </c>
      <c r="BV10" s="59">
        <f t="shared" si="73"/>
        <v>50</v>
      </c>
      <c r="BW10" s="60">
        <f t="shared" si="74"/>
        <v>2.5996533795493932</v>
      </c>
      <c r="BX10" s="59">
        <f t="shared" si="75"/>
        <v>15</v>
      </c>
      <c r="BY10" s="60">
        <f t="shared" si="76"/>
        <v>0.77989601386481799</v>
      </c>
      <c r="BZ10" s="61">
        <f t="shared" si="77"/>
        <v>0.3</v>
      </c>
      <c r="CA10" s="59">
        <f t="shared" si="78"/>
        <v>941</v>
      </c>
      <c r="CB10" s="60">
        <f t="shared" si="79"/>
        <v>48.925476603119584</v>
      </c>
      <c r="CC10" s="59">
        <f t="shared" si="80"/>
        <v>893</v>
      </c>
      <c r="CD10" s="60">
        <f t="shared" si="81"/>
        <v>46.429809358752166</v>
      </c>
      <c r="CE10" s="61">
        <f t="shared" si="82"/>
        <v>0.94899043570669506</v>
      </c>
      <c r="CF10" s="55">
        <f t="shared" si="83"/>
        <v>877</v>
      </c>
      <c r="CG10" s="60">
        <f t="shared" si="84"/>
        <v>46.429809358752166</v>
      </c>
      <c r="CH10" s="59">
        <f t="shared" si="85"/>
        <v>64</v>
      </c>
      <c r="CI10" s="60">
        <f t="shared" si="86"/>
        <v>3.3275563258232235</v>
      </c>
      <c r="CJ10" s="277">
        <f t="shared" si="87"/>
        <v>7.2976054732041051E-2</v>
      </c>
      <c r="CK10" s="332">
        <f t="shared" si="88"/>
        <v>48</v>
      </c>
      <c r="CL10" s="333">
        <f t="shared" si="89"/>
        <v>2.4956672443674175</v>
      </c>
      <c r="CM10" s="277">
        <f t="shared" si="90"/>
        <v>5.1009564293304992E-2</v>
      </c>
      <c r="CN10" s="197">
        <f t="shared" si="91"/>
        <v>5</v>
      </c>
      <c r="CO10" s="196">
        <f t="shared" si="92"/>
        <v>0.25996533795493931</v>
      </c>
      <c r="CP10" s="196">
        <f t="shared" si="93"/>
        <v>0.30199999999999999</v>
      </c>
      <c r="CQ10" s="197">
        <f t="shared" si="94"/>
        <v>10</v>
      </c>
      <c r="CR10" s="60">
        <f t="shared" si="95"/>
        <v>0.51993067590987863</v>
      </c>
      <c r="CS10" s="59">
        <f t="shared" si="96"/>
        <v>162</v>
      </c>
      <c r="CT10" s="60">
        <f t="shared" si="97"/>
        <v>8.4228769497400346</v>
      </c>
      <c r="CU10" s="59">
        <f t="shared" si="98"/>
        <v>103</v>
      </c>
      <c r="CV10" s="60">
        <f t="shared" si="99"/>
        <v>5.3552859618717505</v>
      </c>
      <c r="CW10" s="344">
        <f t="shared" si="100"/>
        <v>59</v>
      </c>
      <c r="CX10" s="345">
        <f t="shared" si="101"/>
        <v>3.0675909878682841</v>
      </c>
      <c r="CY10" s="61">
        <f t="shared" si="102"/>
        <v>0.63580246913580252</v>
      </c>
      <c r="CZ10" s="59">
        <f t="shared" si="103"/>
        <v>97</v>
      </c>
      <c r="DA10" s="60">
        <f t="shared" si="104"/>
        <v>5.0433275563258233</v>
      </c>
      <c r="DB10" s="59">
        <f t="shared" si="105"/>
        <v>26</v>
      </c>
      <c r="DC10" s="60">
        <f t="shared" si="106"/>
        <v>1.3518197573656845</v>
      </c>
      <c r="DD10" s="292">
        <f t="shared" si="107"/>
        <v>133</v>
      </c>
      <c r="DE10" s="293">
        <f t="shared" si="108"/>
        <v>6.9150779896013859</v>
      </c>
      <c r="DF10" s="292">
        <f t="shared" si="109"/>
        <v>100</v>
      </c>
      <c r="DG10" s="293">
        <f t="shared" si="110"/>
        <v>5.1993067590987865</v>
      </c>
      <c r="DH10" s="61">
        <f t="shared" si="111"/>
        <v>0.75187969924812026</v>
      </c>
      <c r="DI10" s="344">
        <f t="shared" si="112"/>
        <v>36</v>
      </c>
      <c r="DJ10" s="345">
        <f t="shared" si="113"/>
        <v>1.8717504332755632</v>
      </c>
      <c r="DK10" s="292">
        <f t="shared" si="114"/>
        <v>9</v>
      </c>
      <c r="DL10" s="60">
        <f t="shared" si="115"/>
        <v>0.46793760831889081</v>
      </c>
      <c r="DM10" s="61">
        <f t="shared" si="116"/>
        <v>0.27067669172932329</v>
      </c>
      <c r="DN10" s="59">
        <f t="shared" si="117"/>
        <v>3</v>
      </c>
      <c r="DO10" s="59">
        <f t="shared" si="118"/>
        <v>0</v>
      </c>
      <c r="DP10" s="59">
        <f t="shared" si="119"/>
        <v>3</v>
      </c>
      <c r="DQ10" s="60">
        <f t="shared" si="120"/>
        <v>0.15597920277296359</v>
      </c>
      <c r="DR10" s="61">
        <f t="shared" si="121"/>
        <v>0.33333333333333331</v>
      </c>
      <c r="DS10" s="59">
        <f t="shared" si="122"/>
        <v>243.14666666666668</v>
      </c>
      <c r="DT10" s="60">
        <f t="shared" si="123"/>
        <v>12.641941074523396</v>
      </c>
      <c r="DU10" s="59">
        <f t="shared" si="124"/>
        <v>206.15666666666667</v>
      </c>
      <c r="DV10" s="60">
        <f t="shared" si="125"/>
        <v>10.718717504332755</v>
      </c>
      <c r="DW10" s="59">
        <f t="shared" si="126"/>
        <v>60.75</v>
      </c>
      <c r="DX10" s="60">
        <f t="shared" si="127"/>
        <v>3.1585788561525128</v>
      </c>
      <c r="DY10" s="61">
        <f t="shared" si="128"/>
        <v>0.84786959859618338</v>
      </c>
      <c r="DZ10" s="60">
        <f t="shared" si="129"/>
        <v>197.5</v>
      </c>
      <c r="EA10" s="60">
        <f t="shared" si="130"/>
        <v>10.268630849220104</v>
      </c>
      <c r="EB10" s="60">
        <f t="shared" si="131"/>
        <v>5.8</v>
      </c>
      <c r="EC10" s="59">
        <f t="shared" si="132"/>
        <v>0</v>
      </c>
      <c r="ED10" s="60">
        <f t="shared" si="133"/>
        <v>0</v>
      </c>
      <c r="EE10" s="59">
        <f t="shared" si="134"/>
        <v>81</v>
      </c>
      <c r="EF10" s="60">
        <f t="shared" si="135"/>
        <v>4.2114384748700173</v>
      </c>
      <c r="EG10" s="59">
        <f t="shared" si="136"/>
        <v>325.04333333333329</v>
      </c>
      <c r="EH10" s="60">
        <f t="shared" si="137"/>
        <v>16.899999999999999</v>
      </c>
      <c r="EI10" s="60">
        <f t="shared" si="138"/>
        <v>7.07</v>
      </c>
      <c r="EJ10" s="268"/>
      <c r="EK10" s="264" t="s">
        <v>944</v>
      </c>
      <c r="EL10" s="264" t="s">
        <v>751</v>
      </c>
      <c r="EM10" s="264">
        <v>26</v>
      </c>
      <c r="EN10" s="264" t="s">
        <v>945</v>
      </c>
      <c r="EO10" s="264" t="s">
        <v>946</v>
      </c>
      <c r="EP10" s="264" t="s">
        <v>614</v>
      </c>
      <c r="EQ10" s="264" t="s">
        <v>573</v>
      </c>
      <c r="ER10" s="265">
        <v>47299</v>
      </c>
      <c r="ES10" s="264" t="s">
        <v>754</v>
      </c>
      <c r="ET10" s="264">
        <v>1731</v>
      </c>
      <c r="EU10" s="264">
        <v>20</v>
      </c>
      <c r="EV10" s="264">
        <v>0</v>
      </c>
      <c r="EW10" s="264">
        <v>0</v>
      </c>
      <c r="EX10" s="264">
        <v>2</v>
      </c>
      <c r="EY10" s="264">
        <v>2</v>
      </c>
      <c r="EZ10" s="264">
        <v>3</v>
      </c>
      <c r="FA10" s="264">
        <v>0</v>
      </c>
      <c r="FB10" s="264">
        <v>50</v>
      </c>
      <c r="FC10" s="264">
        <v>15</v>
      </c>
      <c r="FD10" s="264">
        <v>77</v>
      </c>
      <c r="FE10" s="264">
        <v>99</v>
      </c>
      <c r="FF10" s="264">
        <v>1.1000000000000001</v>
      </c>
      <c r="FG10" s="264">
        <v>13</v>
      </c>
      <c r="FH10" s="264">
        <v>11</v>
      </c>
      <c r="FI10" s="264">
        <v>12</v>
      </c>
      <c r="FJ10" s="264">
        <v>13</v>
      </c>
      <c r="FK10" s="264">
        <v>16.899999999999999</v>
      </c>
      <c r="FL10" s="264">
        <v>0</v>
      </c>
      <c r="FM10" s="264">
        <v>51</v>
      </c>
      <c r="FN10" s="264">
        <v>9</v>
      </c>
      <c r="FO10" s="264">
        <v>21</v>
      </c>
      <c r="FP10" s="264" t="s">
        <v>947</v>
      </c>
      <c r="FQ10" s="264">
        <v>5.8</v>
      </c>
      <c r="FR10" s="264">
        <v>0</v>
      </c>
      <c r="FS10" s="264">
        <v>64</v>
      </c>
      <c r="FT10" s="264">
        <v>941</v>
      </c>
      <c r="FU10" s="264">
        <v>893</v>
      </c>
      <c r="FV10" s="264">
        <v>5</v>
      </c>
      <c r="FW10" s="264">
        <v>17</v>
      </c>
      <c r="FX10" s="264">
        <v>2</v>
      </c>
      <c r="FY10" s="264">
        <v>0</v>
      </c>
      <c r="FZ10" s="264">
        <v>0</v>
      </c>
      <c r="GA10" s="264" t="s">
        <v>948</v>
      </c>
      <c r="GB10" s="264" t="s">
        <v>1050</v>
      </c>
      <c r="GC10" s="264">
        <v>5</v>
      </c>
      <c r="GD10" s="264">
        <v>0</v>
      </c>
      <c r="GE10" s="269">
        <v>7.07</v>
      </c>
    </row>
    <row r="11" spans="1:194" ht="24.95" customHeight="1" thickBot="1" x14ac:dyDescent="0.3">
      <c r="A11" s="29" t="str">
        <f t="shared" si="0"/>
        <v>10º</v>
      </c>
      <c r="B11" s="93" t="str">
        <f t="shared" si="1"/>
        <v>Nicolò Bertola</v>
      </c>
      <c r="C11" s="83" t="str">
        <f t="shared" si="2"/>
        <v>ITA</v>
      </c>
      <c r="D11" s="65" t="str">
        <f t="shared" si="3"/>
        <v>Udinese</v>
      </c>
      <c r="E11" s="91" t="str">
        <f t="shared" si="4"/>
        <v>Pé Direito</v>
      </c>
      <c r="F11" s="155">
        <f t="shared" si="5"/>
        <v>1.92</v>
      </c>
      <c r="G11" s="158">
        <f t="shared" si="6"/>
        <v>22</v>
      </c>
      <c r="H11" s="66" t="str">
        <f t="shared" si="7"/>
        <v>€74M - €88M</v>
      </c>
      <c r="I11" s="187">
        <f t="shared" si="8"/>
        <v>46934</v>
      </c>
      <c r="J11" s="273" t="str">
        <f t="shared" si="9"/>
        <v>€8,25m p/m</v>
      </c>
      <c r="K11" s="89">
        <f t="shared" si="10"/>
        <v>21.943333333333335</v>
      </c>
      <c r="L11" s="135">
        <f t="shared" si="11"/>
        <v>22</v>
      </c>
      <c r="M11" s="135">
        <f t="shared" si="12"/>
        <v>26</v>
      </c>
      <c r="N11" s="135">
        <f t="shared" si="13"/>
        <v>76.15384615384616</v>
      </c>
      <c r="O11" s="179">
        <f t="shared" si="14"/>
        <v>0.96</v>
      </c>
      <c r="P11" s="404">
        <f t="shared" si="15"/>
        <v>0</v>
      </c>
      <c r="Q11" s="404">
        <f t="shared" si="16"/>
        <v>0</v>
      </c>
      <c r="R11" s="404">
        <f t="shared" si="17"/>
        <v>0</v>
      </c>
      <c r="S11" s="405">
        <f t="shared" si="18"/>
        <v>0</v>
      </c>
      <c r="T11" s="405">
        <f t="shared" si="19"/>
        <v>0</v>
      </c>
      <c r="U11" s="56">
        <f t="shared" si="20"/>
        <v>1.95</v>
      </c>
      <c r="V11" s="56">
        <f t="shared" si="21"/>
        <v>8.8636363636363638E-2</v>
      </c>
      <c r="W11" s="56">
        <f t="shared" si="22"/>
        <v>1.95</v>
      </c>
      <c r="X11" s="56">
        <f t="shared" si="23"/>
        <v>8.8636363636363638E-2</v>
      </c>
      <c r="Y11" s="56">
        <f t="shared" si="24"/>
        <v>0.76</v>
      </c>
      <c r="Z11" s="56">
        <f t="shared" si="25"/>
        <v>3.4545454545454546E-2</v>
      </c>
      <c r="AA11" s="56">
        <f t="shared" si="26"/>
        <v>2.71</v>
      </c>
      <c r="AB11" s="56">
        <f t="shared" si="27"/>
        <v>0.12318181818181818</v>
      </c>
      <c r="AC11" s="55">
        <f t="shared" si="28"/>
        <v>1</v>
      </c>
      <c r="AD11" s="56">
        <f t="shared" si="29"/>
        <v>1980</v>
      </c>
      <c r="AE11" s="61">
        <f t="shared" si="30"/>
        <v>4.5454545454545456E-2</v>
      </c>
      <c r="AF11" s="278">
        <f t="shared" si="31"/>
        <v>0</v>
      </c>
      <c r="AG11" s="278">
        <f t="shared" si="32"/>
        <v>0</v>
      </c>
      <c r="AH11" s="55">
        <f t="shared" si="33"/>
        <v>0</v>
      </c>
      <c r="AI11" s="58">
        <f t="shared" si="34"/>
        <v>9.9999999999999995E-8</v>
      </c>
      <c r="AJ11" s="274">
        <f t="shared" si="35"/>
        <v>0</v>
      </c>
      <c r="AK11" s="275">
        <f t="shared" si="36"/>
        <v>0</v>
      </c>
      <c r="AL11" s="55">
        <f t="shared" si="37"/>
        <v>98</v>
      </c>
      <c r="AM11" s="56">
        <f t="shared" si="38"/>
        <v>4.4545454545454541</v>
      </c>
      <c r="AN11" s="55">
        <f t="shared" si="39"/>
        <v>68</v>
      </c>
      <c r="AO11" s="56">
        <f t="shared" si="40"/>
        <v>3.0909090909090908</v>
      </c>
      <c r="AP11" s="58">
        <f t="shared" si="41"/>
        <v>0.69387755102040816</v>
      </c>
      <c r="AQ11" s="55">
        <f t="shared" si="42"/>
        <v>30</v>
      </c>
      <c r="AR11" s="56">
        <f t="shared" si="43"/>
        <v>1.3636363636363635</v>
      </c>
      <c r="AS11" s="58">
        <f t="shared" si="44"/>
        <v>0.30612244897959184</v>
      </c>
      <c r="AT11" s="197">
        <f t="shared" si="45"/>
        <v>19.8</v>
      </c>
      <c r="AU11" s="196">
        <f t="shared" si="46"/>
        <v>0.9</v>
      </c>
      <c r="AV11" s="61">
        <f t="shared" si="47"/>
        <v>0.12244897959183673</v>
      </c>
      <c r="AW11" s="197">
        <f t="shared" si="48"/>
        <v>12</v>
      </c>
      <c r="AX11" s="196">
        <f t="shared" si="49"/>
        <v>0.54545454545454541</v>
      </c>
      <c r="AY11" s="197">
        <f t="shared" si="50"/>
        <v>2</v>
      </c>
      <c r="AZ11" s="196">
        <f t="shared" si="51"/>
        <v>9.0909090909090912E-2</v>
      </c>
      <c r="BA11" s="61">
        <f t="shared" si="52"/>
        <v>0.16666666666666666</v>
      </c>
      <c r="BB11" s="330">
        <f t="shared" si="53"/>
        <v>0.16250000000000001</v>
      </c>
      <c r="BC11" s="329">
        <f t="shared" si="54"/>
        <v>1.95</v>
      </c>
      <c r="BD11" s="329">
        <f t="shared" si="55"/>
        <v>-1.95</v>
      </c>
      <c r="BE11" s="329">
        <f t="shared" si="56"/>
        <v>-1.95</v>
      </c>
      <c r="BF11" s="55">
        <f t="shared" si="57"/>
        <v>129</v>
      </c>
      <c r="BG11" s="56">
        <f t="shared" si="58"/>
        <v>5.8636363636363633</v>
      </c>
      <c r="BH11" s="55">
        <f t="shared" si="59"/>
        <v>36</v>
      </c>
      <c r="BI11" s="56">
        <f t="shared" si="60"/>
        <v>1.6363636363636365</v>
      </c>
      <c r="BJ11" s="56">
        <f t="shared" si="61"/>
        <v>6</v>
      </c>
      <c r="BK11" s="208">
        <f t="shared" si="62"/>
        <v>25</v>
      </c>
      <c r="BL11" s="206">
        <f t="shared" si="63"/>
        <v>1.1363636363636365</v>
      </c>
      <c r="BM11" s="55">
        <f t="shared" si="64"/>
        <v>25</v>
      </c>
      <c r="BN11" s="56">
        <f t="shared" si="65"/>
        <v>1.1363636363636365</v>
      </c>
      <c r="BO11" s="57">
        <f t="shared" si="66"/>
        <v>15</v>
      </c>
      <c r="BP11" s="56">
        <f t="shared" si="67"/>
        <v>0.68181818181818177</v>
      </c>
      <c r="BQ11" s="72">
        <f t="shared" si="68"/>
        <v>3</v>
      </c>
      <c r="BR11" s="56">
        <f t="shared" si="69"/>
        <v>0.13636363636363635</v>
      </c>
      <c r="BS11" s="104">
        <f t="shared" si="70"/>
        <v>0.6</v>
      </c>
      <c r="BT11" s="55">
        <f t="shared" si="71"/>
        <v>3</v>
      </c>
      <c r="BU11" s="56">
        <f t="shared" si="72"/>
        <v>0.13636363636363635</v>
      </c>
      <c r="BV11" s="59">
        <f t="shared" si="73"/>
        <v>58</v>
      </c>
      <c r="BW11" s="60">
        <f t="shared" si="74"/>
        <v>2.6363636363636362</v>
      </c>
      <c r="BX11" s="59">
        <f t="shared" si="75"/>
        <v>20</v>
      </c>
      <c r="BY11" s="60">
        <f t="shared" si="76"/>
        <v>0.90909090909090906</v>
      </c>
      <c r="BZ11" s="61">
        <f t="shared" si="77"/>
        <v>0.34482758620689657</v>
      </c>
      <c r="CA11" s="59">
        <f t="shared" si="78"/>
        <v>1083</v>
      </c>
      <c r="CB11" s="60">
        <f t="shared" si="79"/>
        <v>49.227272727272727</v>
      </c>
      <c r="CC11" s="59">
        <f t="shared" si="80"/>
        <v>987</v>
      </c>
      <c r="CD11" s="60">
        <f t="shared" si="81"/>
        <v>44.863636363636367</v>
      </c>
      <c r="CE11" s="61">
        <f t="shared" si="82"/>
        <v>0.91135734072022156</v>
      </c>
      <c r="CF11" s="55">
        <f t="shared" si="83"/>
        <v>1026</v>
      </c>
      <c r="CG11" s="60">
        <f t="shared" si="84"/>
        <v>44.863636363636367</v>
      </c>
      <c r="CH11" s="59">
        <f t="shared" si="85"/>
        <v>57</v>
      </c>
      <c r="CI11" s="60">
        <f t="shared" si="86"/>
        <v>2.5909090909090908</v>
      </c>
      <c r="CJ11" s="277">
        <f t="shared" si="87"/>
        <v>5.5555555555555552E-2</v>
      </c>
      <c r="CK11" s="332">
        <f t="shared" si="88"/>
        <v>96</v>
      </c>
      <c r="CL11" s="333">
        <f t="shared" si="89"/>
        <v>4.3636363636363633</v>
      </c>
      <c r="CM11" s="277">
        <f t="shared" si="90"/>
        <v>8.8642659279778394E-2</v>
      </c>
      <c r="CN11" s="197">
        <f t="shared" si="91"/>
        <v>2</v>
      </c>
      <c r="CO11" s="196">
        <f t="shared" si="92"/>
        <v>9.0909090909090912E-2</v>
      </c>
      <c r="CP11" s="196">
        <f t="shared" si="93"/>
        <v>0.38</v>
      </c>
      <c r="CQ11" s="197">
        <f t="shared" si="94"/>
        <v>2</v>
      </c>
      <c r="CR11" s="60">
        <f t="shared" si="95"/>
        <v>9.0909090909090912E-2</v>
      </c>
      <c r="CS11" s="59">
        <f t="shared" si="96"/>
        <v>174</v>
      </c>
      <c r="CT11" s="60">
        <f t="shared" si="97"/>
        <v>7.9090909090909092</v>
      </c>
      <c r="CU11" s="59">
        <f t="shared" si="98"/>
        <v>103</v>
      </c>
      <c r="CV11" s="60">
        <f t="shared" si="99"/>
        <v>4.6818181818181817</v>
      </c>
      <c r="CW11" s="344">
        <f t="shared" si="100"/>
        <v>71</v>
      </c>
      <c r="CX11" s="345">
        <f t="shared" si="101"/>
        <v>3.2272727272727271</v>
      </c>
      <c r="CY11" s="61">
        <f t="shared" si="102"/>
        <v>0.59195402298850575</v>
      </c>
      <c r="CZ11" s="59">
        <f t="shared" si="103"/>
        <v>155.5</v>
      </c>
      <c r="DA11" s="60">
        <f t="shared" si="104"/>
        <v>7.0681818181818183</v>
      </c>
      <c r="DB11" s="59">
        <f t="shared" si="105"/>
        <v>36.5</v>
      </c>
      <c r="DC11" s="60">
        <f t="shared" si="106"/>
        <v>1.6590909090909092</v>
      </c>
      <c r="DD11" s="292">
        <f t="shared" si="107"/>
        <v>137</v>
      </c>
      <c r="DE11" s="293">
        <f t="shared" si="108"/>
        <v>6.2272727272727275</v>
      </c>
      <c r="DF11" s="292">
        <f t="shared" si="109"/>
        <v>100</v>
      </c>
      <c r="DG11" s="293">
        <f t="shared" si="110"/>
        <v>4.5454545454545459</v>
      </c>
      <c r="DH11" s="61">
        <f t="shared" si="111"/>
        <v>0.72992700729927007</v>
      </c>
      <c r="DI11" s="344">
        <f t="shared" si="112"/>
        <v>47</v>
      </c>
      <c r="DJ11" s="345">
        <f t="shared" si="113"/>
        <v>2.1363636363636362</v>
      </c>
      <c r="DK11" s="292">
        <f t="shared" si="114"/>
        <v>7</v>
      </c>
      <c r="DL11" s="60">
        <f t="shared" si="115"/>
        <v>0.31818181818181818</v>
      </c>
      <c r="DM11" s="61">
        <f t="shared" si="116"/>
        <v>0.34306569343065696</v>
      </c>
      <c r="DN11" s="59">
        <f t="shared" si="117"/>
        <v>1</v>
      </c>
      <c r="DO11" s="59">
        <f t="shared" si="118"/>
        <v>0</v>
      </c>
      <c r="DP11" s="59">
        <f t="shared" si="119"/>
        <v>1</v>
      </c>
      <c r="DQ11" s="60">
        <f t="shared" si="120"/>
        <v>4.5454545454545456E-2</v>
      </c>
      <c r="DR11" s="61">
        <f t="shared" si="121"/>
        <v>0.14285714285714285</v>
      </c>
      <c r="DS11" s="59">
        <f t="shared" si="122"/>
        <v>298.13</v>
      </c>
      <c r="DT11" s="60">
        <f t="shared" si="123"/>
        <v>13.551363636363636</v>
      </c>
      <c r="DU11" s="59">
        <f t="shared" si="124"/>
        <v>261.3</v>
      </c>
      <c r="DV11" s="60">
        <f t="shared" si="125"/>
        <v>11.877272727272727</v>
      </c>
      <c r="DW11" s="59">
        <f t="shared" si="126"/>
        <v>104.25</v>
      </c>
      <c r="DX11" s="60">
        <f t="shared" si="127"/>
        <v>4.7386363636363633</v>
      </c>
      <c r="DY11" s="61">
        <f t="shared" si="128"/>
        <v>0.87646328782745786</v>
      </c>
      <c r="DZ11" s="60">
        <f t="shared" si="129"/>
        <v>224.9</v>
      </c>
      <c r="EA11" s="60">
        <f t="shared" si="130"/>
        <v>10.222727272727273</v>
      </c>
      <c r="EB11" s="60">
        <f t="shared" si="131"/>
        <v>4</v>
      </c>
      <c r="EC11" s="59">
        <f t="shared" si="132"/>
        <v>1</v>
      </c>
      <c r="ED11" s="60">
        <f t="shared" si="133"/>
        <v>4.5454545454545456E-2</v>
      </c>
      <c r="EE11" s="59">
        <f t="shared" si="134"/>
        <v>136</v>
      </c>
      <c r="EF11" s="60">
        <f t="shared" si="135"/>
        <v>6.1818181818181817</v>
      </c>
      <c r="EG11" s="59">
        <f t="shared" si="136"/>
        <v>332.2</v>
      </c>
      <c r="EH11" s="60">
        <f t="shared" si="137"/>
        <v>15.1</v>
      </c>
      <c r="EI11" s="60">
        <f t="shared" si="138"/>
        <v>6.82</v>
      </c>
      <c r="EJ11" s="268"/>
      <c r="EK11" s="264" t="s">
        <v>924</v>
      </c>
      <c r="EL11" s="264" t="s">
        <v>523</v>
      </c>
      <c r="EM11" s="264">
        <v>22</v>
      </c>
      <c r="EN11" s="264" t="s">
        <v>925</v>
      </c>
      <c r="EO11" s="264" t="s">
        <v>926</v>
      </c>
      <c r="EP11" s="264" t="s">
        <v>614</v>
      </c>
      <c r="EQ11" s="264" t="s">
        <v>573</v>
      </c>
      <c r="ER11" s="265">
        <v>46934</v>
      </c>
      <c r="ES11" s="264" t="s">
        <v>893</v>
      </c>
      <c r="ET11" s="264">
        <v>1980</v>
      </c>
      <c r="EU11" s="264" t="s">
        <v>898</v>
      </c>
      <c r="EV11" s="264">
        <v>1</v>
      </c>
      <c r="EW11" s="264">
        <v>0</v>
      </c>
      <c r="EX11" s="264">
        <v>0</v>
      </c>
      <c r="EY11" s="264">
        <v>0</v>
      </c>
      <c r="EZ11" s="264">
        <v>1</v>
      </c>
      <c r="FA11" s="264">
        <v>0</v>
      </c>
      <c r="FB11" s="264">
        <v>58</v>
      </c>
      <c r="FC11" s="264">
        <v>20</v>
      </c>
      <c r="FD11" s="264">
        <v>68</v>
      </c>
      <c r="FE11" s="264">
        <v>98</v>
      </c>
      <c r="FF11" s="264">
        <v>0.9</v>
      </c>
      <c r="FG11" s="264">
        <v>18</v>
      </c>
      <c r="FH11" s="264">
        <v>15</v>
      </c>
      <c r="FI11" s="264">
        <v>14</v>
      </c>
      <c r="FJ11" s="264">
        <v>36</v>
      </c>
      <c r="FK11" s="264">
        <v>15.1</v>
      </c>
      <c r="FL11" s="264">
        <v>3</v>
      </c>
      <c r="FM11" s="264">
        <v>79</v>
      </c>
      <c r="FN11" s="264">
        <v>7</v>
      </c>
      <c r="FO11" s="264">
        <v>25</v>
      </c>
      <c r="FP11" s="264" t="s">
        <v>927</v>
      </c>
      <c r="FQ11" s="264">
        <v>4</v>
      </c>
      <c r="FR11" s="264">
        <v>1</v>
      </c>
      <c r="FS11" s="264">
        <v>57</v>
      </c>
      <c r="FT11" s="264">
        <v>1083</v>
      </c>
      <c r="FU11" s="264">
        <v>987</v>
      </c>
      <c r="FV11" s="264">
        <v>0</v>
      </c>
      <c r="FW11" s="264">
        <v>12</v>
      </c>
      <c r="FX11" s="264">
        <v>2</v>
      </c>
      <c r="FY11" s="264">
        <v>0</v>
      </c>
      <c r="FZ11" s="264">
        <v>0</v>
      </c>
      <c r="GA11" s="264" t="s">
        <v>928</v>
      </c>
      <c r="GB11" s="264" t="s">
        <v>1051</v>
      </c>
      <c r="GC11" s="264">
        <v>2</v>
      </c>
      <c r="GD11" s="264">
        <v>0</v>
      </c>
      <c r="GE11" s="269">
        <v>6.82</v>
      </c>
    </row>
  </sheetData>
  <autoFilter ref="B1:GE1" xr:uid="{00000000-0009-0000-0000-000001000000}">
    <sortState xmlns:xlrd2="http://schemas.microsoft.com/office/spreadsheetml/2017/richdata2" ref="B2:GE11">
      <sortCondition ref="B1"/>
    </sortState>
  </autoFilter>
  <phoneticPr fontId="52" type="noConversion"/>
  <conditionalFormatting sqref="AL1:AM1048576">
    <cfRule type="colorScale" priority="745">
      <colorScale>
        <cfvo type="min"/>
        <cfvo type="percentile" val="50"/>
        <cfvo type="max"/>
        <color rgb="FFF8696B"/>
        <color rgb="FFFFEB84"/>
        <color rgb="FF63BE7B"/>
      </colorScale>
    </cfRule>
    <cfRule type="colorScale" priority="746">
      <colorScale>
        <cfvo type="min"/>
        <cfvo type="max"/>
        <color rgb="FFFFEF9C"/>
        <color rgb="FF63BE7B"/>
      </colorScale>
    </cfRule>
  </conditionalFormatting>
  <conditionalFormatting sqref="I2:I1048576">
    <cfRule type="containsText" dxfId="7" priority="197" operator="containsText" text="Sem Data Final">
      <formula>NOT(ISERROR(SEARCH("Sem Data Final",I2)))</formula>
    </cfRule>
    <cfRule type="colorScale" priority="427">
      <colorScale>
        <cfvo type="min"/>
        <cfvo type="percentile" val="50"/>
        <cfvo type="max"/>
        <color rgb="FF63BE7B"/>
        <color rgb="FFFFEB84"/>
        <color rgb="FFF8696B"/>
      </colorScale>
    </cfRule>
  </conditionalFormatting>
  <conditionalFormatting sqref="BO1:BP1048576">
    <cfRule type="colorScale" priority="736">
      <colorScale>
        <cfvo type="min"/>
        <cfvo type="percentile" val="50"/>
        <cfvo type="max"/>
        <color rgb="FFF8696B"/>
        <color rgb="FFFFEB84"/>
        <color rgb="FF63BE7B"/>
      </colorScale>
    </cfRule>
  </conditionalFormatting>
  <conditionalFormatting sqref="BM1:BN1048576">
    <cfRule type="colorScale" priority="735">
      <colorScale>
        <cfvo type="min"/>
        <cfvo type="percentile" val="50"/>
        <cfvo type="max"/>
        <color rgb="FFF8696B"/>
        <color rgb="FFFFEB84"/>
        <color rgb="FF63BE7B"/>
      </colorScale>
    </cfRule>
  </conditionalFormatting>
  <conditionalFormatting sqref="BS1:BU1048576">
    <cfRule type="colorScale" priority="734">
      <colorScale>
        <cfvo type="min"/>
        <cfvo type="percentile" val="50"/>
        <cfvo type="max"/>
        <color rgb="FFF8696B"/>
        <color rgb="FFFFEB84"/>
        <color rgb="FF63BE7B"/>
      </colorScale>
    </cfRule>
  </conditionalFormatting>
  <conditionalFormatting sqref="G1:G1048576">
    <cfRule type="colorScale" priority="428">
      <colorScale>
        <cfvo type="num" val="23"/>
        <cfvo type="num" val="28"/>
        <cfvo type="num" val="30"/>
        <color rgb="FF63BE7B"/>
        <color rgb="FFFFEB84"/>
        <color rgb="FFF8696B"/>
      </colorScale>
    </cfRule>
  </conditionalFormatting>
  <conditionalFormatting sqref="BS1:BS1048576">
    <cfRule type="iconSet" priority="288">
      <iconSet iconSet="5Arrows">
        <cfvo type="percent" val="0"/>
        <cfvo type="percent" val="20"/>
        <cfvo type="percent" val="40"/>
        <cfvo type="percent" val="60"/>
        <cfvo type="percent" val="80"/>
      </iconSet>
    </cfRule>
    <cfRule type="colorScale" priority="388">
      <colorScale>
        <cfvo type="min"/>
        <cfvo type="percentile" val="50"/>
        <cfvo type="max"/>
        <color rgb="FFF8696B"/>
        <color rgb="FFFFEB84"/>
        <color rgb="FF63BE7B"/>
      </colorScale>
    </cfRule>
  </conditionalFormatting>
  <conditionalFormatting sqref="BT1:BT1048576">
    <cfRule type="iconSet" priority="287">
      <iconSet iconSet="5Arrows">
        <cfvo type="percent" val="0"/>
        <cfvo type="percent" val="20"/>
        <cfvo type="percent" val="40"/>
        <cfvo type="percent" val="60"/>
        <cfvo type="percent" val="80"/>
      </iconSet>
    </cfRule>
    <cfRule type="colorScale" priority="387">
      <colorScale>
        <cfvo type="min"/>
        <cfvo type="percentile" val="50"/>
        <cfvo type="max"/>
        <color rgb="FFF8696B"/>
        <color rgb="FFFFEB84"/>
        <color rgb="FF63BE7B"/>
      </colorScale>
    </cfRule>
  </conditionalFormatting>
  <conditionalFormatting sqref="BU1:BU1048576">
    <cfRule type="iconSet" priority="286">
      <iconSet iconSet="5Arrows">
        <cfvo type="percent" val="0"/>
        <cfvo type="percent" val="20"/>
        <cfvo type="percent" val="40"/>
        <cfvo type="percent" val="60"/>
        <cfvo type="percent" val="80"/>
      </iconSet>
    </cfRule>
    <cfRule type="colorScale" priority="386">
      <colorScale>
        <cfvo type="min"/>
        <cfvo type="percentile" val="50"/>
        <cfvo type="max"/>
        <color rgb="FFF8696B"/>
        <color rgb="FFFFEB84"/>
        <color rgb="FF63BE7B"/>
      </colorScale>
    </cfRule>
  </conditionalFormatting>
  <conditionalFormatting sqref="AR1:AR1048576">
    <cfRule type="colorScale" priority="404">
      <colorScale>
        <cfvo type="min"/>
        <cfvo type="max"/>
        <color rgb="FFFCFCFF"/>
        <color rgb="FFF8696B"/>
      </colorScale>
    </cfRule>
    <cfRule type="colorScale" priority="727">
      <colorScale>
        <cfvo type="min"/>
        <cfvo type="percentile" val="50"/>
        <cfvo type="max"/>
        <color rgb="FF63BE7B"/>
        <color rgb="FFFFEB84"/>
        <color rgb="FFF8696B"/>
      </colorScale>
    </cfRule>
  </conditionalFormatting>
  <conditionalFormatting sqref="AM1:AM1048576">
    <cfRule type="colorScale" priority="409">
      <colorScale>
        <cfvo type="min"/>
        <cfvo type="percentile" val="50"/>
        <cfvo type="max"/>
        <color rgb="FFF8696B"/>
        <color rgb="FFFFEB84"/>
        <color rgb="FF63BE7B"/>
      </colorScale>
    </cfRule>
  </conditionalFormatting>
  <conditionalFormatting sqref="AO1:AQ1048576">
    <cfRule type="colorScale" priority="712">
      <colorScale>
        <cfvo type="min"/>
        <cfvo type="percentile" val="50"/>
        <cfvo type="max"/>
        <color rgb="FF63BE7B"/>
        <color rgb="FFFFEB84"/>
        <color rgb="FFF8696B"/>
      </colorScale>
    </cfRule>
  </conditionalFormatting>
  <conditionalFormatting sqref="AO1:AO1048576">
    <cfRule type="colorScale" priority="407">
      <colorScale>
        <cfvo type="min"/>
        <cfvo type="percentile" val="50"/>
        <cfvo type="max"/>
        <color rgb="FFF8696B"/>
        <color rgb="FFFFEB84"/>
        <color rgb="FF63BE7B"/>
      </colorScale>
    </cfRule>
    <cfRule type="colorScale" priority="711">
      <colorScale>
        <cfvo type="min"/>
        <cfvo type="max"/>
        <color rgb="FFFCFCFF"/>
        <color rgb="FFF8696B"/>
      </colorScale>
    </cfRule>
  </conditionalFormatting>
  <conditionalFormatting sqref="AP1:AQ1048576">
    <cfRule type="colorScale" priority="709">
      <colorScale>
        <cfvo type="min"/>
        <cfvo type="percentile" val="50"/>
        <cfvo type="max"/>
        <color rgb="FFF8696B"/>
        <color rgb="FFFFEB84"/>
        <color rgb="FF63BE7B"/>
      </colorScale>
    </cfRule>
  </conditionalFormatting>
  <conditionalFormatting sqref="AN1:AN1048576">
    <cfRule type="iconSet" priority="152">
      <iconSet iconSet="5Arrows">
        <cfvo type="percent" val="0"/>
        <cfvo type="percent" val="20"/>
        <cfvo type="percent" val="40"/>
        <cfvo type="percent" val="60"/>
        <cfvo type="percent" val="80"/>
      </iconSet>
    </cfRule>
    <cfRule type="colorScale" priority="408">
      <colorScale>
        <cfvo type="min"/>
        <cfvo type="percentile" val="50"/>
        <cfvo type="max"/>
        <color rgb="FFF8696B"/>
        <color rgb="FFFFEB84"/>
        <color rgb="FF63BE7B"/>
      </colorScale>
    </cfRule>
    <cfRule type="colorScale" priority="707">
      <colorScale>
        <cfvo type="min"/>
        <cfvo type="max"/>
        <color rgb="FFFCFCFF"/>
        <color rgb="FFF8696B"/>
      </colorScale>
    </cfRule>
  </conditionalFormatting>
  <conditionalFormatting sqref="EI1:EI1048576">
    <cfRule type="colorScale" priority="314">
      <colorScale>
        <cfvo type="num" val="6.6"/>
        <cfvo type="num" val="6.65"/>
        <cfvo type="num" val="7"/>
        <color rgb="FFF8696B"/>
        <color rgb="FFFFEB84"/>
        <color rgb="FF63BE7B"/>
      </colorScale>
    </cfRule>
    <cfRule type="iconSet" priority="315">
      <iconSet iconSet="3Arrows">
        <cfvo type="percent" val="0"/>
        <cfvo type="num" val="6.7"/>
        <cfvo type="num" val="7"/>
      </iconSet>
    </cfRule>
    <cfRule type="colorScale" priority="323">
      <colorScale>
        <cfvo type="min"/>
        <cfvo type="percentile" val="50"/>
        <cfvo type="max"/>
        <color rgb="FFF8696B"/>
        <color rgb="FFFFEB84"/>
        <color rgb="FF63BE7B"/>
      </colorScale>
    </cfRule>
  </conditionalFormatting>
  <conditionalFormatting sqref="AH1">
    <cfRule type="colorScale" priority="696">
      <colorScale>
        <cfvo type="min"/>
        <cfvo type="percentile" val="50"/>
        <cfvo type="max"/>
        <color rgb="FFF8696B"/>
        <color rgb="FFFFEB84"/>
        <color rgb="FF63BE7B"/>
      </colorScale>
    </cfRule>
  </conditionalFormatting>
  <conditionalFormatting sqref="AH1">
    <cfRule type="colorScale" priority="695">
      <colorScale>
        <cfvo type="min"/>
        <cfvo type="percentile" val="50"/>
        <cfvo type="max"/>
        <color rgb="FFF8696B"/>
        <color rgb="FFFFEB84"/>
        <color rgb="FF63BE7B"/>
      </colorScale>
    </cfRule>
  </conditionalFormatting>
  <conditionalFormatting sqref="AH1">
    <cfRule type="colorScale" priority="692">
      <colorScale>
        <cfvo type="min"/>
        <cfvo type="max"/>
        <color rgb="FFFCFCFF"/>
        <color rgb="FFF8696B"/>
      </colorScale>
    </cfRule>
  </conditionalFormatting>
  <conditionalFormatting sqref="AH1:AH1048576">
    <cfRule type="colorScale" priority="414">
      <colorScale>
        <cfvo type="min"/>
        <cfvo type="max"/>
        <color rgb="FFFCFCFF"/>
        <color rgb="FFF8696B"/>
      </colorScale>
    </cfRule>
    <cfRule type="colorScale" priority="685">
      <colorScale>
        <cfvo type="min"/>
        <cfvo type="percentile" val="50"/>
        <cfvo type="max"/>
        <color rgb="FF63BE7B"/>
        <color rgb="FFFFEB84"/>
        <color rgb="FFF8696B"/>
      </colorScale>
    </cfRule>
  </conditionalFormatting>
  <conditionalFormatting sqref="BQ1:BQ1048576">
    <cfRule type="iconSet" priority="290">
      <iconSet iconSet="5Arrows" reverse="1">
        <cfvo type="percent" val="0"/>
        <cfvo type="percent" val="20"/>
        <cfvo type="percent" val="40"/>
        <cfvo type="percent" val="60"/>
        <cfvo type="percent" val="80"/>
      </iconSet>
    </cfRule>
    <cfRule type="colorScale" priority="390">
      <colorScale>
        <cfvo type="min"/>
        <cfvo type="max"/>
        <color rgb="FFFCFCFF"/>
        <color rgb="FFF8696B"/>
      </colorScale>
    </cfRule>
    <cfRule type="colorScale" priority="679">
      <colorScale>
        <cfvo type="min"/>
        <cfvo type="percentile" val="50"/>
        <cfvo type="max"/>
        <color rgb="FF63BE7B"/>
        <color rgb="FFFFEB84"/>
        <color rgb="FFF8696B"/>
      </colorScale>
    </cfRule>
  </conditionalFormatting>
  <conditionalFormatting sqref="BR1:BR1048576">
    <cfRule type="iconSet" priority="289">
      <iconSet iconSet="5Arrows" reverse="1">
        <cfvo type="percent" val="0"/>
        <cfvo type="percent" val="20"/>
        <cfvo type="percent" val="40"/>
        <cfvo type="percent" val="60"/>
        <cfvo type="percent" val="80"/>
      </iconSet>
    </cfRule>
    <cfRule type="colorScale" priority="389">
      <colorScale>
        <cfvo type="min"/>
        <cfvo type="max"/>
        <color rgb="FFFCFCFF"/>
        <color rgb="FFF8696B"/>
      </colorScale>
    </cfRule>
    <cfRule type="colorScale" priority="677">
      <colorScale>
        <cfvo type="min"/>
        <cfvo type="percentile" val="50"/>
        <cfvo type="max"/>
        <color rgb="FF63BE7B"/>
        <color rgb="FFFFEB84"/>
        <color rgb="FFF8696B"/>
      </colorScale>
    </cfRule>
  </conditionalFormatting>
  <conditionalFormatting sqref="AL1:AL1048576">
    <cfRule type="colorScale" priority="410">
      <colorScale>
        <cfvo type="min"/>
        <cfvo type="percentile" val="50"/>
        <cfvo type="max"/>
        <color rgb="FFF8696B"/>
        <color rgb="FFFFEB84"/>
        <color rgb="FF63BE7B"/>
      </colorScale>
    </cfRule>
  </conditionalFormatting>
  <conditionalFormatting sqref="AQ1:AR1">
    <cfRule type="colorScale" priority="666">
      <colorScale>
        <cfvo type="min"/>
        <cfvo type="percentile" val="50"/>
        <cfvo type="max"/>
        <color rgb="FFF8696B"/>
        <color rgb="FFFFEB84"/>
        <color rgb="FF63BE7B"/>
      </colorScale>
    </cfRule>
    <cfRule type="colorScale" priority="667">
      <colorScale>
        <cfvo type="min"/>
        <cfvo type="max"/>
        <color rgb="FFFFEF9C"/>
        <color rgb="FF63BE7B"/>
      </colorScale>
    </cfRule>
  </conditionalFormatting>
  <conditionalFormatting sqref="AR1">
    <cfRule type="colorScale" priority="665">
      <colorScale>
        <cfvo type="min"/>
        <cfvo type="percentile" val="50"/>
        <cfvo type="max"/>
        <color rgb="FFF8696B"/>
        <color rgb="FFFFEB84"/>
        <color rgb="FF63BE7B"/>
      </colorScale>
    </cfRule>
  </conditionalFormatting>
  <conditionalFormatting sqref="AQ1">
    <cfRule type="colorScale" priority="664">
      <colorScale>
        <cfvo type="min"/>
        <cfvo type="percentile" val="50"/>
        <cfvo type="max"/>
        <color rgb="FFF8696B"/>
        <color rgb="FFFFEB84"/>
        <color rgb="FF63BE7B"/>
      </colorScale>
    </cfRule>
  </conditionalFormatting>
  <conditionalFormatting sqref="AS1">
    <cfRule type="colorScale" priority="663">
      <colorScale>
        <cfvo type="min"/>
        <cfvo type="percentile" val="50"/>
        <cfvo type="max"/>
        <color rgb="FFF8696B"/>
        <color rgb="FFFFEB84"/>
        <color rgb="FF63BE7B"/>
      </colorScale>
    </cfRule>
  </conditionalFormatting>
  <conditionalFormatting sqref="AS1">
    <cfRule type="colorScale" priority="662">
      <colorScale>
        <cfvo type="min"/>
        <cfvo type="percentile" val="50"/>
        <cfvo type="max"/>
        <color rgb="FF63BE7B"/>
        <color rgb="FFFFEB84"/>
        <color rgb="FFF8696B"/>
      </colorScale>
    </cfRule>
  </conditionalFormatting>
  <conditionalFormatting sqref="AS1">
    <cfRule type="colorScale" priority="661">
      <colorScale>
        <cfvo type="min"/>
        <cfvo type="percentile" val="50"/>
        <cfvo type="max"/>
        <color rgb="FF63BE7B"/>
        <color rgb="FFFFEB84"/>
        <color rgb="FFF8696B"/>
      </colorScale>
    </cfRule>
  </conditionalFormatting>
  <conditionalFormatting sqref="AS1">
    <cfRule type="colorScale" priority="660">
      <colorScale>
        <cfvo type="min"/>
        <cfvo type="percentile" val="50"/>
        <cfvo type="max"/>
        <color rgb="FFF8696B"/>
        <color rgb="FFFFEB84"/>
        <color rgb="FF63BE7B"/>
      </colorScale>
    </cfRule>
  </conditionalFormatting>
  <conditionalFormatting sqref="AQ1:AQ1048576">
    <cfRule type="colorScale" priority="405">
      <colorScale>
        <cfvo type="min"/>
        <cfvo type="max"/>
        <color rgb="FFFCFCFF"/>
        <color rgb="FFF8696B"/>
      </colorScale>
    </cfRule>
    <cfRule type="colorScale" priority="658">
      <colorScale>
        <cfvo type="min"/>
        <cfvo type="percentile" val="50"/>
        <cfvo type="max"/>
        <color rgb="FFC00000"/>
        <color rgb="FFFF0D0D"/>
        <color rgb="FFFF9B9B"/>
      </colorScale>
    </cfRule>
    <cfRule type="colorScale" priority="659">
      <colorScale>
        <cfvo type="min"/>
        <cfvo type="percentile" val="50"/>
        <cfvo type="max"/>
        <color rgb="FF63BE7B"/>
        <color rgb="FFFFEB84"/>
        <color rgb="FFF8696B"/>
      </colorScale>
    </cfRule>
  </conditionalFormatting>
  <conditionalFormatting sqref="AP1:AP1048576">
    <cfRule type="colorScale" priority="406">
      <colorScale>
        <cfvo type="min"/>
        <cfvo type="percentile" val="50"/>
        <cfvo type="max"/>
        <color rgb="FFF8696B"/>
        <color rgb="FFFFEB84"/>
        <color rgb="FF63BE7B"/>
      </colorScale>
    </cfRule>
  </conditionalFormatting>
  <conditionalFormatting sqref="BN1:BN1048576">
    <cfRule type="iconSet" priority="293">
      <iconSet iconSet="5Arrows">
        <cfvo type="percent" val="0"/>
        <cfvo type="percent" val="20"/>
        <cfvo type="percent" val="40"/>
        <cfvo type="percent" val="60"/>
        <cfvo type="percent" val="80"/>
      </iconSet>
    </cfRule>
    <cfRule type="colorScale" priority="393">
      <colorScale>
        <cfvo type="min"/>
        <cfvo type="percentile" val="50"/>
        <cfvo type="max"/>
        <color rgb="FFF8696B"/>
        <color rgb="FFFFEB84"/>
        <color rgb="FF63BE7B"/>
      </colorScale>
    </cfRule>
  </conditionalFormatting>
  <conditionalFormatting sqref="BM1:BM1048576">
    <cfRule type="iconSet" priority="294">
      <iconSet iconSet="5Arrows">
        <cfvo type="percent" val="0"/>
        <cfvo type="percent" val="20"/>
        <cfvo type="percent" val="40"/>
        <cfvo type="percent" val="60"/>
        <cfvo type="percent" val="80"/>
      </iconSet>
    </cfRule>
    <cfRule type="colorScale" priority="394">
      <colorScale>
        <cfvo type="min"/>
        <cfvo type="percentile" val="50"/>
        <cfvo type="max"/>
        <color rgb="FFF8696B"/>
        <color rgb="FFFFEB84"/>
        <color rgb="FF63BE7B"/>
      </colorScale>
    </cfRule>
  </conditionalFormatting>
  <conditionalFormatting sqref="BP1:BP1048576">
    <cfRule type="iconSet" priority="291">
      <iconSet iconSet="5Arrows">
        <cfvo type="percent" val="0"/>
        <cfvo type="percent" val="20"/>
        <cfvo type="percent" val="40"/>
        <cfvo type="percent" val="60"/>
        <cfvo type="percent" val="80"/>
      </iconSet>
    </cfRule>
    <cfRule type="colorScale" priority="391">
      <colorScale>
        <cfvo type="min"/>
        <cfvo type="percentile" val="50"/>
        <cfvo type="max"/>
        <color rgb="FFF8696B"/>
        <color rgb="FFFFEB84"/>
        <color rgb="FF63BE7B"/>
      </colorScale>
    </cfRule>
  </conditionalFormatting>
  <conditionalFormatting sqref="BO1:BO1048576">
    <cfRule type="iconSet" priority="292">
      <iconSet iconSet="5Arrows">
        <cfvo type="percent" val="0"/>
        <cfvo type="percent" val="20"/>
        <cfvo type="percent" val="40"/>
        <cfvo type="percent" val="60"/>
        <cfvo type="percent" val="80"/>
      </iconSet>
    </cfRule>
    <cfRule type="colorScale" priority="392">
      <colorScale>
        <cfvo type="min"/>
        <cfvo type="percentile" val="50"/>
        <cfvo type="max"/>
        <color rgb="FFF8696B"/>
        <color rgb="FFFFEB84"/>
        <color rgb="FF63BE7B"/>
      </colorScale>
    </cfRule>
  </conditionalFormatting>
  <conditionalFormatting sqref="BQ1:BR1048576">
    <cfRule type="colorScale" priority="651">
      <colorScale>
        <cfvo type="min"/>
        <cfvo type="percentile" val="50"/>
        <cfvo type="max"/>
        <color rgb="FF63BE7B"/>
        <color rgb="FFFFEB84"/>
        <color rgb="FFF8696B"/>
      </colorScale>
    </cfRule>
  </conditionalFormatting>
  <conditionalFormatting sqref="CS1:CT1048576">
    <cfRule type="colorScale" priority="626">
      <colorScale>
        <cfvo type="min"/>
        <cfvo type="percentile" val="50"/>
        <cfvo type="max"/>
        <color rgb="FFF8696B"/>
        <color rgb="FFFFEB84"/>
        <color rgb="FF63BE7B"/>
      </colorScale>
    </cfRule>
  </conditionalFormatting>
  <conditionalFormatting sqref="CU1:CU1048576">
    <cfRule type="iconSet" priority="269">
      <iconSet iconSet="5Arrows">
        <cfvo type="percent" val="0"/>
        <cfvo type="percent" val="20"/>
        <cfvo type="percent" val="40"/>
        <cfvo type="percent" val="60"/>
        <cfvo type="percent" val="80"/>
      </iconSet>
    </cfRule>
    <cfRule type="colorScale" priority="365">
      <colorScale>
        <cfvo type="min"/>
        <cfvo type="percentile" val="50"/>
        <cfvo type="max"/>
        <color rgb="FFF8696B"/>
        <color rgb="FFFFEB84"/>
        <color rgb="FF63BE7B"/>
      </colorScale>
    </cfRule>
  </conditionalFormatting>
  <conditionalFormatting sqref="CT1:CT1048576">
    <cfRule type="iconSet" priority="270">
      <iconSet iconSet="5Arrows">
        <cfvo type="percent" val="0"/>
        <cfvo type="percent" val="20"/>
        <cfvo type="percent" val="40"/>
        <cfvo type="percent" val="60"/>
        <cfvo type="percent" val="80"/>
      </iconSet>
    </cfRule>
    <cfRule type="colorScale" priority="366">
      <colorScale>
        <cfvo type="min"/>
        <cfvo type="percentile" val="50"/>
        <cfvo type="max"/>
        <color rgb="FFF8696B"/>
        <color rgb="FFFFEB84"/>
        <color rgb="FF63BE7B"/>
      </colorScale>
    </cfRule>
  </conditionalFormatting>
  <conditionalFormatting sqref="CS1:CS1048576">
    <cfRule type="iconSet" priority="271">
      <iconSet iconSet="5Arrows">
        <cfvo type="percent" val="0"/>
        <cfvo type="percent" val="20"/>
        <cfvo type="percent" val="40"/>
        <cfvo type="percent" val="60"/>
        <cfvo type="percent" val="80"/>
      </iconSet>
    </cfRule>
    <cfRule type="colorScale" priority="321">
      <colorScale>
        <cfvo type="min"/>
        <cfvo type="percentile" val="50"/>
        <cfvo type="max"/>
        <color rgb="FFF8696B"/>
        <color rgb="FFFFEB84"/>
        <color rgb="FF63BE7B"/>
      </colorScale>
    </cfRule>
  </conditionalFormatting>
  <conditionalFormatting sqref="CV1:CV1048576">
    <cfRule type="iconSet" priority="268">
      <iconSet iconSet="5Arrows">
        <cfvo type="percent" val="0"/>
        <cfvo type="percent" val="20"/>
        <cfvo type="percent" val="40"/>
        <cfvo type="percent" val="60"/>
        <cfvo type="percent" val="80"/>
      </iconSet>
    </cfRule>
    <cfRule type="colorScale" priority="364">
      <colorScale>
        <cfvo type="min"/>
        <cfvo type="percentile" val="50"/>
        <cfvo type="max"/>
        <color rgb="FFF8696B"/>
        <color rgb="FFFFEB84"/>
        <color rgb="FF63BE7B"/>
      </colorScale>
    </cfRule>
  </conditionalFormatting>
  <conditionalFormatting sqref="DR1:DR1048576">
    <cfRule type="colorScale" priority="332">
      <colorScale>
        <cfvo type="min"/>
        <cfvo type="percentile" val="50"/>
        <cfvo type="max"/>
        <color rgb="FF63BE7B"/>
        <color rgb="FFFFEB84"/>
        <color rgb="FFF8696B"/>
      </colorScale>
    </cfRule>
    <cfRule type="colorScale" priority="620">
      <colorScale>
        <cfvo type="min"/>
        <cfvo type="max"/>
        <color rgb="FFFCFCFF"/>
        <color rgb="FFF8696B"/>
      </colorScale>
    </cfRule>
  </conditionalFormatting>
  <conditionalFormatting sqref="DU1:DU1048576">
    <cfRule type="iconSet" priority="299">
      <iconSet iconSet="5Arrows">
        <cfvo type="percent" val="0"/>
        <cfvo type="percent" val="20"/>
        <cfvo type="percent" val="40"/>
        <cfvo type="percent" val="60"/>
        <cfvo type="percent" val="80"/>
      </iconSet>
    </cfRule>
    <cfRule type="colorScale" priority="329">
      <colorScale>
        <cfvo type="min"/>
        <cfvo type="percentile" val="50"/>
        <cfvo type="max"/>
        <color rgb="FFF8696B"/>
        <color rgb="FFFFEB84"/>
        <color rgb="FF63BE7B"/>
      </colorScale>
    </cfRule>
  </conditionalFormatting>
  <conditionalFormatting sqref="CY1:CY1048576">
    <cfRule type="iconSet" priority="266">
      <iconSet iconSet="5Arrows">
        <cfvo type="percent" val="0"/>
        <cfvo type="percent" val="20"/>
        <cfvo type="percent" val="40"/>
        <cfvo type="percent" val="60"/>
        <cfvo type="percent" val="80"/>
      </iconSet>
    </cfRule>
    <cfRule type="colorScale" priority="362">
      <colorScale>
        <cfvo type="min"/>
        <cfvo type="percentile" val="50"/>
        <cfvo type="max"/>
        <color rgb="FFF8696B"/>
        <color rgb="FFFFEB84"/>
        <color rgb="FF63BE7B"/>
      </colorScale>
    </cfRule>
  </conditionalFormatting>
  <conditionalFormatting sqref="DH1">
    <cfRule type="colorScale" priority="556">
      <colorScale>
        <cfvo type="min"/>
        <cfvo type="percentile" val="50"/>
        <cfvo type="max"/>
        <color rgb="FFF8696B"/>
        <color rgb="FFFFEB84"/>
        <color rgb="FF63BE7B"/>
      </colorScale>
    </cfRule>
  </conditionalFormatting>
  <conditionalFormatting sqref="DH1">
    <cfRule type="colorScale" priority="555">
      <colorScale>
        <cfvo type="min"/>
        <cfvo type="percentile" val="50"/>
        <cfvo type="max"/>
        <color rgb="FFF8696B"/>
        <color rgb="FFFFEB84"/>
        <color rgb="FF63BE7B"/>
      </colorScale>
    </cfRule>
  </conditionalFormatting>
  <conditionalFormatting sqref="DN1:DN1048576">
    <cfRule type="colorScale" priority="336">
      <colorScale>
        <cfvo type="min"/>
        <cfvo type="percentile" val="50"/>
        <cfvo type="max"/>
        <color rgb="FF63BE7B"/>
        <color rgb="FFFFEB84"/>
        <color rgb="FFF8696B"/>
      </colorScale>
    </cfRule>
  </conditionalFormatting>
  <conditionalFormatting sqref="DQ1:DQ1048576">
    <cfRule type="colorScale" priority="319">
      <colorScale>
        <cfvo type="min"/>
        <cfvo type="percentile" val="50"/>
        <cfvo type="max"/>
        <color rgb="FF63BE7B"/>
        <color rgb="FFFFEB84"/>
        <color rgb="FFF8696B"/>
      </colorScale>
    </cfRule>
  </conditionalFormatting>
  <conditionalFormatting sqref="DP1:DP1048576">
    <cfRule type="colorScale" priority="334">
      <colorScale>
        <cfvo type="min"/>
        <cfvo type="percentile" val="50"/>
        <cfvo type="max"/>
        <color rgb="FF63BE7B"/>
        <color rgb="FFFFEB84"/>
        <color rgb="FFF8696B"/>
      </colorScale>
    </cfRule>
  </conditionalFormatting>
  <conditionalFormatting sqref="CZ1:CZ1048576">
    <cfRule type="iconSet" priority="285">
      <iconSet iconSet="5Arrows">
        <cfvo type="percent" val="0"/>
        <cfvo type="percent" val="20"/>
        <cfvo type="percent" val="40"/>
        <cfvo type="percent" val="60"/>
        <cfvo type="percent" val="80"/>
      </iconSet>
    </cfRule>
    <cfRule type="colorScale" priority="361">
      <colorScale>
        <cfvo type="min"/>
        <cfvo type="percentile" val="50"/>
        <cfvo type="max"/>
        <color rgb="FFF8696B"/>
        <color rgb="FFFFEB84"/>
        <color rgb="FF63BE7B"/>
      </colorScale>
    </cfRule>
  </conditionalFormatting>
  <conditionalFormatting sqref="DA1:DA1048576">
    <cfRule type="iconSet" priority="284">
      <iconSet iconSet="5Arrows">
        <cfvo type="percent" val="0"/>
        <cfvo type="percent" val="20"/>
        <cfvo type="percent" val="40"/>
        <cfvo type="percent" val="60"/>
        <cfvo type="percent" val="80"/>
      </iconSet>
    </cfRule>
    <cfRule type="colorScale" priority="360">
      <colorScale>
        <cfvo type="min"/>
        <cfvo type="percentile" val="50"/>
        <cfvo type="max"/>
        <color rgb="FFF8696B"/>
        <color rgb="FFFFEB84"/>
        <color rgb="FF63BE7B"/>
      </colorScale>
    </cfRule>
  </conditionalFormatting>
  <conditionalFormatting sqref="DB1:DB1048576">
    <cfRule type="iconSet" priority="283">
      <iconSet iconSet="5Arrows">
        <cfvo type="percent" val="0"/>
        <cfvo type="percent" val="20"/>
        <cfvo type="percent" val="40"/>
        <cfvo type="percent" val="60"/>
        <cfvo type="percent" val="80"/>
      </iconSet>
    </cfRule>
    <cfRule type="colorScale" priority="359">
      <colorScale>
        <cfvo type="min"/>
        <cfvo type="percentile" val="50"/>
        <cfvo type="max"/>
        <color rgb="FFF8696B"/>
        <color rgb="FFFFEB84"/>
        <color rgb="FF63BE7B"/>
      </colorScale>
    </cfRule>
  </conditionalFormatting>
  <conditionalFormatting sqref="DC1:DC1048576">
    <cfRule type="iconSet" priority="282">
      <iconSet iconSet="5Arrows">
        <cfvo type="percent" val="0"/>
        <cfvo type="percent" val="20"/>
        <cfvo type="percent" val="40"/>
        <cfvo type="percent" val="60"/>
        <cfvo type="percent" val="80"/>
      </iconSet>
    </cfRule>
    <cfRule type="colorScale" priority="345">
      <colorScale>
        <cfvo type="min"/>
        <cfvo type="percentile" val="50"/>
        <cfvo type="max"/>
        <color rgb="FFF8696B"/>
        <color rgb="FFFFEB84"/>
        <color rgb="FF63BE7B"/>
      </colorScale>
    </cfRule>
  </conditionalFormatting>
  <conditionalFormatting sqref="DC1:DC1048576 DH1:DH1048576">
    <cfRule type="colorScale" priority="543">
      <colorScale>
        <cfvo type="min"/>
        <cfvo type="percentile" val="50"/>
        <cfvo type="max"/>
        <color rgb="FFF8696B"/>
        <color rgb="FFFFEB84"/>
        <color rgb="FF63BE7B"/>
      </colorScale>
    </cfRule>
  </conditionalFormatting>
  <conditionalFormatting sqref="DH1:DH1048576">
    <cfRule type="iconSet" priority="277">
      <iconSet iconSet="5Arrows">
        <cfvo type="percent" val="0"/>
        <cfvo type="percent" val="20"/>
        <cfvo type="percent" val="40"/>
        <cfvo type="percent" val="60"/>
        <cfvo type="percent" val="80"/>
      </iconSet>
    </cfRule>
    <cfRule type="colorScale" priority="342">
      <colorScale>
        <cfvo type="min"/>
        <cfvo type="percentile" val="50"/>
        <cfvo type="max"/>
        <color rgb="FFF8696B"/>
        <color rgb="FFFFEB84"/>
        <color rgb="FF63BE7B"/>
      </colorScale>
    </cfRule>
  </conditionalFormatting>
  <conditionalFormatting sqref="DL1:DL1048576">
    <cfRule type="colorScale" priority="338">
      <colorScale>
        <cfvo type="min"/>
        <cfvo type="percentile" val="50"/>
        <cfvo type="max"/>
        <color rgb="FF63BE7B"/>
        <color rgb="FFFFEB84"/>
        <color rgb="FFF8696B"/>
      </colorScale>
    </cfRule>
    <cfRule type="colorScale" priority="532">
      <colorScale>
        <cfvo type="min"/>
        <cfvo type="max"/>
        <color rgb="FFFCFCFF"/>
        <color rgb="FFF8696B"/>
      </colorScale>
    </cfRule>
  </conditionalFormatting>
  <conditionalFormatting sqref="DM1:DM1048576">
    <cfRule type="colorScale" priority="337">
      <colorScale>
        <cfvo type="min"/>
        <cfvo type="max"/>
        <color rgb="FFFCFCFF"/>
        <color rgb="FFF8696B"/>
      </colorScale>
    </cfRule>
    <cfRule type="colorScale" priority="348">
      <colorScale>
        <cfvo type="min"/>
        <cfvo type="percentile" val="50"/>
        <cfvo type="max"/>
        <color rgb="FF63BE7B"/>
        <color rgb="FFFFEB84"/>
        <color rgb="FFF8696B"/>
      </colorScale>
    </cfRule>
  </conditionalFormatting>
  <conditionalFormatting sqref="F1:F1048576">
    <cfRule type="colorScale" priority="322">
      <colorScale>
        <cfvo type="num" val="0"/>
        <cfvo type="num" val="1.8"/>
        <cfvo type="num" val="1.84"/>
        <color rgb="FFF8696B"/>
        <color rgb="FFFFEB84"/>
        <color rgb="FF63BE7B"/>
      </colorScale>
    </cfRule>
  </conditionalFormatting>
  <conditionalFormatting sqref="DZ1">
    <cfRule type="colorScale" priority="310">
      <colorScale>
        <cfvo type="min"/>
        <cfvo type="percentile" val="50"/>
        <cfvo type="max"/>
        <color rgb="FFF8696B"/>
        <color rgb="FFFFEB84"/>
        <color rgb="FF63BE7B"/>
      </colorScale>
    </cfRule>
  </conditionalFormatting>
  <conditionalFormatting sqref="DZ1:DZ1048576">
    <cfRule type="iconSet" priority="275">
      <iconSet iconSet="5Arrows">
        <cfvo type="percent" val="0"/>
        <cfvo type="percent" val="20"/>
        <cfvo type="percent" val="40"/>
        <cfvo type="percent" val="60"/>
        <cfvo type="percent" val="80"/>
      </iconSet>
    </cfRule>
    <cfRule type="colorScale" priority="303">
      <colorScale>
        <cfvo type="min"/>
        <cfvo type="percentile" val="50"/>
        <cfvo type="max"/>
        <color theme="4" tint="0.79998168889431442"/>
        <color theme="4" tint="0.39997558519241921"/>
        <color rgb="FF19C3FF"/>
      </colorScale>
    </cfRule>
  </conditionalFormatting>
  <conditionalFormatting sqref="EA1:EA1048576">
    <cfRule type="iconSet" priority="274">
      <iconSet iconSet="5Arrows">
        <cfvo type="percent" val="0"/>
        <cfvo type="percent" val="20"/>
        <cfvo type="percent" val="40"/>
        <cfvo type="percent" val="60"/>
        <cfvo type="percent" val="80"/>
      </iconSet>
    </cfRule>
    <cfRule type="colorScale" priority="302">
      <colorScale>
        <cfvo type="min"/>
        <cfvo type="percentile" val="50"/>
        <cfvo type="max"/>
        <color theme="4" tint="0.79998168889431442"/>
        <color theme="4" tint="0.39997558519241921"/>
        <color rgb="FF00B0F0"/>
      </colorScale>
    </cfRule>
  </conditionalFormatting>
  <conditionalFormatting sqref="DO1:DO1048576">
    <cfRule type="colorScale" priority="265">
      <colorScale>
        <cfvo type="num" val="0.01"/>
        <cfvo type="percentile" val="50"/>
        <cfvo type="max"/>
        <color rgb="FF63BE7B"/>
        <color rgb="FFFFEB84"/>
        <color rgb="FFF8696B"/>
      </colorScale>
    </cfRule>
  </conditionalFormatting>
  <conditionalFormatting sqref="EB1:EB1048576">
    <cfRule type="iconSet" priority="261">
      <iconSet iconSet="5Arrows">
        <cfvo type="percent" val="0"/>
        <cfvo type="percent" val="20"/>
        <cfvo type="percent" val="40"/>
        <cfvo type="percent" val="60"/>
        <cfvo type="percent" val="80"/>
      </iconSet>
    </cfRule>
    <cfRule type="colorScale" priority="264">
      <colorScale>
        <cfvo type="min"/>
        <cfvo type="percentile" val="50"/>
        <cfvo type="max"/>
        <color rgb="FFF8696B"/>
        <color rgb="FFFFEB84"/>
        <color rgb="FF63BE7B"/>
      </colorScale>
    </cfRule>
  </conditionalFormatting>
  <conditionalFormatting sqref="EC1:EC1048576">
    <cfRule type="iconSet" priority="260">
      <iconSet iconSet="5Arrows">
        <cfvo type="percent" val="0"/>
        <cfvo type="percent" val="20"/>
        <cfvo type="percent" val="40"/>
        <cfvo type="percent" val="60"/>
        <cfvo type="percent" val="80"/>
      </iconSet>
    </cfRule>
    <cfRule type="colorScale" priority="263">
      <colorScale>
        <cfvo type="min"/>
        <cfvo type="percentile" val="50"/>
        <cfvo type="max"/>
        <color rgb="FFF8696B"/>
        <color rgb="FFFFEB84"/>
        <color rgb="FF63BE7B"/>
      </colorScale>
    </cfRule>
  </conditionalFormatting>
  <conditionalFormatting sqref="ED1:ED1048576">
    <cfRule type="iconSet" priority="259">
      <iconSet iconSet="5Arrows">
        <cfvo type="percent" val="0"/>
        <cfvo type="percent" val="20"/>
        <cfvo type="percent" val="40"/>
        <cfvo type="percent" val="60"/>
        <cfvo type="percent" val="80"/>
      </iconSet>
    </cfRule>
    <cfRule type="colorScale" priority="262">
      <colorScale>
        <cfvo type="min"/>
        <cfvo type="percentile" val="50"/>
        <cfvo type="max"/>
        <color rgb="FFF8696B"/>
        <color rgb="FFFFEB84"/>
        <color rgb="FF63BE7B"/>
      </colorScale>
    </cfRule>
  </conditionalFormatting>
  <conditionalFormatting sqref="AC1:AC1048576">
    <cfRule type="colorScale" priority="232">
      <colorScale>
        <cfvo type="min"/>
        <cfvo type="percentile" val="50"/>
        <cfvo type="max"/>
        <color theme="5" tint="0.79998168889431442"/>
        <color theme="5" tint="0.39997558519241921"/>
        <color theme="5" tint="-0.249977111117893"/>
      </colorScale>
    </cfRule>
    <cfRule type="iconSet" priority="235">
      <iconSet iconSet="3ArrowsGray">
        <cfvo type="percent" val="0"/>
        <cfvo type="percent" val="33"/>
        <cfvo type="percent" val="67"/>
      </iconSet>
    </cfRule>
  </conditionalFormatting>
  <conditionalFormatting sqref="AD1:AD1048576">
    <cfRule type="colorScale" priority="231">
      <colorScale>
        <cfvo type="min"/>
        <cfvo type="percentile" val="50"/>
        <cfvo type="max"/>
        <color theme="5" tint="-0.249977111117893"/>
        <color theme="5" tint="0.39997558519241921"/>
        <color theme="5" tint="0.79998168889431442"/>
      </colorScale>
    </cfRule>
    <cfRule type="iconSet" priority="234">
      <iconSet iconSet="3ArrowsGray" reverse="1">
        <cfvo type="percent" val="0"/>
        <cfvo type="percent" val="33"/>
        <cfvo type="percent" val="67"/>
      </iconSet>
    </cfRule>
  </conditionalFormatting>
  <conditionalFormatting sqref="AE1:AE1048576">
    <cfRule type="colorScale" priority="230">
      <colorScale>
        <cfvo type="min"/>
        <cfvo type="percentile" val="50"/>
        <cfvo type="max"/>
        <color theme="5" tint="0.79998168889431442"/>
        <color theme="5" tint="0.39997558519241921"/>
        <color theme="5" tint="-0.249977111117893"/>
      </colorScale>
    </cfRule>
    <cfRule type="iconSet" priority="233">
      <iconSet iconSet="3ArrowsGray">
        <cfvo type="percent" val="0"/>
        <cfvo type="percent" val="33"/>
        <cfvo type="percent" val="67"/>
      </iconSet>
    </cfRule>
  </conditionalFormatting>
  <conditionalFormatting sqref="CA1:CA1048576">
    <cfRule type="colorScale" priority="226">
      <colorScale>
        <cfvo type="min"/>
        <cfvo type="percentile" val="50"/>
        <cfvo type="max"/>
        <color rgb="FFF8696B"/>
        <color rgb="FFFFEB84"/>
        <color rgb="FF63BE7B"/>
      </colorScale>
    </cfRule>
  </conditionalFormatting>
  <conditionalFormatting sqref="CB1:CB1048576">
    <cfRule type="colorScale" priority="225">
      <colorScale>
        <cfvo type="min"/>
        <cfvo type="percentile" val="50"/>
        <cfvo type="max"/>
        <color rgb="FFF8696B"/>
        <color rgb="FFFFEB84"/>
        <color rgb="FF63BE7B"/>
      </colorScale>
    </cfRule>
  </conditionalFormatting>
  <conditionalFormatting sqref="CC1:CC1048576">
    <cfRule type="colorScale" priority="223">
      <colorScale>
        <cfvo type="min"/>
        <cfvo type="percentile" val="50"/>
        <cfvo type="max"/>
        <color rgb="FFF8696B"/>
        <color rgb="FFFFEB84"/>
        <color rgb="FF63BE7B"/>
      </colorScale>
    </cfRule>
  </conditionalFormatting>
  <conditionalFormatting sqref="CD1:CD1048576">
    <cfRule type="colorScale" priority="222">
      <colorScale>
        <cfvo type="min"/>
        <cfvo type="percentile" val="50"/>
        <cfvo type="max"/>
        <color rgb="FFF8696B"/>
        <color rgb="FFFFEB84"/>
        <color rgb="FF63BE7B"/>
      </colorScale>
    </cfRule>
  </conditionalFormatting>
  <conditionalFormatting sqref="CE1:CE1048576">
    <cfRule type="colorScale" priority="220">
      <colorScale>
        <cfvo type="min"/>
        <cfvo type="percentile" val="50"/>
        <cfvo type="max"/>
        <color rgb="FFF8696B"/>
        <color rgb="FFFFEB84"/>
        <color rgb="FF63BE7B"/>
      </colorScale>
    </cfRule>
  </conditionalFormatting>
  <conditionalFormatting sqref="BV1:BV1048576">
    <cfRule type="colorScale" priority="218">
      <colorScale>
        <cfvo type="min"/>
        <cfvo type="percentile" val="50"/>
        <cfvo type="max"/>
        <color rgb="FFF8696B"/>
        <color rgb="FFFCFCFF"/>
        <color rgb="FF5A8AC6"/>
      </colorScale>
    </cfRule>
  </conditionalFormatting>
  <conditionalFormatting sqref="BZ1:BZ1048576">
    <cfRule type="iconSet" priority="213">
      <iconSet iconSet="5Arrows">
        <cfvo type="percent" val="0"/>
        <cfvo type="percent" val="20"/>
        <cfvo type="percent" val="40"/>
        <cfvo type="percent" val="60"/>
        <cfvo type="percent" val="80"/>
      </iconSet>
    </cfRule>
    <cfRule type="colorScale" priority="214">
      <colorScale>
        <cfvo type="min"/>
        <cfvo type="percentile" val="50"/>
        <cfvo type="max"/>
        <color rgb="FFF8696B"/>
        <color rgb="FFFFEB84"/>
        <color rgb="FF63BE7B"/>
      </colorScale>
    </cfRule>
  </conditionalFormatting>
  <conditionalFormatting sqref="L1:L1048576">
    <cfRule type="colorScale" priority="212">
      <colorScale>
        <cfvo type="min"/>
        <cfvo type="max"/>
        <color rgb="FFFFEF9C"/>
        <color rgb="FF63BE7B"/>
      </colorScale>
    </cfRule>
  </conditionalFormatting>
  <conditionalFormatting sqref="O1:O1048576">
    <cfRule type="colorScale" priority="201">
      <colorScale>
        <cfvo type="min"/>
        <cfvo type="percentile" val="50"/>
        <cfvo type="max"/>
        <color rgb="FFF8696B"/>
        <color rgb="FFFFEB84"/>
        <color rgb="FF63BE7B"/>
      </colorScale>
    </cfRule>
    <cfRule type="dataBar" priority="204">
      <dataBar>
        <cfvo type="min"/>
        <cfvo type="max"/>
        <color rgb="FF638EC6"/>
      </dataBar>
      <extLst>
        <ext xmlns:x14="http://schemas.microsoft.com/office/spreadsheetml/2009/9/main" uri="{B025F937-C7B1-47D3-B67F-A62EFF666E3E}">
          <x14:id>{6A451C48-7E1E-4E6A-816D-B3356C1124D0}</x14:id>
        </ext>
      </extLst>
    </cfRule>
  </conditionalFormatting>
  <conditionalFormatting sqref="M1:M1048576">
    <cfRule type="colorScale" priority="203">
      <colorScale>
        <cfvo type="min"/>
        <cfvo type="percentile" val="50"/>
        <cfvo type="max"/>
        <color rgb="FFF8696B"/>
        <color rgb="FFFFEB84"/>
        <color rgb="FF63BE7B"/>
      </colorScale>
    </cfRule>
  </conditionalFormatting>
  <conditionalFormatting sqref="N1:N1048576">
    <cfRule type="colorScale" priority="202">
      <colorScale>
        <cfvo type="min"/>
        <cfvo type="num" val="75"/>
        <cfvo type="num" val="90"/>
        <color rgb="FFF8696B"/>
        <color rgb="FFFFEB84"/>
        <color rgb="FF63BE7B"/>
      </colorScale>
    </cfRule>
  </conditionalFormatting>
  <conditionalFormatting sqref="I1">
    <cfRule type="containsText" dxfId="6" priority="195" operator="containsText" text="Sem Data Final">
      <formula>NOT(ISERROR(SEARCH("Sem Data Final",I1)))</formula>
    </cfRule>
    <cfRule type="colorScale" priority="196">
      <colorScale>
        <cfvo type="min"/>
        <cfvo type="percentile" val="50"/>
        <cfvo type="max"/>
        <color rgb="FF63BE7B"/>
        <color rgb="FFFFEB84"/>
        <color rgb="FFF8696B"/>
      </colorScale>
    </cfRule>
  </conditionalFormatting>
  <conditionalFormatting sqref="H1:H1048576">
    <cfRule type="containsText" dxfId="5" priority="194" operator="containsText" text="Desconhecido">
      <formula>NOT(ISERROR(SEARCH("Desconhecido",H1)))</formula>
    </cfRule>
  </conditionalFormatting>
  <conditionalFormatting sqref="BX1:BX1048576">
    <cfRule type="colorScale" priority="193">
      <colorScale>
        <cfvo type="min"/>
        <cfvo type="percentile" val="50"/>
        <cfvo type="max"/>
        <color rgb="FFF8696B"/>
        <color rgb="FFFCFCFF"/>
        <color rgb="FF5A8AC6"/>
      </colorScale>
    </cfRule>
  </conditionalFormatting>
  <conditionalFormatting sqref="AS1:AS1048576">
    <cfRule type="colorScale" priority="188">
      <colorScale>
        <cfvo type="min"/>
        <cfvo type="max"/>
        <color rgb="FFFCFCFF"/>
        <color rgb="FFF8696B"/>
      </colorScale>
    </cfRule>
  </conditionalFormatting>
  <conditionalFormatting sqref="AT1:AT1048576">
    <cfRule type="iconSet" priority="185">
      <iconSet iconSet="3Arrows">
        <cfvo type="percent" val="0"/>
        <cfvo type="percent" val="33"/>
        <cfvo type="percent" val="67"/>
      </iconSet>
    </cfRule>
    <cfRule type="colorScale" priority="187">
      <colorScale>
        <cfvo type="min"/>
        <cfvo type="percentile" val="50"/>
        <cfvo type="max"/>
        <color rgb="FFF8696B"/>
        <color rgb="FFFFEB84"/>
        <color rgb="FF63BE7B"/>
      </colorScale>
    </cfRule>
  </conditionalFormatting>
  <conditionalFormatting sqref="AU1:AU1048576">
    <cfRule type="iconSet" priority="184">
      <iconSet iconSet="3Arrows">
        <cfvo type="percent" val="0"/>
        <cfvo type="percent" val="33"/>
        <cfvo type="percent" val="67"/>
      </iconSet>
    </cfRule>
    <cfRule type="colorScale" priority="186">
      <colorScale>
        <cfvo type="min"/>
        <cfvo type="percentile" val="50"/>
        <cfvo type="max"/>
        <color rgb="FFF8696B"/>
        <color rgb="FFFFEB84"/>
        <color rgb="FF63BE7B"/>
      </colorScale>
    </cfRule>
  </conditionalFormatting>
  <conditionalFormatting sqref="DY1:DY1048576">
    <cfRule type="iconSet" priority="182">
      <iconSet iconSet="3Arrows">
        <cfvo type="percent" val="0"/>
        <cfvo type="percent" val="33"/>
        <cfvo type="percent" val="67"/>
      </iconSet>
    </cfRule>
    <cfRule type="colorScale" priority="183">
      <colorScale>
        <cfvo type="min"/>
        <cfvo type="percentile" val="50"/>
        <cfvo type="max"/>
        <color rgb="FFF8696B"/>
        <color rgb="FFFFEB84"/>
        <color rgb="FF63BE7B"/>
      </colorScale>
    </cfRule>
  </conditionalFormatting>
  <conditionalFormatting sqref="DV1:DV1048576">
    <cfRule type="iconSet" priority="180">
      <iconSet iconSet="5Arrows">
        <cfvo type="percent" val="0"/>
        <cfvo type="percent" val="20"/>
        <cfvo type="percent" val="40"/>
        <cfvo type="percent" val="60"/>
        <cfvo type="percent" val="80"/>
      </iconSet>
    </cfRule>
    <cfRule type="colorScale" priority="181">
      <colorScale>
        <cfvo type="min"/>
        <cfvo type="percentile" val="50"/>
        <cfvo type="max"/>
        <color rgb="FFF8696B"/>
        <color rgb="FFFFEB84"/>
        <color rgb="FF63BE7B"/>
      </colorScale>
    </cfRule>
  </conditionalFormatting>
  <conditionalFormatting sqref="DW1:DW1048576">
    <cfRule type="iconSet" priority="166">
      <iconSet iconSet="5ArrowsGray" reverse="1">
        <cfvo type="percent" val="0"/>
        <cfvo type="percent" val="20"/>
        <cfvo type="percent" val="40"/>
        <cfvo type="percent" val="60"/>
        <cfvo type="percent" val="80"/>
      </iconSet>
    </cfRule>
    <cfRule type="colorScale" priority="179">
      <colorScale>
        <cfvo type="min"/>
        <cfvo type="max"/>
        <color rgb="FFFCFCFF"/>
        <color rgb="FFF8696B"/>
      </colorScale>
    </cfRule>
  </conditionalFormatting>
  <conditionalFormatting sqref="DX1:DX1048576">
    <cfRule type="iconSet" priority="165">
      <iconSet iconSet="5ArrowsGray" reverse="1">
        <cfvo type="percent" val="0"/>
        <cfvo type="percent" val="20"/>
        <cfvo type="percent" val="40"/>
        <cfvo type="percent" val="60"/>
        <cfvo type="percent" val="80"/>
      </iconSet>
    </cfRule>
    <cfRule type="colorScale" priority="178">
      <colorScale>
        <cfvo type="min"/>
        <cfvo type="max"/>
        <color rgb="FFFCFCFF"/>
        <color rgb="FFF8696B"/>
      </colorScale>
    </cfRule>
  </conditionalFormatting>
  <conditionalFormatting sqref="DS1:DS1048576">
    <cfRule type="iconSet" priority="168">
      <iconSet iconSet="3ArrowsGray">
        <cfvo type="percent" val="0"/>
        <cfvo type="percent" val="33"/>
        <cfvo type="percent" val="67"/>
      </iconSet>
    </cfRule>
    <cfRule type="colorScale" priority="169">
      <colorScale>
        <cfvo type="min"/>
        <cfvo type="percentile" val="50"/>
        <cfvo type="max"/>
        <color rgb="FFF4B084"/>
        <color rgb="FFF08E52"/>
        <color rgb="FFEC7328"/>
      </colorScale>
    </cfRule>
  </conditionalFormatting>
  <conditionalFormatting sqref="DT1:DT1048576">
    <cfRule type="iconSet" priority="167">
      <iconSet iconSet="3ArrowsGray">
        <cfvo type="percent" val="0"/>
        <cfvo type="percent" val="33"/>
        <cfvo type="percent" val="67"/>
      </iconSet>
    </cfRule>
    <cfRule type="colorScale" priority="173">
      <colorScale>
        <cfvo type="min"/>
        <cfvo type="percentile" val="50"/>
        <cfvo type="max"/>
        <color rgb="FFF4B084"/>
        <color rgb="FFF08E52"/>
        <color rgb="FFEC7328"/>
      </colorScale>
    </cfRule>
  </conditionalFormatting>
  <conditionalFormatting sqref="CQ1">
    <cfRule type="colorScale" priority="163">
      <colorScale>
        <cfvo type="min"/>
        <cfvo type="percentile" val="50"/>
        <cfvo type="max"/>
        <color rgb="FFF8696B"/>
        <color rgb="FFFFEB84"/>
        <color rgb="FF63BE7B"/>
      </colorScale>
    </cfRule>
  </conditionalFormatting>
  <conditionalFormatting sqref="CQ1:CQ1048576">
    <cfRule type="iconSet" priority="153">
      <iconSet iconSet="5Arrows">
        <cfvo type="percent" val="0"/>
        <cfvo type="percent" val="20"/>
        <cfvo type="percent" val="40"/>
        <cfvo type="percent" val="60"/>
        <cfvo type="percent" val="80"/>
      </iconSet>
    </cfRule>
    <cfRule type="colorScale" priority="162">
      <colorScale>
        <cfvo type="min"/>
        <cfvo type="percentile" val="50"/>
        <cfvo type="max"/>
        <color rgb="FFF8696B"/>
        <color rgb="FFFFEB84"/>
        <color rgb="FF63BE7B"/>
      </colorScale>
    </cfRule>
  </conditionalFormatting>
  <conditionalFormatting sqref="CR1:CR1048576">
    <cfRule type="iconSet" priority="154">
      <iconSet iconSet="5Arrows">
        <cfvo type="percent" val="0"/>
        <cfvo type="percent" val="20"/>
        <cfvo type="percent" val="40"/>
        <cfvo type="percent" val="60"/>
        <cfvo type="percent" val="80"/>
      </iconSet>
    </cfRule>
    <cfRule type="colorScale" priority="161">
      <colorScale>
        <cfvo type="min"/>
        <cfvo type="percentile" val="50"/>
        <cfvo type="max"/>
        <color rgb="FFF8696B"/>
        <color rgb="FFFFEB84"/>
        <color rgb="FF63BE7B"/>
      </colorScale>
    </cfRule>
  </conditionalFormatting>
  <conditionalFormatting sqref="CN1:CN1048576">
    <cfRule type="colorScale" priority="159">
      <colorScale>
        <cfvo type="min"/>
        <cfvo type="percentile" val="50"/>
        <cfvo type="max"/>
        <color rgb="FFF8696B"/>
        <color rgb="FFFFEB84"/>
        <color rgb="FF63BE7B"/>
      </colorScale>
    </cfRule>
    <cfRule type="iconSet" priority="160">
      <iconSet iconSet="5Arrows">
        <cfvo type="percent" val="0"/>
        <cfvo type="percent" val="20"/>
        <cfvo type="percent" val="40"/>
        <cfvo type="percent" val="60"/>
        <cfvo type="percent" val="80"/>
      </iconSet>
    </cfRule>
  </conditionalFormatting>
  <conditionalFormatting sqref="CO1:CO1048576">
    <cfRule type="iconSet" priority="157">
      <iconSet iconSet="5Arrows">
        <cfvo type="percent" val="0"/>
        <cfvo type="percent" val="20"/>
        <cfvo type="percent" val="40"/>
        <cfvo type="percent" val="60"/>
        <cfvo type="percent" val="80"/>
      </iconSet>
    </cfRule>
    <cfRule type="colorScale" priority="158">
      <colorScale>
        <cfvo type="min"/>
        <cfvo type="percentile" val="50"/>
        <cfvo type="max"/>
        <color rgb="FFF8696B"/>
        <color rgb="FFFFEB84"/>
        <color rgb="FF63BE7B"/>
      </colorScale>
    </cfRule>
  </conditionalFormatting>
  <conditionalFormatting sqref="CP1:CP1048576">
    <cfRule type="dataBar" priority="155">
      <dataBar>
        <cfvo type="min"/>
        <cfvo type="max"/>
        <color rgb="FF008AEF"/>
      </dataBar>
      <extLst>
        <ext xmlns:x14="http://schemas.microsoft.com/office/spreadsheetml/2009/9/main" uri="{B025F937-C7B1-47D3-B67F-A62EFF666E3E}">
          <x14:id>{2AEA3033-7C19-411F-9B7F-5FC683A115C2}</x14:id>
        </ext>
      </extLst>
    </cfRule>
    <cfRule type="colorScale" priority="156">
      <colorScale>
        <cfvo type="min"/>
        <cfvo type="percentile" val="50"/>
        <cfvo type="max"/>
        <color rgb="FFF8696B"/>
        <color rgb="FFFCFCFF"/>
        <color rgb="FF00B0F0"/>
      </colorScale>
    </cfRule>
  </conditionalFormatting>
  <conditionalFormatting sqref="BW1:BW1048576">
    <cfRule type="colorScale" priority="151">
      <colorScale>
        <cfvo type="min"/>
        <cfvo type="percentile" val="50"/>
        <cfvo type="max"/>
        <color rgb="FFF8696B"/>
        <color rgb="FFFCFCFF"/>
        <color rgb="FF5A8AC6"/>
      </colorScale>
    </cfRule>
  </conditionalFormatting>
  <conditionalFormatting sqref="BY1:BY1048576">
    <cfRule type="colorScale" priority="150">
      <colorScale>
        <cfvo type="min"/>
        <cfvo type="percentile" val="50"/>
        <cfvo type="max"/>
        <color rgb="FFF8696B"/>
        <color rgb="FFFCFCFF"/>
        <color rgb="FF5A8AC6"/>
      </colorScale>
    </cfRule>
  </conditionalFormatting>
  <conditionalFormatting sqref="BK1:BK1048576">
    <cfRule type="iconSet" priority="144">
      <iconSet iconSet="5ArrowsGray">
        <cfvo type="percent" val="0"/>
        <cfvo type="percent" val="20"/>
        <cfvo type="percent" val="40"/>
        <cfvo type="percent" val="60"/>
        <cfvo type="percent" val="80"/>
      </iconSet>
    </cfRule>
    <cfRule type="colorScale" priority="146">
      <colorScale>
        <cfvo type="min"/>
        <cfvo type="percentile" val="50"/>
        <cfvo type="max"/>
        <color theme="0" tint="0.79998168889431442"/>
        <color rgb="FF9BC2E6"/>
        <color rgb="FF2F75B5"/>
      </colorScale>
    </cfRule>
  </conditionalFormatting>
  <conditionalFormatting sqref="BL1:BL1048576">
    <cfRule type="iconSet" priority="143">
      <iconSet iconSet="5ArrowsGray">
        <cfvo type="percent" val="0"/>
        <cfvo type="percent" val="20"/>
        <cfvo type="percent" val="40"/>
        <cfvo type="percent" val="60"/>
        <cfvo type="percent" val="80"/>
      </iconSet>
    </cfRule>
    <cfRule type="colorScale" priority="145">
      <colorScale>
        <cfvo type="min"/>
        <cfvo type="percentile" val="50"/>
        <cfvo type="max"/>
        <color theme="0" tint="0.79998168889431442"/>
        <color rgb="FF9BC2E6"/>
        <color rgb="FF2F75B5"/>
      </colorScale>
    </cfRule>
  </conditionalFormatting>
  <conditionalFormatting sqref="EE1:EE1048576">
    <cfRule type="iconSet" priority="130">
      <iconSet iconSet="5ArrowsGray" reverse="1">
        <cfvo type="percent" val="0"/>
        <cfvo type="percent" val="20"/>
        <cfvo type="percent" val="40"/>
        <cfvo type="percent" val="60"/>
        <cfvo type="percent" val="80"/>
      </iconSet>
    </cfRule>
    <cfRule type="colorScale" priority="134">
      <colorScale>
        <cfvo type="min"/>
        <cfvo type="max"/>
        <color rgb="FFFCFCFF"/>
        <color rgb="FFF8696B"/>
      </colorScale>
    </cfRule>
  </conditionalFormatting>
  <conditionalFormatting sqref="EF1:EF1048576">
    <cfRule type="iconSet" priority="129">
      <iconSet iconSet="5ArrowsGray" reverse="1">
        <cfvo type="percent" val="0"/>
        <cfvo type="percent" val="20"/>
        <cfvo type="percent" val="40"/>
        <cfvo type="percent" val="60"/>
        <cfvo type="percent" val="80"/>
      </iconSet>
    </cfRule>
    <cfRule type="colorScale" priority="133">
      <colorScale>
        <cfvo type="min"/>
        <cfvo type="max"/>
        <color rgb="FFFCFCFF"/>
        <color rgb="FFF8696B"/>
      </colorScale>
    </cfRule>
  </conditionalFormatting>
  <conditionalFormatting sqref="EG1:EG1048576">
    <cfRule type="iconSet" priority="128">
      <iconSet iconSet="5ArrowsGray" reverse="1">
        <cfvo type="percent" val="0"/>
        <cfvo type="percent" val="20"/>
        <cfvo type="percent" val="40"/>
        <cfvo type="percent" val="60"/>
        <cfvo type="percent" val="80"/>
      </iconSet>
    </cfRule>
    <cfRule type="colorScale" priority="132">
      <colorScale>
        <cfvo type="min"/>
        <cfvo type="max"/>
        <color rgb="FFFCFCFF"/>
        <color rgb="FFF8696B"/>
      </colorScale>
    </cfRule>
  </conditionalFormatting>
  <conditionalFormatting sqref="EH1:EH1048576">
    <cfRule type="iconSet" priority="127">
      <iconSet iconSet="5ArrowsGray" reverse="1">
        <cfvo type="percent" val="0"/>
        <cfvo type="percent" val="20"/>
        <cfvo type="percent" val="40"/>
        <cfvo type="percent" val="60"/>
        <cfvo type="percent" val="80"/>
      </iconSet>
    </cfRule>
    <cfRule type="colorScale" priority="131">
      <colorScale>
        <cfvo type="min"/>
        <cfvo type="max"/>
        <color rgb="FFFCFCFF"/>
        <color rgb="FFF8696B"/>
      </colorScale>
    </cfRule>
  </conditionalFormatting>
  <conditionalFormatting sqref="AW1:AW1048576">
    <cfRule type="iconSet" priority="101">
      <iconSet iconSet="5Arrows">
        <cfvo type="percent" val="0"/>
        <cfvo type="percent" val="20"/>
        <cfvo type="percent" val="40"/>
        <cfvo type="percent" val="60"/>
        <cfvo type="percent" val="80"/>
      </iconSet>
    </cfRule>
    <cfRule type="colorScale" priority="120">
      <colorScale>
        <cfvo type="min"/>
        <cfvo type="percentile" val="50"/>
        <cfvo type="max"/>
        <color rgb="FFF8696B"/>
        <color rgb="FFFFEB84"/>
        <color rgb="FF63BE7B"/>
      </colorScale>
    </cfRule>
  </conditionalFormatting>
  <conditionalFormatting sqref="AX1:AX1048576">
    <cfRule type="iconSet" priority="100">
      <iconSet iconSet="5Arrows">
        <cfvo type="percent" val="0"/>
        <cfvo type="percent" val="20"/>
        <cfvo type="percent" val="40"/>
        <cfvo type="percent" val="60"/>
        <cfvo type="percent" val="80"/>
      </iconSet>
    </cfRule>
    <cfRule type="colorScale" priority="119">
      <colorScale>
        <cfvo type="min"/>
        <cfvo type="percentile" val="50"/>
        <cfvo type="max"/>
        <color rgb="FFF8696B"/>
        <color rgb="FFFFEB84"/>
        <color rgb="FF63BE7B"/>
      </colorScale>
    </cfRule>
  </conditionalFormatting>
  <conditionalFormatting sqref="AV1:AV1048576">
    <cfRule type="colorScale" priority="117">
      <colorScale>
        <cfvo type="min"/>
        <cfvo type="max"/>
        <color rgb="FFFFEF9C"/>
        <color rgb="FF63BE7B"/>
      </colorScale>
    </cfRule>
    <cfRule type="colorScale" priority="118">
      <colorScale>
        <cfvo type="min"/>
        <cfvo type="percentile" val="50"/>
        <cfvo type="max"/>
        <color rgb="FFF8696B"/>
        <color rgb="FFFFEB84"/>
        <color rgb="FF63BE7B"/>
      </colorScale>
    </cfRule>
  </conditionalFormatting>
  <conditionalFormatting sqref="BF1:BF1048576">
    <cfRule type="colorScale" priority="110">
      <colorScale>
        <cfvo type="min"/>
        <cfvo type="percentile" val="50"/>
        <cfvo type="max"/>
        <color rgb="FFF8696B"/>
        <color rgb="FFFFEB84"/>
        <color rgb="FF63BE7B"/>
      </colorScale>
    </cfRule>
  </conditionalFormatting>
  <conditionalFormatting sqref="BG1:BG1048576">
    <cfRule type="colorScale" priority="109">
      <colorScale>
        <cfvo type="min"/>
        <cfvo type="percentile" val="50"/>
        <cfvo type="max"/>
        <color rgb="FFF8696B"/>
        <color rgb="FFFFEB84"/>
        <color rgb="FF63BE7B"/>
      </colorScale>
    </cfRule>
  </conditionalFormatting>
  <conditionalFormatting sqref="BH1:BH1048576">
    <cfRule type="colorScale" priority="108">
      <colorScale>
        <cfvo type="min"/>
        <cfvo type="percentile" val="50"/>
        <cfvo type="max"/>
        <color rgb="FFF8696B"/>
        <color rgb="FFFFEB84"/>
        <color rgb="FF63BE7B"/>
      </colorScale>
    </cfRule>
  </conditionalFormatting>
  <conditionalFormatting sqref="BI1:BI1048576">
    <cfRule type="colorScale" priority="107">
      <colorScale>
        <cfvo type="min"/>
        <cfvo type="percentile" val="50"/>
        <cfvo type="max"/>
        <color rgb="FFF8696B"/>
        <color rgb="FFFFEB84"/>
        <color rgb="FF63BE7B"/>
      </colorScale>
    </cfRule>
  </conditionalFormatting>
  <conditionalFormatting sqref="BJ1:BJ1048576">
    <cfRule type="colorScale" priority="106">
      <colorScale>
        <cfvo type="min"/>
        <cfvo type="percentile" val="50"/>
        <cfvo type="max"/>
        <color rgb="FFF8696B"/>
        <color rgb="FFFFEB84"/>
        <color rgb="FF63BE7B"/>
      </colorScale>
    </cfRule>
  </conditionalFormatting>
  <conditionalFormatting sqref="BA1:BA1048576">
    <cfRule type="iconSet" priority="97">
      <iconSet iconSet="5Arrows">
        <cfvo type="percent" val="0"/>
        <cfvo type="percent" val="20"/>
        <cfvo type="percent" val="40"/>
        <cfvo type="percent" val="60"/>
        <cfvo type="percent" val="80"/>
      </iconSet>
    </cfRule>
    <cfRule type="colorScale" priority="105">
      <colorScale>
        <cfvo type="min"/>
        <cfvo type="percentile" val="50"/>
        <cfvo type="max"/>
        <color rgb="FFF8696B"/>
        <color rgb="FFFFEB84"/>
        <color rgb="FF63BE7B"/>
      </colorScale>
    </cfRule>
  </conditionalFormatting>
  <conditionalFormatting sqref="AY1:AY1048576">
    <cfRule type="iconSet" priority="99">
      <iconSet iconSet="5Arrows">
        <cfvo type="percent" val="0"/>
        <cfvo type="percent" val="20"/>
        <cfvo type="percent" val="40"/>
        <cfvo type="percent" val="60"/>
        <cfvo type="percent" val="80"/>
      </iconSet>
    </cfRule>
    <cfRule type="colorScale" priority="104">
      <colorScale>
        <cfvo type="min"/>
        <cfvo type="percentile" val="50"/>
        <cfvo type="max"/>
        <color rgb="FFF8696B"/>
        <color rgb="FFFFEB84"/>
        <color rgb="FF63BE7B"/>
      </colorScale>
    </cfRule>
  </conditionalFormatting>
  <conditionalFormatting sqref="AZ1:AZ1048576">
    <cfRule type="iconSet" priority="98">
      <iconSet iconSet="5Arrows">
        <cfvo type="percent" val="0"/>
        <cfvo type="percent" val="20"/>
        <cfvo type="percent" val="40"/>
        <cfvo type="percent" val="60"/>
        <cfvo type="percent" val="80"/>
      </iconSet>
    </cfRule>
    <cfRule type="colorScale" priority="103">
      <colorScale>
        <cfvo type="min"/>
        <cfvo type="percentile" val="50"/>
        <cfvo type="max"/>
        <color rgb="FFF8696B"/>
        <color rgb="FFFFEB84"/>
        <color rgb="FF63BE7B"/>
      </colorScale>
    </cfRule>
  </conditionalFormatting>
  <conditionalFormatting sqref="J2:J1048576">
    <cfRule type="colorScale" priority="2373696">
      <colorScale>
        <cfvo type="min"/>
        <cfvo type="percentile" val="50"/>
        <cfvo type="max"/>
        <color rgb="FF63BE7B"/>
        <color rgb="FFFFEB84"/>
        <color rgb="FFF8696B"/>
      </colorScale>
    </cfRule>
  </conditionalFormatting>
  <conditionalFormatting sqref="J1">
    <cfRule type="colorScale" priority="2373697">
      <colorScale>
        <cfvo type="min"/>
        <cfvo type="percentile" val="50"/>
        <cfvo type="max"/>
        <color rgb="FFF8696B"/>
        <color rgb="FFFFEB84"/>
        <color rgb="FF63BE7B"/>
      </colorScale>
    </cfRule>
  </conditionalFormatting>
  <conditionalFormatting sqref="J1">
    <cfRule type="colorScale" priority="2373698">
      <colorScale>
        <cfvo type="min"/>
        <cfvo type="percentile" val="50"/>
        <cfvo type="max"/>
        <color rgb="FF63BE7B"/>
        <color rgb="FFFFEB84"/>
        <color rgb="FFF8696B"/>
      </colorScale>
    </cfRule>
  </conditionalFormatting>
  <conditionalFormatting sqref="J1:J1048576">
    <cfRule type="colorScale" priority="2373700">
      <colorScale>
        <cfvo type="min"/>
        <cfvo type="percentile" val="50"/>
        <cfvo type="max"/>
        <color rgb="FF63BE7B"/>
        <color rgb="FFFFEB84"/>
        <color rgb="FFF8696B"/>
      </colorScale>
    </cfRule>
  </conditionalFormatting>
  <conditionalFormatting sqref="J2:J1048576">
    <cfRule type="colorScale" priority="2373703">
      <colorScale>
        <cfvo type="min"/>
        <cfvo type="percentile" val="50"/>
        <cfvo type="max"/>
        <color rgb="FFF8696B"/>
        <color rgb="FFFFEB84"/>
        <color rgb="FF63BE7B"/>
      </colorScale>
    </cfRule>
  </conditionalFormatting>
  <conditionalFormatting sqref="BB1:BB1048576">
    <cfRule type="dataBar" priority="93">
      <dataBar>
        <cfvo type="min"/>
        <cfvo type="max"/>
        <color rgb="FF00759E"/>
      </dataBar>
      <extLst>
        <ext xmlns:x14="http://schemas.microsoft.com/office/spreadsheetml/2009/9/main" uri="{B025F937-C7B1-47D3-B67F-A62EFF666E3E}">
          <x14:id>{9EE375F2-184F-4598-85E9-EEDEF77B01F9}</x14:id>
        </ext>
      </extLst>
    </cfRule>
  </conditionalFormatting>
  <conditionalFormatting sqref="AJ1:AJ1048576">
    <cfRule type="dataBar" priority="91">
      <dataBar>
        <cfvo type="min"/>
        <cfvo type="max"/>
        <color rgb="FF9A0000"/>
      </dataBar>
      <extLst>
        <ext xmlns:x14="http://schemas.microsoft.com/office/spreadsheetml/2009/9/main" uri="{B025F937-C7B1-47D3-B67F-A62EFF666E3E}">
          <x14:id>{E60392A9-025E-4DEB-B8DE-053CB841D837}</x14:id>
        </ext>
      </extLst>
    </cfRule>
  </conditionalFormatting>
  <conditionalFormatting sqref="AK1:AK1048576">
    <cfRule type="dataBar" priority="90">
      <dataBar>
        <cfvo type="min"/>
        <cfvo type="max"/>
        <color rgb="FF9A0000"/>
      </dataBar>
      <extLst>
        <ext xmlns:x14="http://schemas.microsoft.com/office/spreadsheetml/2009/9/main" uri="{B025F937-C7B1-47D3-B67F-A62EFF666E3E}">
          <x14:id>{65CAD4F3-9D45-4E39-BF2E-B11AE48893C5}</x14:id>
        </ext>
      </extLst>
    </cfRule>
  </conditionalFormatting>
  <conditionalFormatting sqref="BE1:BE1048576">
    <cfRule type="dataBar" priority="26">
      <dataBar>
        <cfvo type="min"/>
        <cfvo type="max"/>
        <color rgb="FF638EC6"/>
      </dataBar>
      <extLst>
        <ext xmlns:x14="http://schemas.microsoft.com/office/spreadsheetml/2009/9/main" uri="{B025F937-C7B1-47D3-B67F-A62EFF666E3E}">
          <x14:id>{BBE8573A-A27D-4438-9A8D-897D172F2E24}</x14:id>
        </ext>
      </extLst>
    </cfRule>
    <cfRule type="colorScale" priority="89">
      <colorScale>
        <cfvo type="num" val="-9.9999999999999991E-22"/>
        <cfvo type="num" val="0"/>
        <cfvo type="num" val="1"/>
        <color rgb="FFFBA3A5"/>
        <color theme="4" tint="0.79998168889431442"/>
        <color rgb="FF00B0F0"/>
      </colorScale>
    </cfRule>
  </conditionalFormatting>
  <conditionalFormatting sqref="CG1:CG1048576">
    <cfRule type="colorScale" priority="87">
      <colorScale>
        <cfvo type="min"/>
        <cfvo type="percentile" val="50"/>
        <cfvo type="max"/>
        <color rgb="FFF8696B"/>
        <color theme="4" tint="0.79998168889431442"/>
        <color rgb="FF00B0F0"/>
      </colorScale>
    </cfRule>
  </conditionalFormatting>
  <conditionalFormatting sqref="CH1:CH1048576">
    <cfRule type="colorScale" priority="86">
      <colorScale>
        <cfvo type="min"/>
        <cfvo type="percentile" val="50"/>
        <cfvo type="max"/>
        <color rgb="FFF8696B"/>
        <color theme="4" tint="0.79998168889431442"/>
        <color rgb="FF00B0F0"/>
      </colorScale>
    </cfRule>
  </conditionalFormatting>
  <conditionalFormatting sqref="CI1:CI1048576">
    <cfRule type="colorScale" priority="85">
      <colorScale>
        <cfvo type="min"/>
        <cfvo type="percentile" val="50"/>
        <cfvo type="max"/>
        <color rgb="FFF8696B"/>
        <color theme="4" tint="0.79998168889431442"/>
        <color rgb="FF00B0F0"/>
      </colorScale>
    </cfRule>
  </conditionalFormatting>
  <conditionalFormatting sqref="CJ1:CJ1048576">
    <cfRule type="dataBar" priority="84">
      <dataBar>
        <cfvo type="min"/>
        <cfvo type="max"/>
        <color rgb="FF0D97FF"/>
      </dataBar>
      <extLst>
        <ext xmlns:x14="http://schemas.microsoft.com/office/spreadsheetml/2009/9/main" uri="{B025F937-C7B1-47D3-B67F-A62EFF666E3E}">
          <x14:id>{11D64A83-7A8C-48DE-B5F9-50AE3B3CDC01}</x14:id>
        </ext>
      </extLst>
    </cfRule>
  </conditionalFormatting>
  <conditionalFormatting sqref="CM1:CM1048576">
    <cfRule type="dataBar" priority="83">
      <dataBar>
        <cfvo type="min"/>
        <cfvo type="max"/>
        <color rgb="FFC00000"/>
      </dataBar>
      <extLst>
        <ext xmlns:x14="http://schemas.microsoft.com/office/spreadsheetml/2009/9/main" uri="{B025F937-C7B1-47D3-B67F-A62EFF666E3E}">
          <x14:id>{76B643AD-0B76-4A4D-8183-D87F782085A9}</x14:id>
        </ext>
      </extLst>
    </cfRule>
  </conditionalFormatting>
  <conditionalFormatting sqref="U1:U1048576">
    <cfRule type="dataBar" priority="46">
      <dataBar>
        <cfvo type="min"/>
        <cfvo type="max"/>
        <color rgb="FF638EC6"/>
      </dataBar>
      <extLst>
        <ext xmlns:x14="http://schemas.microsoft.com/office/spreadsheetml/2009/9/main" uri="{B025F937-C7B1-47D3-B67F-A62EFF666E3E}">
          <x14:id>{DE0112C0-4E83-4D87-BDA9-14D607E71F1B}</x14:id>
        </ext>
      </extLst>
    </cfRule>
    <cfRule type="colorScale" priority="47">
      <colorScale>
        <cfvo type="min"/>
        <cfvo type="percentile" val="50"/>
        <cfvo type="max"/>
        <color rgb="FFF8696B"/>
        <color theme="6" tint="0.79998168889431442"/>
        <color rgb="FF00B0F0"/>
      </colorScale>
    </cfRule>
  </conditionalFormatting>
  <conditionalFormatting sqref="V1:V1048576">
    <cfRule type="dataBar" priority="32">
      <dataBar>
        <cfvo type="min"/>
        <cfvo type="max"/>
        <color rgb="FF638EC6"/>
      </dataBar>
      <extLst>
        <ext xmlns:x14="http://schemas.microsoft.com/office/spreadsheetml/2009/9/main" uri="{B025F937-C7B1-47D3-B67F-A62EFF666E3E}">
          <x14:id>{9353CEAC-9A12-4647-9FA7-78248C8082A2}</x14:id>
        </ext>
      </extLst>
    </cfRule>
    <cfRule type="colorScale" priority="45">
      <colorScale>
        <cfvo type="min"/>
        <cfvo type="percentile" val="50"/>
        <cfvo type="max"/>
        <color rgb="FFF8696B"/>
        <color theme="4" tint="0.79998168889431442"/>
        <color rgb="FF00B0F0"/>
      </colorScale>
    </cfRule>
  </conditionalFormatting>
  <conditionalFormatting sqref="W1:W1048576">
    <cfRule type="dataBar" priority="33">
      <dataBar>
        <cfvo type="min"/>
        <cfvo type="max"/>
        <color rgb="FF638EC6"/>
      </dataBar>
      <extLst>
        <ext xmlns:x14="http://schemas.microsoft.com/office/spreadsheetml/2009/9/main" uri="{B025F937-C7B1-47D3-B67F-A62EFF666E3E}">
          <x14:id>{16945FE4-5190-49A6-B654-0E66A0CE42C2}</x14:id>
        </ext>
      </extLst>
    </cfRule>
    <cfRule type="colorScale" priority="44">
      <colorScale>
        <cfvo type="min"/>
        <cfvo type="percentile" val="50"/>
        <cfvo type="max"/>
        <color rgb="FFF8696B"/>
        <color theme="4" tint="0.79998168889431442"/>
        <color rgb="FF00B0F0"/>
      </colorScale>
    </cfRule>
  </conditionalFormatting>
  <conditionalFormatting sqref="X1:X1048576">
    <cfRule type="dataBar" priority="34">
      <dataBar>
        <cfvo type="min"/>
        <cfvo type="max"/>
        <color rgb="FF638EC6"/>
      </dataBar>
      <extLst>
        <ext xmlns:x14="http://schemas.microsoft.com/office/spreadsheetml/2009/9/main" uri="{B025F937-C7B1-47D3-B67F-A62EFF666E3E}">
          <x14:id>{71E70157-23DE-4968-9F85-226722CAC57B}</x14:id>
        </ext>
      </extLst>
    </cfRule>
    <cfRule type="colorScale" priority="43">
      <colorScale>
        <cfvo type="min"/>
        <cfvo type="percentile" val="50"/>
        <cfvo type="max"/>
        <color rgb="FFF8696B"/>
        <color theme="4" tint="0.79998168889431442"/>
        <color rgb="FF00B0F0"/>
      </colorScale>
    </cfRule>
  </conditionalFormatting>
  <conditionalFormatting sqref="Y1:Y1048576">
    <cfRule type="dataBar" priority="35">
      <dataBar>
        <cfvo type="min"/>
        <cfvo type="max"/>
        <color rgb="FF638EC6"/>
      </dataBar>
      <extLst>
        <ext xmlns:x14="http://schemas.microsoft.com/office/spreadsheetml/2009/9/main" uri="{B025F937-C7B1-47D3-B67F-A62EFF666E3E}">
          <x14:id>{46E4D2DA-BFBF-447A-88E9-BACF3064715C}</x14:id>
        </ext>
      </extLst>
    </cfRule>
    <cfRule type="colorScale" priority="42">
      <colorScale>
        <cfvo type="min"/>
        <cfvo type="percentile" val="50"/>
        <cfvo type="max"/>
        <color rgb="FFF8696B"/>
        <color theme="4" tint="0.79998168889431442"/>
        <color rgb="FF00B0F0"/>
      </colorScale>
    </cfRule>
  </conditionalFormatting>
  <conditionalFormatting sqref="Z1:Z1048576">
    <cfRule type="dataBar" priority="36">
      <dataBar>
        <cfvo type="min"/>
        <cfvo type="max"/>
        <color rgb="FF638EC6"/>
      </dataBar>
      <extLst>
        <ext xmlns:x14="http://schemas.microsoft.com/office/spreadsheetml/2009/9/main" uri="{B025F937-C7B1-47D3-B67F-A62EFF666E3E}">
          <x14:id>{6F876B10-56DE-4138-942F-61309957E6C4}</x14:id>
        </ext>
      </extLst>
    </cfRule>
    <cfRule type="colorScale" priority="41">
      <colorScale>
        <cfvo type="min"/>
        <cfvo type="percentile" val="50"/>
        <cfvo type="max"/>
        <color rgb="FFF8696B"/>
        <color theme="4" tint="0.79998168889431442"/>
        <color rgb="FF00B0F0"/>
      </colorScale>
    </cfRule>
  </conditionalFormatting>
  <conditionalFormatting sqref="AA1:AA1048576">
    <cfRule type="dataBar" priority="37">
      <dataBar>
        <cfvo type="min"/>
        <cfvo type="max"/>
        <color rgb="FF638EC6"/>
      </dataBar>
      <extLst>
        <ext xmlns:x14="http://schemas.microsoft.com/office/spreadsheetml/2009/9/main" uri="{B025F937-C7B1-47D3-B67F-A62EFF666E3E}">
          <x14:id>{DEAB641F-52A8-4F62-A2F3-67FA3C0D6D3A}</x14:id>
        </ext>
      </extLst>
    </cfRule>
    <cfRule type="colorScale" priority="40">
      <colorScale>
        <cfvo type="min"/>
        <cfvo type="percentile" val="50"/>
        <cfvo type="max"/>
        <color rgb="FFF8696B"/>
        <color theme="4" tint="0.79998168889431442"/>
        <color rgb="FF00B0F0"/>
      </colorScale>
    </cfRule>
  </conditionalFormatting>
  <conditionalFormatting sqref="AB1:AB1048576">
    <cfRule type="dataBar" priority="38">
      <dataBar>
        <cfvo type="min"/>
        <cfvo type="max"/>
        <color rgb="FF638EC6"/>
      </dataBar>
      <extLst>
        <ext xmlns:x14="http://schemas.microsoft.com/office/spreadsheetml/2009/9/main" uri="{B025F937-C7B1-47D3-B67F-A62EFF666E3E}">
          <x14:id>{9A4E28FF-0F61-493B-955D-336E6F618791}</x14:id>
        </ext>
      </extLst>
    </cfRule>
    <cfRule type="colorScale" priority="39">
      <colorScale>
        <cfvo type="min"/>
        <cfvo type="percentile" val="50"/>
        <cfvo type="max"/>
        <color rgb="FFF8696B"/>
        <color theme="4" tint="0.79998168889431442"/>
        <color rgb="FF00B0F0"/>
      </colorScale>
    </cfRule>
  </conditionalFormatting>
  <conditionalFormatting sqref="BC1:BC1048576">
    <cfRule type="dataBar" priority="30">
      <dataBar>
        <cfvo type="min"/>
        <cfvo type="max"/>
        <color rgb="FF638EC6"/>
      </dataBar>
      <extLst>
        <ext xmlns:x14="http://schemas.microsoft.com/office/spreadsheetml/2009/9/main" uri="{B025F937-C7B1-47D3-B67F-A62EFF666E3E}">
          <x14:id>{FEE01AE2-A858-443F-A379-6101EB8DCC1E}</x14:id>
        </ext>
      </extLst>
    </cfRule>
    <cfRule type="colorScale" priority="31">
      <colorScale>
        <cfvo type="min"/>
        <cfvo type="percentile" val="50"/>
        <cfvo type="max"/>
        <color rgb="FFF8696B"/>
        <color theme="4" tint="0.79998168889431442"/>
        <color rgb="FF00B0F0"/>
      </colorScale>
    </cfRule>
  </conditionalFormatting>
  <conditionalFormatting sqref="BD1:BD1048576">
    <cfRule type="dataBar" priority="27">
      <dataBar>
        <cfvo type="min"/>
        <cfvo type="max"/>
        <color rgb="FF638EC6"/>
      </dataBar>
      <extLst>
        <ext xmlns:x14="http://schemas.microsoft.com/office/spreadsheetml/2009/9/main" uri="{B025F937-C7B1-47D3-B67F-A62EFF666E3E}">
          <x14:id>{E0289788-C46A-4E50-9163-40D3BEA8D4DB}</x14:id>
        </ext>
      </extLst>
    </cfRule>
    <cfRule type="colorScale" priority="28">
      <colorScale>
        <cfvo type="min"/>
        <cfvo type="percentile" val="50"/>
        <cfvo type="max"/>
        <color rgb="FFF8696B"/>
        <color theme="4" tint="0.79998168889431442"/>
        <color rgb="FF00B0F0"/>
      </colorScale>
    </cfRule>
  </conditionalFormatting>
  <conditionalFormatting sqref="AI1:AI1048576">
    <cfRule type="colorScale" priority="25">
      <colorScale>
        <cfvo type="min"/>
        <cfvo type="percentile" val="50"/>
        <cfvo type="max"/>
        <color rgb="FFF8696B"/>
        <color rgb="FFFFEB84"/>
        <color rgb="FF63BE7B"/>
      </colorScale>
    </cfRule>
  </conditionalFormatting>
  <conditionalFormatting sqref="AF1:AF1048576">
    <cfRule type="dataBar" priority="24">
      <dataBar>
        <cfvo type="min"/>
        <cfvo type="max"/>
        <color rgb="FFAD1457"/>
      </dataBar>
      <extLst>
        <ext xmlns:x14="http://schemas.microsoft.com/office/spreadsheetml/2009/9/main" uri="{B025F937-C7B1-47D3-B67F-A62EFF666E3E}">
          <x14:id>{B2440787-A19F-4AA3-B979-734448C1C96B}</x14:id>
        </ext>
      </extLst>
    </cfRule>
  </conditionalFormatting>
  <conditionalFormatting sqref="AG1:AG1048576">
    <cfRule type="dataBar" priority="23">
      <dataBar>
        <cfvo type="min"/>
        <cfvo type="max"/>
        <color rgb="FFAD1457"/>
      </dataBar>
      <extLst>
        <ext xmlns:x14="http://schemas.microsoft.com/office/spreadsheetml/2009/9/main" uri="{B025F937-C7B1-47D3-B67F-A62EFF666E3E}">
          <x14:id>{40A97135-17D7-4076-9218-36D4232AE887}</x14:id>
        </ext>
      </extLst>
    </cfRule>
  </conditionalFormatting>
  <conditionalFormatting sqref="CK1:CK1048576">
    <cfRule type="dataBar" priority="22">
      <dataBar>
        <cfvo type="min"/>
        <cfvo type="max"/>
        <color rgb="FF9A0000"/>
      </dataBar>
      <extLst>
        <ext xmlns:x14="http://schemas.microsoft.com/office/spreadsheetml/2009/9/main" uri="{B025F937-C7B1-47D3-B67F-A62EFF666E3E}">
          <x14:id>{55CAA2A7-37E2-4C25-BB1B-736891C429B7}</x14:id>
        </ext>
      </extLst>
    </cfRule>
  </conditionalFormatting>
  <conditionalFormatting sqref="CL1:CL1048576">
    <cfRule type="dataBar" priority="21">
      <dataBar>
        <cfvo type="min"/>
        <cfvo type="max"/>
        <color rgb="FFC00000"/>
      </dataBar>
      <extLst>
        <ext xmlns:x14="http://schemas.microsoft.com/office/spreadsheetml/2009/9/main" uri="{B025F937-C7B1-47D3-B67F-A62EFF666E3E}">
          <x14:id>{85E881C4-4478-475E-9BC6-D1CCB61F43BE}</x14:id>
        </ext>
      </extLst>
    </cfRule>
  </conditionalFormatting>
  <conditionalFormatting sqref="CF1:CF1048576">
    <cfRule type="colorScale" priority="20">
      <colorScale>
        <cfvo type="min"/>
        <cfvo type="max"/>
        <color rgb="FFFFEF9C"/>
        <color rgb="FF63BE7B"/>
      </colorScale>
    </cfRule>
  </conditionalFormatting>
  <conditionalFormatting sqref="DD1:DD1048576">
    <cfRule type="iconSet" priority="15">
      <iconSet iconSet="5Arrows">
        <cfvo type="percent" val="0"/>
        <cfvo type="percent" val="20"/>
        <cfvo type="percent" val="40"/>
        <cfvo type="percent" val="60"/>
        <cfvo type="percent" val="80"/>
      </iconSet>
    </cfRule>
    <cfRule type="dataBar" priority="19">
      <dataBar>
        <cfvo type="min"/>
        <cfvo type="max"/>
        <color rgb="FF348850"/>
      </dataBar>
      <extLst>
        <ext xmlns:x14="http://schemas.microsoft.com/office/spreadsheetml/2009/9/main" uri="{B025F937-C7B1-47D3-B67F-A62EFF666E3E}">
          <x14:id>{C10A5743-2E0A-4009-BE31-B6B900340B7E}</x14:id>
        </ext>
      </extLst>
    </cfRule>
  </conditionalFormatting>
  <conditionalFormatting sqref="DE1:DE1048576">
    <cfRule type="iconSet" priority="14">
      <iconSet iconSet="5Arrows">
        <cfvo type="percent" val="0"/>
        <cfvo type="percent" val="20"/>
        <cfvo type="percent" val="40"/>
        <cfvo type="percent" val="60"/>
        <cfvo type="percent" val="80"/>
      </iconSet>
    </cfRule>
    <cfRule type="dataBar" priority="18">
      <dataBar>
        <cfvo type="min"/>
        <cfvo type="max"/>
        <color rgb="FF348850"/>
      </dataBar>
      <extLst>
        <ext xmlns:x14="http://schemas.microsoft.com/office/spreadsheetml/2009/9/main" uri="{B025F937-C7B1-47D3-B67F-A62EFF666E3E}">
          <x14:id>{B07B3CE0-05B8-4799-8E6C-EB6682F3ABA9}</x14:id>
        </ext>
      </extLst>
    </cfRule>
  </conditionalFormatting>
  <conditionalFormatting sqref="DF1:DF1048576">
    <cfRule type="iconSet" priority="13">
      <iconSet iconSet="5Arrows">
        <cfvo type="percent" val="0"/>
        <cfvo type="percent" val="20"/>
        <cfvo type="percent" val="40"/>
        <cfvo type="percent" val="60"/>
        <cfvo type="percent" val="80"/>
      </iconSet>
    </cfRule>
    <cfRule type="dataBar" priority="17">
      <dataBar>
        <cfvo type="min"/>
        <cfvo type="max"/>
        <color rgb="FF348850"/>
      </dataBar>
      <extLst>
        <ext xmlns:x14="http://schemas.microsoft.com/office/spreadsheetml/2009/9/main" uri="{B025F937-C7B1-47D3-B67F-A62EFF666E3E}">
          <x14:id>{25A53874-37AE-488A-8ED9-403B2C051EBE}</x14:id>
        </ext>
      </extLst>
    </cfRule>
  </conditionalFormatting>
  <conditionalFormatting sqref="DG1:DG1048576">
    <cfRule type="iconSet" priority="12">
      <iconSet iconSet="5Arrows">
        <cfvo type="percent" val="0"/>
        <cfvo type="percent" val="20"/>
        <cfvo type="percent" val="40"/>
        <cfvo type="percent" val="60"/>
        <cfvo type="percent" val="80"/>
      </iconSet>
    </cfRule>
    <cfRule type="dataBar" priority="16">
      <dataBar>
        <cfvo type="min"/>
        <cfvo type="max"/>
        <color rgb="FF348850"/>
      </dataBar>
      <extLst>
        <ext xmlns:x14="http://schemas.microsoft.com/office/spreadsheetml/2009/9/main" uri="{B025F937-C7B1-47D3-B67F-A62EFF666E3E}">
          <x14:id>{A06B09DE-A970-41E9-B415-50B9F0810608}</x14:id>
        </ext>
      </extLst>
    </cfRule>
  </conditionalFormatting>
  <conditionalFormatting sqref="CW1:CW1048576">
    <cfRule type="dataBar" priority="10">
      <dataBar>
        <cfvo type="min"/>
        <cfvo type="max"/>
        <color rgb="FFC00000"/>
      </dataBar>
      <extLst>
        <ext xmlns:x14="http://schemas.microsoft.com/office/spreadsheetml/2009/9/main" uri="{B025F937-C7B1-47D3-B67F-A62EFF666E3E}">
          <x14:id>{E44431E3-D18B-4E36-A364-EF37500FBB5D}</x14:id>
        </ext>
      </extLst>
    </cfRule>
  </conditionalFormatting>
  <conditionalFormatting sqref="CX1:CX1048576">
    <cfRule type="dataBar" priority="9">
      <dataBar>
        <cfvo type="min"/>
        <cfvo type="max"/>
        <color rgb="FFC00000"/>
      </dataBar>
      <extLst>
        <ext xmlns:x14="http://schemas.microsoft.com/office/spreadsheetml/2009/9/main" uri="{B025F937-C7B1-47D3-B67F-A62EFF666E3E}">
          <x14:id>{F90AC8D8-D126-4802-9624-F92DBECEEB66}</x14:id>
        </ext>
      </extLst>
    </cfRule>
  </conditionalFormatting>
  <conditionalFormatting sqref="DI1:DI1048576">
    <cfRule type="dataBar" priority="8">
      <dataBar>
        <cfvo type="min"/>
        <cfvo type="max"/>
        <color rgb="FFC00000"/>
      </dataBar>
      <extLst>
        <ext xmlns:x14="http://schemas.microsoft.com/office/spreadsheetml/2009/9/main" uri="{B025F937-C7B1-47D3-B67F-A62EFF666E3E}">
          <x14:id>{60E80C8A-1A3E-443B-A317-C291CA2673F4}</x14:id>
        </ext>
      </extLst>
    </cfRule>
  </conditionalFormatting>
  <conditionalFormatting sqref="DJ1:DJ1048576">
    <cfRule type="dataBar" priority="7">
      <dataBar>
        <cfvo type="min"/>
        <cfvo type="max"/>
        <color rgb="FFC00000"/>
      </dataBar>
      <extLst>
        <ext xmlns:x14="http://schemas.microsoft.com/office/spreadsheetml/2009/9/main" uri="{B025F937-C7B1-47D3-B67F-A62EFF666E3E}">
          <x14:id>{BA09BF65-D912-4A4D-91D1-685097F77626}</x14:id>
        </ext>
      </extLst>
    </cfRule>
  </conditionalFormatting>
  <conditionalFormatting sqref="DK1:DK1048576">
    <cfRule type="dataBar" priority="6">
      <dataBar>
        <cfvo type="min"/>
        <cfvo type="max"/>
        <color rgb="FFC00000"/>
      </dataBar>
      <extLst>
        <ext xmlns:x14="http://schemas.microsoft.com/office/spreadsheetml/2009/9/main" uri="{B025F937-C7B1-47D3-B67F-A62EFF666E3E}">
          <x14:id>{E577CF6C-A4E9-4818-8E78-344723BB2542}</x14:id>
        </ext>
      </extLst>
    </cfRule>
  </conditionalFormatting>
  <conditionalFormatting sqref="P1:P1048576">
    <cfRule type="dataBar" priority="5">
      <dataBar>
        <cfvo type="min"/>
        <cfvo type="max"/>
        <color rgb="FF008AEF"/>
      </dataBar>
      <extLst>
        <ext xmlns:x14="http://schemas.microsoft.com/office/spreadsheetml/2009/9/main" uri="{B025F937-C7B1-47D3-B67F-A62EFF666E3E}">
          <x14:id>{957769D0-7A5E-439A-A734-0E820BAD8E57}</x14:id>
        </ext>
      </extLst>
    </cfRule>
  </conditionalFormatting>
  <conditionalFormatting sqref="Q1:Q1048576">
    <cfRule type="dataBar" priority="4">
      <dataBar>
        <cfvo type="min"/>
        <cfvo type="max"/>
        <color rgb="FF008AEF"/>
      </dataBar>
      <extLst>
        <ext xmlns:x14="http://schemas.microsoft.com/office/spreadsheetml/2009/9/main" uri="{B025F937-C7B1-47D3-B67F-A62EFF666E3E}">
          <x14:id>{72FBAB08-F0C6-4109-8E37-EB8582E342D9}</x14:id>
        </ext>
      </extLst>
    </cfRule>
  </conditionalFormatting>
  <conditionalFormatting sqref="R1:R1048576">
    <cfRule type="dataBar" priority="3">
      <dataBar>
        <cfvo type="min"/>
        <cfvo type="max"/>
        <color rgb="FF008AEF"/>
      </dataBar>
      <extLst>
        <ext xmlns:x14="http://schemas.microsoft.com/office/spreadsheetml/2009/9/main" uri="{B025F937-C7B1-47D3-B67F-A62EFF666E3E}">
          <x14:id>{D7CD39DC-06EF-4E5B-8586-C09FFA34C2BD}</x14:id>
        </ext>
      </extLst>
    </cfRule>
  </conditionalFormatting>
  <conditionalFormatting sqref="S1:S1048576">
    <cfRule type="dataBar" priority="2">
      <dataBar>
        <cfvo type="min"/>
        <cfvo type="max"/>
        <color rgb="FF008AEF"/>
      </dataBar>
      <extLst>
        <ext xmlns:x14="http://schemas.microsoft.com/office/spreadsheetml/2009/9/main" uri="{B025F937-C7B1-47D3-B67F-A62EFF666E3E}">
          <x14:id>{9588CD7C-98DC-4C98-92F3-70B428E27AEA}</x14:id>
        </ext>
      </extLst>
    </cfRule>
  </conditionalFormatting>
  <conditionalFormatting sqref="T1:T1048576">
    <cfRule type="dataBar" priority="1">
      <dataBar>
        <cfvo type="min"/>
        <cfvo type="max"/>
        <color rgb="FF008AEF"/>
      </dataBar>
      <extLst>
        <ext xmlns:x14="http://schemas.microsoft.com/office/spreadsheetml/2009/9/main" uri="{B025F937-C7B1-47D3-B67F-A62EFF666E3E}">
          <x14:id>{DC2B1D89-BBA2-4DF3-AC0A-F0AC7CA0809A}</x14:id>
        </ext>
      </extLst>
    </cfRule>
  </conditionalFormatting>
  <conditionalFormatting sqref="EW12:EW1048576">
    <cfRule type="colorScale" priority="2832739">
      <colorScale>
        <cfvo type="min"/>
        <cfvo type="percentile" val="50"/>
        <cfvo type="max"/>
        <color rgb="FF63BE7B"/>
        <color rgb="FFFFEB84"/>
        <color rgb="FFF8696B"/>
      </colorScale>
    </cfRule>
  </conditionalFormatting>
  <conditionalFormatting sqref="CV12:CV1048576 CS1:CT11">
    <cfRule type="colorScale" priority="2832741">
      <colorScale>
        <cfvo type="min"/>
        <cfvo type="percentile" val="50"/>
        <cfvo type="max"/>
        <color rgb="FFF8696B"/>
        <color rgb="FFFFEB84"/>
        <color rgb="FF63BE7B"/>
      </colorScale>
    </cfRule>
  </conditionalFormatting>
  <conditionalFormatting sqref="BM12:BN1048576">
    <cfRule type="colorScale" priority="2832744">
      <colorScale>
        <cfvo type="min"/>
        <cfvo type="percentile" val="50"/>
        <cfvo type="max"/>
        <color rgb="FFF8696B"/>
        <color rgb="FFFFEB84"/>
        <color rgb="FF63BE7B"/>
      </colorScale>
    </cfRule>
  </conditionalFormatting>
  <conditionalFormatting sqref="BO12:BU1048576 BM1:BU11">
    <cfRule type="colorScale" priority="2832746">
      <colorScale>
        <cfvo type="min"/>
        <cfvo type="percentile" val="50"/>
        <cfvo type="max"/>
        <color rgb="FFF8696B"/>
        <color rgb="FFFFEB84"/>
        <color rgb="FF63BE7B"/>
      </colorScale>
    </cfRule>
  </conditionalFormatting>
  <conditionalFormatting sqref="BO12:BR1048576 BM1:BR11">
    <cfRule type="colorScale" priority="2832749">
      <colorScale>
        <cfvo type="min"/>
        <cfvo type="percentile" val="50"/>
        <cfvo type="max"/>
        <color rgb="FFF8696B"/>
        <color rgb="FFFFEB84"/>
        <color rgb="FF63BE7B"/>
      </colorScale>
    </cfRule>
  </conditionalFormatting>
  <conditionalFormatting sqref="BS2:BU11">
    <cfRule type="colorScale" priority="2832752">
      <colorScale>
        <cfvo type="min"/>
        <cfvo type="percentile" val="50"/>
        <cfvo type="max"/>
        <color rgb="FFF8696B"/>
        <color rgb="FFFFEB84"/>
        <color rgb="FF63BE7B"/>
      </colorScale>
    </cfRule>
  </conditionalFormatting>
  <conditionalFormatting sqref="BT2:BT11">
    <cfRule type="colorScale" priority="2832753">
      <colorScale>
        <cfvo type="min"/>
        <cfvo type="percentile" val="50"/>
        <cfvo type="max"/>
        <color rgb="FFF8696B"/>
        <color rgb="FFFFEB84"/>
        <color rgb="FF63BE7B"/>
      </colorScale>
    </cfRule>
  </conditionalFormatting>
  <conditionalFormatting sqref="BT2:BT11">
    <cfRule type="colorScale" priority="2832754">
      <colorScale>
        <cfvo type="min"/>
        <cfvo type="percentile" val="50"/>
        <cfvo type="max"/>
        <color rgb="FFF8696B"/>
        <color rgb="FFFFEB84"/>
        <color rgb="FF63BE7B"/>
      </colorScale>
    </cfRule>
    <cfRule type="colorScale" priority="2832755">
      <colorScale>
        <cfvo type="min"/>
        <cfvo type="max"/>
        <color rgb="FF63BE7B"/>
        <color rgb="FFFCFCFF"/>
      </colorScale>
    </cfRule>
  </conditionalFormatting>
  <conditionalFormatting sqref="BU2:BU11">
    <cfRule type="colorScale" priority="2832756">
      <colorScale>
        <cfvo type="min"/>
        <cfvo type="percentile" val="50"/>
        <cfvo type="max"/>
        <color rgb="FFF8696B"/>
        <color rgb="FFFFEB84"/>
        <color rgb="FF63BE7B"/>
      </colorScale>
    </cfRule>
  </conditionalFormatting>
  <conditionalFormatting sqref="BU2:BU11">
    <cfRule type="colorScale" priority="2832757">
      <colorScale>
        <cfvo type="min"/>
        <cfvo type="percentile" val="50"/>
        <cfvo type="max"/>
        <color rgb="FFF8696B"/>
        <color rgb="FFFFEB84"/>
        <color rgb="FF63BE7B"/>
      </colorScale>
    </cfRule>
    <cfRule type="colorScale" priority="2832758">
      <colorScale>
        <cfvo type="min"/>
        <cfvo type="max"/>
        <color rgb="FF63BE7B"/>
        <color rgb="FFFCFCFF"/>
      </colorScale>
    </cfRule>
  </conditionalFormatting>
  <conditionalFormatting sqref="DR2:DR11">
    <cfRule type="colorScale" priority="2832759">
      <colorScale>
        <cfvo type="min"/>
        <cfvo type="percentile" val="50"/>
        <cfvo type="max"/>
        <color rgb="FFF8696B"/>
        <color rgb="FFFFEB84"/>
        <color rgb="FF63BE7B"/>
      </colorScale>
    </cfRule>
  </conditionalFormatting>
  <conditionalFormatting sqref="DR2:DR11">
    <cfRule type="colorScale" priority="2832760">
      <colorScale>
        <cfvo type="min"/>
        <cfvo type="percentile" val="50"/>
        <cfvo type="max"/>
        <color rgb="FF63BE7B"/>
        <color rgb="FFFFEB84"/>
        <color rgb="FFF8696B"/>
      </colorScale>
    </cfRule>
  </conditionalFormatting>
  <conditionalFormatting sqref="BQ1:BQ11">
    <cfRule type="colorScale" priority="2832761">
      <colorScale>
        <cfvo type="min"/>
        <cfvo type="percentile" val="50"/>
        <cfvo type="max"/>
        <color rgb="FFF8696B"/>
        <color rgb="FFFFEB84"/>
        <color rgb="FF63BE7B"/>
      </colorScale>
    </cfRule>
  </conditionalFormatting>
  <conditionalFormatting sqref="EI2:EI11">
    <cfRule type="colorScale" priority="2832762">
      <colorScale>
        <cfvo type="min"/>
        <cfvo type="percentile" val="50"/>
        <cfvo type="max"/>
        <color rgb="FFF8696B"/>
        <color rgb="FFFFEB84"/>
        <color rgb="FF63BE7B"/>
      </colorScale>
    </cfRule>
  </conditionalFormatting>
  <conditionalFormatting sqref="EI2:EI11">
    <cfRule type="colorScale" priority="2832763">
      <colorScale>
        <cfvo type="min"/>
        <cfvo type="percentile" val="50"/>
        <cfvo type="max"/>
        <color rgb="FF63BE7B"/>
        <color rgb="FFFFEB84"/>
        <color rgb="FFF8696B"/>
      </colorScale>
    </cfRule>
  </conditionalFormatting>
  <conditionalFormatting sqref="AR2:AR11">
    <cfRule type="colorScale" priority="2832764">
      <colorScale>
        <cfvo type="min"/>
        <cfvo type="percentile" val="50"/>
        <cfvo type="max"/>
        <color rgb="FFF8696B"/>
        <color rgb="FFFFEB84"/>
        <color rgb="FF63BE7B"/>
      </colorScale>
    </cfRule>
    <cfRule type="colorScale" priority="2832765">
      <colorScale>
        <cfvo type="min"/>
        <cfvo type="max"/>
        <color rgb="FFFCFCFF"/>
        <color rgb="FFF8696B"/>
      </colorScale>
    </cfRule>
  </conditionalFormatting>
  <conditionalFormatting sqref="AQ2:AQ11">
    <cfRule type="colorScale" priority="2832766">
      <colorScale>
        <cfvo type="min"/>
        <cfvo type="percentile" val="50"/>
        <cfvo type="max"/>
        <color rgb="FFF8696B"/>
        <color rgb="FFFFEB84"/>
        <color rgb="FF63BE7B"/>
      </colorScale>
    </cfRule>
    <cfRule type="colorScale" priority="2832767">
      <colorScale>
        <cfvo type="min"/>
        <cfvo type="max"/>
        <color rgb="FFFCFCFF"/>
        <color rgb="FFF8696B"/>
      </colorScale>
    </cfRule>
  </conditionalFormatting>
  <conditionalFormatting sqref="DR1:DR11">
    <cfRule type="colorScale" priority="2832768">
      <colorScale>
        <cfvo type="min"/>
        <cfvo type="percentile" val="50"/>
        <cfvo type="max"/>
        <color rgb="FFF8696B"/>
        <color rgb="FFFFEB84"/>
        <color rgb="FF63BE7B"/>
      </colorScale>
    </cfRule>
  </conditionalFormatting>
  <conditionalFormatting sqref="DZ1:DZ11">
    <cfRule type="colorScale" priority="2832769">
      <colorScale>
        <cfvo type="min"/>
        <cfvo type="percentile" val="50"/>
        <cfvo type="max"/>
        <color rgb="FFF8696B"/>
        <color rgb="FFFFEB84"/>
        <color rgb="FF63BE7B"/>
      </colorScale>
    </cfRule>
  </conditionalFormatting>
  <conditionalFormatting sqref="DZ2:DZ11">
    <cfRule type="colorScale" priority="2832770">
      <colorScale>
        <cfvo type="min"/>
        <cfvo type="percentile" val="50"/>
        <cfvo type="max"/>
        <color rgb="FFF8696B"/>
        <color rgb="FFFFEB84"/>
        <color rgb="FF63BE7B"/>
      </colorScale>
    </cfRule>
  </conditionalFormatting>
  <conditionalFormatting sqref="DZ2:DZ11">
    <cfRule type="colorScale" priority="2832771">
      <colorScale>
        <cfvo type="min"/>
        <cfvo type="percentile" val="50"/>
        <cfvo type="max"/>
        <color rgb="FF63BE7B"/>
        <color rgb="FFFFEB84"/>
        <color rgb="FFF8696B"/>
      </colorScale>
    </cfRule>
  </conditionalFormatting>
  <conditionalFormatting sqref="J2:J11">
    <cfRule type="colorScale" priority="2832772">
      <colorScale>
        <cfvo type="min"/>
        <cfvo type="percentile" val="50"/>
        <cfvo type="max"/>
        <color rgb="FFF8696B"/>
        <color rgb="FFFFEB84"/>
        <color rgb="FF63BE7B"/>
      </colorScale>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6A451C48-7E1E-4E6A-816D-B3356C1124D0}">
            <x14:dataBar minLength="0" maxLength="100" border="1" negativeBarBorderColorSameAsPositive="0">
              <x14:cfvo type="autoMin"/>
              <x14:cfvo type="autoMax"/>
              <x14:borderColor rgb="FF638EC6"/>
              <x14:negativeFillColor rgb="FFFF0000"/>
              <x14:negativeBorderColor rgb="FFFF0000"/>
              <x14:axisColor rgb="FF000000"/>
            </x14:dataBar>
          </x14:cfRule>
          <xm:sqref>O1:O1048576</xm:sqref>
        </x14:conditionalFormatting>
        <x14:conditionalFormatting xmlns:xm="http://schemas.microsoft.com/office/excel/2006/main">
          <x14:cfRule type="dataBar" id="{2AEA3033-7C19-411F-9B7F-5FC683A115C2}">
            <x14:dataBar minLength="0" maxLength="100" border="1" negativeBarBorderColorSameAsPositive="0">
              <x14:cfvo type="autoMin"/>
              <x14:cfvo type="autoMax"/>
              <x14:borderColor rgb="FF008AEF"/>
              <x14:negativeFillColor rgb="FFFF0000"/>
              <x14:negativeBorderColor rgb="FFFF0000"/>
              <x14:axisColor rgb="FF000000"/>
            </x14:dataBar>
          </x14:cfRule>
          <xm:sqref>CP1:CP1048576</xm:sqref>
        </x14:conditionalFormatting>
        <x14:conditionalFormatting xmlns:xm="http://schemas.microsoft.com/office/excel/2006/main">
          <x14:cfRule type="dataBar" id="{9EE375F2-184F-4598-85E9-EEDEF77B01F9}">
            <x14:dataBar minLength="0" maxLength="100" gradient="0">
              <x14:cfvo type="autoMin"/>
              <x14:cfvo type="autoMax"/>
              <x14:negativeFillColor rgb="FFFF0000"/>
              <x14:axisColor rgb="FF000000"/>
            </x14:dataBar>
          </x14:cfRule>
          <xm:sqref>BB1:BB1048576</xm:sqref>
        </x14:conditionalFormatting>
        <x14:conditionalFormatting xmlns:xm="http://schemas.microsoft.com/office/excel/2006/main">
          <x14:cfRule type="dataBar" id="{E60392A9-025E-4DEB-B8DE-053CB841D837}">
            <x14:dataBar minLength="0" maxLength="100" gradient="0">
              <x14:cfvo type="autoMin"/>
              <x14:cfvo type="autoMax"/>
              <x14:negativeFillColor rgb="FFFF0000"/>
              <x14:axisColor rgb="FF000000"/>
            </x14:dataBar>
          </x14:cfRule>
          <xm:sqref>AJ1:AJ1048576</xm:sqref>
        </x14:conditionalFormatting>
        <x14:conditionalFormatting xmlns:xm="http://schemas.microsoft.com/office/excel/2006/main">
          <x14:cfRule type="dataBar" id="{65CAD4F3-9D45-4E39-BF2E-B11AE48893C5}">
            <x14:dataBar minLength="0" maxLength="100" gradient="0">
              <x14:cfvo type="autoMin"/>
              <x14:cfvo type="autoMax"/>
              <x14:negativeFillColor rgb="FFFF0000"/>
              <x14:axisColor rgb="FF000000"/>
            </x14:dataBar>
          </x14:cfRule>
          <xm:sqref>AK1:AK1048576</xm:sqref>
        </x14:conditionalFormatting>
        <x14:conditionalFormatting xmlns:xm="http://schemas.microsoft.com/office/excel/2006/main">
          <x14:cfRule type="dataBar" id="{BBE8573A-A27D-4438-9A8D-897D172F2E24}">
            <x14:dataBar minLength="0" maxLength="100" border="1" negativeBarBorderColorSameAsPositive="0">
              <x14:cfvo type="autoMin"/>
              <x14:cfvo type="autoMax"/>
              <x14:borderColor rgb="FF638EC6"/>
              <x14:negativeFillColor rgb="FFFF0000"/>
              <x14:negativeBorderColor rgb="FFFF0000"/>
              <x14:axisColor rgb="FF000000"/>
            </x14:dataBar>
          </x14:cfRule>
          <xm:sqref>BE1:BE1048576</xm:sqref>
        </x14:conditionalFormatting>
        <x14:conditionalFormatting xmlns:xm="http://schemas.microsoft.com/office/excel/2006/main">
          <x14:cfRule type="dataBar" id="{11D64A83-7A8C-48DE-B5F9-50AE3B3CDC01}">
            <x14:dataBar minLength="0" maxLength="100" gradient="0">
              <x14:cfvo type="autoMin"/>
              <x14:cfvo type="autoMax"/>
              <x14:negativeFillColor rgb="FFFF0000"/>
              <x14:axisColor rgb="FF000000"/>
            </x14:dataBar>
          </x14:cfRule>
          <xm:sqref>CJ1:CJ1048576</xm:sqref>
        </x14:conditionalFormatting>
        <x14:conditionalFormatting xmlns:xm="http://schemas.microsoft.com/office/excel/2006/main">
          <x14:cfRule type="dataBar" id="{76B643AD-0B76-4A4D-8183-D87F782085A9}">
            <x14:dataBar minLength="0" maxLength="100" gradient="0">
              <x14:cfvo type="autoMin"/>
              <x14:cfvo type="autoMax"/>
              <x14:negativeFillColor rgb="FFFF0000"/>
              <x14:axisColor rgb="FF000000"/>
            </x14:dataBar>
          </x14:cfRule>
          <xm:sqref>CM1:CM1048576</xm:sqref>
        </x14:conditionalFormatting>
        <x14:conditionalFormatting xmlns:xm="http://schemas.microsoft.com/office/excel/2006/main">
          <x14:cfRule type="dataBar" id="{DE0112C0-4E83-4D87-BDA9-14D607E71F1B}">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9353CEAC-9A12-4647-9FA7-78248C8082A2}">
            <x14:dataBar minLength="0" maxLength="100" border="1" negativeBarBorderColorSameAsPositive="0">
              <x14:cfvo type="autoMin"/>
              <x14:cfvo type="autoMax"/>
              <x14:borderColor rgb="FF638EC6"/>
              <x14:negativeFillColor rgb="FFFF0000"/>
              <x14:negativeBorderColor rgb="FFFF0000"/>
              <x14:axisColor rgb="FF000000"/>
            </x14:dataBar>
          </x14:cfRule>
          <xm:sqref>V1:V1048576</xm:sqref>
        </x14:conditionalFormatting>
        <x14:conditionalFormatting xmlns:xm="http://schemas.microsoft.com/office/excel/2006/main">
          <x14:cfRule type="dataBar" id="{16945FE4-5190-49A6-B654-0E66A0CE42C2}">
            <x14:dataBar minLength="0" maxLength="100" border="1" negativeBarBorderColorSameAsPositive="0">
              <x14:cfvo type="autoMin"/>
              <x14:cfvo type="autoMax"/>
              <x14:borderColor rgb="FF638EC6"/>
              <x14:negativeFillColor rgb="FFFF0000"/>
              <x14:negativeBorderColor rgb="FFFF0000"/>
              <x14:axisColor rgb="FF000000"/>
            </x14:dataBar>
          </x14:cfRule>
          <xm:sqref>W1:W1048576</xm:sqref>
        </x14:conditionalFormatting>
        <x14:conditionalFormatting xmlns:xm="http://schemas.microsoft.com/office/excel/2006/main">
          <x14:cfRule type="dataBar" id="{71E70157-23DE-4968-9F85-226722CAC57B}">
            <x14:dataBar minLength="0" maxLength="100" border="1" negativeBarBorderColorSameAsPositive="0">
              <x14:cfvo type="autoMin"/>
              <x14:cfvo type="autoMax"/>
              <x14:borderColor rgb="FF638EC6"/>
              <x14:negativeFillColor rgb="FFFF0000"/>
              <x14:negativeBorderColor rgb="FFFF0000"/>
              <x14:axisColor rgb="FF000000"/>
            </x14:dataBar>
          </x14:cfRule>
          <xm:sqref>X1:X1048576</xm:sqref>
        </x14:conditionalFormatting>
        <x14:conditionalFormatting xmlns:xm="http://schemas.microsoft.com/office/excel/2006/main">
          <x14:cfRule type="dataBar" id="{46E4D2DA-BFBF-447A-88E9-BACF3064715C}">
            <x14:dataBar minLength="0" maxLength="100" border="1" negativeBarBorderColorSameAsPositive="0">
              <x14:cfvo type="autoMin"/>
              <x14:cfvo type="autoMax"/>
              <x14:borderColor rgb="FF638EC6"/>
              <x14:negativeFillColor rgb="FFFF0000"/>
              <x14:negativeBorderColor rgb="FFFF0000"/>
              <x14:axisColor rgb="FF000000"/>
            </x14:dataBar>
          </x14:cfRule>
          <xm:sqref>Y1:Y1048576</xm:sqref>
        </x14:conditionalFormatting>
        <x14:conditionalFormatting xmlns:xm="http://schemas.microsoft.com/office/excel/2006/main">
          <x14:cfRule type="dataBar" id="{6F876B10-56DE-4138-942F-61309957E6C4}">
            <x14:dataBar minLength="0" maxLength="100" border="1" negativeBarBorderColorSameAsPositive="0">
              <x14:cfvo type="autoMin"/>
              <x14:cfvo type="autoMax"/>
              <x14:borderColor rgb="FF638EC6"/>
              <x14:negativeFillColor rgb="FFFF0000"/>
              <x14:negativeBorderColor rgb="FFFF0000"/>
              <x14:axisColor rgb="FF000000"/>
            </x14:dataBar>
          </x14:cfRule>
          <xm:sqref>Z1:Z1048576</xm:sqref>
        </x14:conditionalFormatting>
        <x14:conditionalFormatting xmlns:xm="http://schemas.microsoft.com/office/excel/2006/main">
          <x14:cfRule type="dataBar" id="{DEAB641F-52A8-4F62-A2F3-67FA3C0D6D3A}">
            <x14:dataBar minLength="0" maxLength="100" border="1" negativeBarBorderColorSameAsPositive="0">
              <x14:cfvo type="autoMin"/>
              <x14:cfvo type="autoMax"/>
              <x14:borderColor rgb="FF638EC6"/>
              <x14:negativeFillColor rgb="FFFF0000"/>
              <x14:negativeBorderColor rgb="FFFF0000"/>
              <x14:axisColor rgb="FF000000"/>
            </x14:dataBar>
          </x14:cfRule>
          <xm:sqref>AA1:AA1048576</xm:sqref>
        </x14:conditionalFormatting>
        <x14:conditionalFormatting xmlns:xm="http://schemas.microsoft.com/office/excel/2006/main">
          <x14:cfRule type="dataBar" id="{9A4E28FF-0F61-493B-955D-336E6F618791}">
            <x14:dataBar minLength="0" maxLength="100" border="1" negativeBarBorderColorSameAsPositive="0">
              <x14:cfvo type="autoMin"/>
              <x14:cfvo type="autoMax"/>
              <x14:borderColor rgb="FF638EC6"/>
              <x14:negativeFillColor rgb="FFFF0000"/>
              <x14:negativeBorderColor rgb="FFFF0000"/>
              <x14:axisColor rgb="FF000000"/>
            </x14:dataBar>
          </x14:cfRule>
          <xm:sqref>AB1:AB1048576</xm:sqref>
        </x14:conditionalFormatting>
        <x14:conditionalFormatting xmlns:xm="http://schemas.microsoft.com/office/excel/2006/main">
          <x14:cfRule type="dataBar" id="{FEE01AE2-A858-443F-A379-6101EB8DCC1E}">
            <x14:dataBar minLength="0" maxLength="100" border="1" negativeBarBorderColorSameAsPositive="0">
              <x14:cfvo type="autoMin"/>
              <x14:cfvo type="autoMax"/>
              <x14:borderColor rgb="FF638EC6"/>
              <x14:negativeFillColor rgb="FFFF0000"/>
              <x14:negativeBorderColor rgb="FFFF0000"/>
              <x14:axisColor rgb="FF000000"/>
            </x14:dataBar>
          </x14:cfRule>
          <xm:sqref>BC1:BC1048576</xm:sqref>
        </x14:conditionalFormatting>
        <x14:conditionalFormatting xmlns:xm="http://schemas.microsoft.com/office/excel/2006/main">
          <x14:cfRule type="dataBar" id="{E0289788-C46A-4E50-9163-40D3BEA8D4DB}">
            <x14:dataBar minLength="0" maxLength="100" border="1" negativeBarBorderColorSameAsPositive="0">
              <x14:cfvo type="autoMin"/>
              <x14:cfvo type="autoMax"/>
              <x14:borderColor rgb="FF638EC6"/>
              <x14:negativeFillColor rgb="FFFF0000"/>
              <x14:negativeBorderColor rgb="FFFF0000"/>
              <x14:axisColor rgb="FF000000"/>
            </x14:dataBar>
          </x14:cfRule>
          <xm:sqref>BD1:BD1048576</xm:sqref>
        </x14:conditionalFormatting>
        <x14:conditionalFormatting xmlns:xm="http://schemas.microsoft.com/office/excel/2006/main">
          <x14:cfRule type="dataBar" id="{B2440787-A19F-4AA3-B979-734448C1C96B}">
            <x14:dataBar minLength="0" maxLength="100" gradient="0">
              <x14:cfvo type="autoMin"/>
              <x14:cfvo type="autoMax"/>
              <x14:negativeFillColor rgb="FFFF0000"/>
              <x14:axisColor rgb="FF000000"/>
            </x14:dataBar>
          </x14:cfRule>
          <xm:sqref>AF1:AF1048576</xm:sqref>
        </x14:conditionalFormatting>
        <x14:conditionalFormatting xmlns:xm="http://schemas.microsoft.com/office/excel/2006/main">
          <x14:cfRule type="dataBar" id="{40A97135-17D7-4076-9218-36D4232AE887}">
            <x14:dataBar minLength="0" maxLength="100" gradient="0">
              <x14:cfvo type="autoMin"/>
              <x14:cfvo type="autoMax"/>
              <x14:negativeFillColor rgb="FFFF0000"/>
              <x14:axisColor rgb="FF000000"/>
            </x14:dataBar>
          </x14:cfRule>
          <xm:sqref>AG1:AG1048576</xm:sqref>
        </x14:conditionalFormatting>
        <x14:conditionalFormatting xmlns:xm="http://schemas.microsoft.com/office/excel/2006/main">
          <x14:cfRule type="dataBar" id="{55CAA2A7-37E2-4C25-BB1B-736891C429B7}">
            <x14:dataBar minLength="0" maxLength="100" gradient="0">
              <x14:cfvo type="autoMin"/>
              <x14:cfvo type="autoMax"/>
              <x14:negativeFillColor rgb="FFFF0000"/>
              <x14:axisColor rgb="FF000000"/>
            </x14:dataBar>
          </x14:cfRule>
          <xm:sqref>CK1:CK1048576</xm:sqref>
        </x14:conditionalFormatting>
        <x14:conditionalFormatting xmlns:xm="http://schemas.microsoft.com/office/excel/2006/main">
          <x14:cfRule type="dataBar" id="{85E881C4-4478-475E-9BC6-D1CCB61F43BE}">
            <x14:dataBar minLength="0" maxLength="100" gradient="0">
              <x14:cfvo type="autoMin"/>
              <x14:cfvo type="autoMax"/>
              <x14:negativeFillColor rgb="FFFF0000"/>
              <x14:axisColor rgb="FF000000"/>
            </x14:dataBar>
          </x14:cfRule>
          <xm:sqref>CL1:CL1048576</xm:sqref>
        </x14:conditionalFormatting>
        <x14:conditionalFormatting xmlns:xm="http://schemas.microsoft.com/office/excel/2006/main">
          <x14:cfRule type="dataBar" id="{C10A5743-2E0A-4009-BE31-B6B900340B7E}">
            <x14:dataBar minLength="0" maxLength="100" gradient="0">
              <x14:cfvo type="autoMin"/>
              <x14:cfvo type="autoMax"/>
              <x14:negativeFillColor rgb="FFFF0000"/>
              <x14:axisColor rgb="FF000000"/>
            </x14:dataBar>
          </x14:cfRule>
          <xm:sqref>DD1:DD1048576</xm:sqref>
        </x14:conditionalFormatting>
        <x14:conditionalFormatting xmlns:xm="http://schemas.microsoft.com/office/excel/2006/main">
          <x14:cfRule type="dataBar" id="{B07B3CE0-05B8-4799-8E6C-EB6682F3ABA9}">
            <x14:dataBar minLength="0" maxLength="100" gradient="0">
              <x14:cfvo type="autoMin"/>
              <x14:cfvo type="autoMax"/>
              <x14:negativeFillColor rgb="FFFF0000"/>
              <x14:axisColor rgb="FF000000"/>
            </x14:dataBar>
          </x14:cfRule>
          <xm:sqref>DE1:DE1048576</xm:sqref>
        </x14:conditionalFormatting>
        <x14:conditionalFormatting xmlns:xm="http://schemas.microsoft.com/office/excel/2006/main">
          <x14:cfRule type="dataBar" id="{25A53874-37AE-488A-8ED9-403B2C051EBE}">
            <x14:dataBar minLength="0" maxLength="100" gradient="0">
              <x14:cfvo type="autoMin"/>
              <x14:cfvo type="autoMax"/>
              <x14:negativeFillColor rgb="FFFF0000"/>
              <x14:axisColor rgb="FF000000"/>
            </x14:dataBar>
          </x14:cfRule>
          <xm:sqref>DF1:DF1048576</xm:sqref>
        </x14:conditionalFormatting>
        <x14:conditionalFormatting xmlns:xm="http://schemas.microsoft.com/office/excel/2006/main">
          <x14:cfRule type="dataBar" id="{A06B09DE-A970-41E9-B415-50B9F0810608}">
            <x14:dataBar minLength="0" maxLength="100" gradient="0">
              <x14:cfvo type="autoMin"/>
              <x14:cfvo type="autoMax"/>
              <x14:negativeFillColor rgb="FFFF0000"/>
              <x14:axisColor rgb="FF000000"/>
            </x14:dataBar>
          </x14:cfRule>
          <xm:sqref>DG1:DG1048576</xm:sqref>
        </x14:conditionalFormatting>
        <x14:conditionalFormatting xmlns:xm="http://schemas.microsoft.com/office/excel/2006/main">
          <x14:cfRule type="dataBar" id="{E44431E3-D18B-4E36-A364-EF37500FBB5D}">
            <x14:dataBar minLength="0" maxLength="100" gradient="0">
              <x14:cfvo type="autoMin"/>
              <x14:cfvo type="autoMax"/>
              <x14:negativeFillColor rgb="FFFF0000"/>
              <x14:axisColor rgb="FF000000"/>
            </x14:dataBar>
          </x14:cfRule>
          <xm:sqref>CW1:CW1048576</xm:sqref>
        </x14:conditionalFormatting>
        <x14:conditionalFormatting xmlns:xm="http://schemas.microsoft.com/office/excel/2006/main">
          <x14:cfRule type="dataBar" id="{F90AC8D8-D126-4802-9624-F92DBECEEB66}">
            <x14:dataBar minLength="0" maxLength="100" gradient="0">
              <x14:cfvo type="autoMin"/>
              <x14:cfvo type="autoMax"/>
              <x14:negativeFillColor rgb="FFFF0000"/>
              <x14:axisColor rgb="FF000000"/>
            </x14:dataBar>
          </x14:cfRule>
          <xm:sqref>CX1:CX1048576</xm:sqref>
        </x14:conditionalFormatting>
        <x14:conditionalFormatting xmlns:xm="http://schemas.microsoft.com/office/excel/2006/main">
          <x14:cfRule type="dataBar" id="{60E80C8A-1A3E-443B-A317-C291CA2673F4}">
            <x14:dataBar minLength="0" maxLength="100" gradient="0">
              <x14:cfvo type="autoMin"/>
              <x14:cfvo type="autoMax"/>
              <x14:negativeFillColor rgb="FFFF0000"/>
              <x14:axisColor rgb="FF000000"/>
            </x14:dataBar>
          </x14:cfRule>
          <xm:sqref>DI1:DI1048576</xm:sqref>
        </x14:conditionalFormatting>
        <x14:conditionalFormatting xmlns:xm="http://schemas.microsoft.com/office/excel/2006/main">
          <x14:cfRule type="dataBar" id="{BA09BF65-D912-4A4D-91D1-685097F77626}">
            <x14:dataBar minLength="0" maxLength="100" gradient="0">
              <x14:cfvo type="autoMin"/>
              <x14:cfvo type="autoMax"/>
              <x14:negativeFillColor rgb="FFFF0000"/>
              <x14:axisColor rgb="FF000000"/>
            </x14:dataBar>
          </x14:cfRule>
          <xm:sqref>DJ1:DJ1048576</xm:sqref>
        </x14:conditionalFormatting>
        <x14:conditionalFormatting xmlns:xm="http://schemas.microsoft.com/office/excel/2006/main">
          <x14:cfRule type="dataBar" id="{E577CF6C-A4E9-4818-8E78-344723BB2542}">
            <x14:dataBar minLength="0" maxLength="100" gradient="0">
              <x14:cfvo type="autoMin"/>
              <x14:cfvo type="autoMax"/>
              <x14:negativeFillColor rgb="FFFF0000"/>
              <x14:axisColor rgb="FF000000"/>
            </x14:dataBar>
          </x14:cfRule>
          <xm:sqref>DK1:DK1048576</xm:sqref>
        </x14:conditionalFormatting>
        <x14:conditionalFormatting xmlns:xm="http://schemas.microsoft.com/office/excel/2006/main">
          <x14:cfRule type="dataBar" id="{957769D0-7A5E-439A-A734-0E820BAD8E57}">
            <x14:dataBar minLength="0" maxLength="100" gradient="0">
              <x14:cfvo type="autoMin"/>
              <x14:cfvo type="autoMax"/>
              <x14:negativeFillColor rgb="FFFF0000"/>
              <x14:axisColor rgb="FF000000"/>
            </x14:dataBar>
          </x14:cfRule>
          <xm:sqref>P1:P1048576</xm:sqref>
        </x14:conditionalFormatting>
        <x14:conditionalFormatting xmlns:xm="http://schemas.microsoft.com/office/excel/2006/main">
          <x14:cfRule type="dataBar" id="{72FBAB08-F0C6-4109-8E37-EB8582E342D9}">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D7CD39DC-06EF-4E5B-8586-C09FFA34C2BD}">
            <x14:dataBar minLength="0" maxLength="100" gradient="0">
              <x14:cfvo type="autoMin"/>
              <x14:cfvo type="autoMax"/>
              <x14:negativeFillColor rgb="FFFF0000"/>
              <x14:axisColor rgb="FF000000"/>
            </x14:dataBar>
          </x14:cfRule>
          <xm:sqref>R1:R1048576</xm:sqref>
        </x14:conditionalFormatting>
        <x14:conditionalFormatting xmlns:xm="http://schemas.microsoft.com/office/excel/2006/main">
          <x14:cfRule type="dataBar" id="{9588CD7C-98DC-4C98-92F3-70B428E27AEA}">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DC2B1D89-BBA2-4DF3-AC0A-F0AC7CA0809A}">
            <x14:dataBar minLength="0" maxLength="100" gradient="0">
              <x14:cfvo type="autoMin"/>
              <x14:cfvo type="autoMax"/>
              <x14:negativeFillColor rgb="FFFF0000"/>
              <x14:axisColor rgb="FF000000"/>
            </x14:dataBar>
          </x14:cfRule>
          <xm:sqref>T1:T1048576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tabColor theme="4" tint="-0.249977111117893"/>
  </sheetPr>
  <dimension ref="A1:FH11"/>
  <sheetViews>
    <sheetView zoomScale="90" zoomScaleNormal="90" workbookViewId="0">
      <pane xSplit="4" ySplit="1" topLeftCell="E2" activePane="bottomRight" state="frozen"/>
      <selection pane="topRight" activeCell="E1" sqref="E1"/>
      <selection pane="bottomLeft" activeCell="A2" sqref="A2"/>
      <selection pane="bottomRight"/>
    </sheetView>
  </sheetViews>
  <sheetFormatPr defaultColWidth="15.7109375" defaultRowHeight="24.95" customHeight="1" x14ac:dyDescent="0.25"/>
  <cols>
    <col min="1" max="1" width="9.140625" customWidth="1"/>
    <col min="2" max="2" width="30.7109375" customWidth="1"/>
    <col min="3" max="3" width="12.5703125" customWidth="1"/>
    <col min="4" max="4" width="23.85546875" bestFit="1" customWidth="1"/>
    <col min="5" max="5" width="21.7109375" customWidth="1"/>
    <col min="6" max="6" width="14" customWidth="1"/>
    <col min="7" max="7" width="15.7109375" customWidth="1"/>
    <col min="8" max="8" width="17.140625" customWidth="1"/>
    <col min="9" max="9" width="16.85546875" customWidth="1"/>
    <col min="10" max="11" width="15.7109375" customWidth="1"/>
    <col min="12" max="110" width="18.7109375" customWidth="1"/>
    <col min="111" max="111" width="18.7109375" style="95" customWidth="1"/>
    <col min="112" max="112" width="9.7109375" style="1" customWidth="1"/>
    <col min="113" max="113" width="12.7109375" style="140" customWidth="1"/>
    <col min="114" max="116" width="12.7109375" style="1" customWidth="1"/>
    <col min="117" max="117" width="12.7109375" style="140" customWidth="1"/>
    <col min="118" max="163" width="12.7109375" style="1" customWidth="1"/>
    <col min="164" max="164" width="12.7109375" style="140" customWidth="1"/>
  </cols>
  <sheetData>
    <row r="1" spans="1:164" ht="50.1" customHeight="1" thickBot="1" x14ac:dyDescent="0.3">
      <c r="A1" s="103"/>
      <c r="B1" s="4" t="s">
        <v>20</v>
      </c>
      <c r="C1" s="4" t="s">
        <v>201</v>
      </c>
      <c r="D1" s="4" t="s">
        <v>28</v>
      </c>
      <c r="E1" s="87" t="s">
        <v>217</v>
      </c>
      <c r="F1" s="4" t="s">
        <v>29</v>
      </c>
      <c r="G1" s="4" t="s">
        <v>1</v>
      </c>
      <c r="H1" s="82" t="s">
        <v>3</v>
      </c>
      <c r="I1" s="4" t="s">
        <v>2</v>
      </c>
      <c r="J1" s="4" t="s">
        <v>216</v>
      </c>
      <c r="K1" s="4" t="s">
        <v>111</v>
      </c>
      <c r="L1" s="30" t="s">
        <v>401</v>
      </c>
      <c r="M1" s="30" t="s">
        <v>402</v>
      </c>
      <c r="N1" s="30" t="s">
        <v>405</v>
      </c>
      <c r="O1" s="207" t="s">
        <v>22</v>
      </c>
      <c r="P1" s="207" t="s">
        <v>24</v>
      </c>
      <c r="Q1" s="207" t="s">
        <v>23</v>
      </c>
      <c r="R1" s="207" t="s">
        <v>178</v>
      </c>
      <c r="S1" s="90" t="s">
        <v>35</v>
      </c>
      <c r="T1" s="90" t="s">
        <v>397</v>
      </c>
      <c r="U1" s="46" t="s">
        <v>315</v>
      </c>
      <c r="V1" s="46" t="s">
        <v>316</v>
      </c>
      <c r="W1" s="46" t="s">
        <v>317</v>
      </c>
      <c r="X1" s="46" t="s">
        <v>318</v>
      </c>
      <c r="Y1" s="46" t="s">
        <v>319</v>
      </c>
      <c r="Z1" s="46" t="s">
        <v>320</v>
      </c>
      <c r="AA1" s="46" t="s">
        <v>338</v>
      </c>
      <c r="AB1" s="46" t="s">
        <v>312</v>
      </c>
      <c r="AC1" s="96" t="s">
        <v>226</v>
      </c>
      <c r="AD1" s="96" t="s">
        <v>223</v>
      </c>
      <c r="AE1" s="97" t="s">
        <v>224</v>
      </c>
      <c r="AF1" s="96" t="s">
        <v>225</v>
      </c>
      <c r="AG1" s="52" t="s">
        <v>169</v>
      </c>
      <c r="AH1" s="52" t="s">
        <v>125</v>
      </c>
      <c r="AI1" s="52" t="s">
        <v>40</v>
      </c>
      <c r="AJ1" s="52" t="s">
        <v>126</v>
      </c>
      <c r="AK1" s="181" t="s">
        <v>232</v>
      </c>
      <c r="AL1" s="181" t="s">
        <v>237</v>
      </c>
      <c r="AM1" s="52" t="s">
        <v>64</v>
      </c>
      <c r="AN1" s="331" t="s">
        <v>63</v>
      </c>
      <c r="AO1" s="331" t="s">
        <v>239</v>
      </c>
      <c r="AP1" s="34" t="s">
        <v>91</v>
      </c>
      <c r="AQ1" s="34" t="s">
        <v>240</v>
      </c>
      <c r="AR1" s="34" t="s">
        <v>104</v>
      </c>
      <c r="AS1" s="34" t="s">
        <v>241</v>
      </c>
      <c r="AT1" s="15" t="s">
        <v>105</v>
      </c>
      <c r="AU1" s="4" t="s">
        <v>75</v>
      </c>
      <c r="AV1" s="4" t="s">
        <v>558</v>
      </c>
      <c r="AW1" s="4" t="s">
        <v>520</v>
      </c>
      <c r="AX1" s="4" t="s">
        <v>521</v>
      </c>
      <c r="AY1" s="4" t="s">
        <v>519</v>
      </c>
      <c r="AZ1" s="4" t="s">
        <v>27</v>
      </c>
      <c r="BA1" s="152" t="s">
        <v>41</v>
      </c>
      <c r="BB1" s="153" t="s">
        <v>165</v>
      </c>
      <c r="BC1" s="38" t="s">
        <v>271</v>
      </c>
      <c r="BD1" s="38" t="s">
        <v>585</v>
      </c>
      <c r="BE1" s="38" t="s">
        <v>270</v>
      </c>
      <c r="BF1" s="38" t="s">
        <v>269</v>
      </c>
      <c r="BG1" s="77" t="s">
        <v>268</v>
      </c>
      <c r="BH1" s="4" t="s">
        <v>371</v>
      </c>
      <c r="BI1" s="4" t="s">
        <v>559</v>
      </c>
      <c r="BJ1" s="4" t="s">
        <v>128</v>
      </c>
      <c r="BK1" s="4" t="s">
        <v>464</v>
      </c>
      <c r="BL1" s="4" t="s">
        <v>44</v>
      </c>
      <c r="BM1" s="199" t="s">
        <v>414</v>
      </c>
      <c r="BN1" s="40" t="s">
        <v>584</v>
      </c>
      <c r="BO1" s="40" t="s">
        <v>427</v>
      </c>
      <c r="BP1" s="40" t="s">
        <v>332</v>
      </c>
      <c r="BQ1" s="19" t="s">
        <v>156</v>
      </c>
      <c r="BR1" s="19" t="s">
        <v>429</v>
      </c>
      <c r="BS1" s="182" t="s">
        <v>375</v>
      </c>
      <c r="BT1" s="182" t="s">
        <v>377</v>
      </c>
      <c r="BU1" s="4" t="s">
        <v>84</v>
      </c>
      <c r="BV1" s="4" t="s">
        <v>42</v>
      </c>
      <c r="BW1" s="51" t="s">
        <v>445</v>
      </c>
      <c r="BX1" s="51" t="s">
        <v>447</v>
      </c>
      <c r="BY1" s="280" t="s">
        <v>560</v>
      </c>
      <c r="BZ1" s="280" t="s">
        <v>561</v>
      </c>
      <c r="CA1" s="46" t="s">
        <v>562</v>
      </c>
      <c r="CB1" s="46" t="s">
        <v>121</v>
      </c>
      <c r="CC1" s="38" t="s">
        <v>322</v>
      </c>
      <c r="CD1" s="38" t="s">
        <v>563</v>
      </c>
      <c r="CE1" s="38" t="s">
        <v>323</v>
      </c>
      <c r="CF1" s="38" t="s">
        <v>564</v>
      </c>
      <c r="CG1" s="38" t="s">
        <v>127</v>
      </c>
      <c r="CH1" s="283" t="s">
        <v>443</v>
      </c>
      <c r="CI1" s="283" t="s">
        <v>444</v>
      </c>
      <c r="CJ1" s="46" t="s">
        <v>294</v>
      </c>
      <c r="CK1" s="46" t="s">
        <v>129</v>
      </c>
      <c r="CL1" s="105" t="s">
        <v>170</v>
      </c>
      <c r="CM1" s="105" t="s">
        <v>707</v>
      </c>
      <c r="CN1" s="105" t="s">
        <v>171</v>
      </c>
      <c r="CO1" s="105" t="s">
        <v>173</v>
      </c>
      <c r="CP1" s="106" t="s">
        <v>172</v>
      </c>
      <c r="CQ1" s="110" t="s">
        <v>130</v>
      </c>
      <c r="CR1" s="109" t="s">
        <v>133</v>
      </c>
      <c r="CS1" s="109" t="s">
        <v>131</v>
      </c>
      <c r="CT1" s="109" t="s">
        <v>134</v>
      </c>
      <c r="CU1" s="198" t="s">
        <v>431</v>
      </c>
      <c r="CV1" s="198" t="s">
        <v>432</v>
      </c>
      <c r="CW1" s="48" t="s">
        <v>132</v>
      </c>
      <c r="CX1" s="71" t="s">
        <v>175</v>
      </c>
      <c r="CY1" s="47" t="s">
        <v>408</v>
      </c>
      <c r="CZ1" s="47" t="s">
        <v>74</v>
      </c>
      <c r="DA1" s="294" t="s">
        <v>411</v>
      </c>
      <c r="DB1" s="47" t="s">
        <v>428</v>
      </c>
      <c r="DC1" s="70" t="s">
        <v>155</v>
      </c>
      <c r="DD1" s="43" t="s">
        <v>395</v>
      </c>
      <c r="DE1" s="43" t="s">
        <v>396</v>
      </c>
      <c r="DF1" s="43" t="s">
        <v>167</v>
      </c>
      <c r="DG1" s="101" t="s">
        <v>25</v>
      </c>
      <c r="DH1" s="261" t="s">
        <v>14</v>
      </c>
      <c r="DI1" s="262" t="s">
        <v>20</v>
      </c>
      <c r="DJ1" s="262" t="s">
        <v>29</v>
      </c>
      <c r="DK1" s="262" t="s">
        <v>1</v>
      </c>
      <c r="DL1" s="262" t="s">
        <v>2</v>
      </c>
      <c r="DM1" s="262" t="s">
        <v>3</v>
      </c>
      <c r="DN1" s="262" t="s">
        <v>566</v>
      </c>
      <c r="DO1" s="262" t="s">
        <v>37</v>
      </c>
      <c r="DP1" s="262" t="s">
        <v>81</v>
      </c>
      <c r="DQ1" s="262" t="s">
        <v>0</v>
      </c>
      <c r="DR1" s="262" t="s">
        <v>567</v>
      </c>
      <c r="DS1" s="262" t="s">
        <v>580</v>
      </c>
      <c r="DT1" s="262" t="s">
        <v>720</v>
      </c>
      <c r="DU1" s="262" t="s">
        <v>726</v>
      </c>
      <c r="DV1" s="262" t="s">
        <v>581</v>
      </c>
      <c r="DW1" s="262" t="s">
        <v>582</v>
      </c>
      <c r="DX1" s="262" t="s">
        <v>342</v>
      </c>
      <c r="DY1" s="262" t="s">
        <v>249</v>
      </c>
      <c r="DZ1" s="262" t="s">
        <v>735</v>
      </c>
      <c r="EA1" s="262" t="s">
        <v>725</v>
      </c>
      <c r="EB1" s="262" t="s">
        <v>154</v>
      </c>
      <c r="EC1" s="262" t="s">
        <v>153</v>
      </c>
      <c r="ED1" s="262" t="s">
        <v>7</v>
      </c>
      <c r="EE1" s="262" t="s">
        <v>732</v>
      </c>
      <c r="EF1" s="262" t="s">
        <v>731</v>
      </c>
      <c r="EG1" s="262" t="s">
        <v>733</v>
      </c>
      <c r="EH1" s="262" t="s">
        <v>71</v>
      </c>
      <c r="EI1" s="262" t="s">
        <v>520</v>
      </c>
      <c r="EJ1" s="262" t="s">
        <v>414</v>
      </c>
      <c r="EK1" s="262" t="s">
        <v>577</v>
      </c>
      <c r="EL1" s="262" t="s">
        <v>739</v>
      </c>
      <c r="EM1" s="262" t="s">
        <v>740</v>
      </c>
      <c r="EN1" s="262" t="s">
        <v>8</v>
      </c>
      <c r="EO1" s="262" t="s">
        <v>736</v>
      </c>
      <c r="EP1" s="262" t="s">
        <v>176</v>
      </c>
      <c r="EQ1" s="262" t="s">
        <v>177</v>
      </c>
      <c r="ER1" s="262" t="s">
        <v>575</v>
      </c>
      <c r="ES1" s="262" t="s">
        <v>727</v>
      </c>
      <c r="ET1" s="262" t="s">
        <v>728</v>
      </c>
      <c r="EU1" s="262" t="s">
        <v>445</v>
      </c>
      <c r="EV1" s="262" t="s">
        <v>238</v>
      </c>
      <c r="EW1" s="262" t="s">
        <v>734</v>
      </c>
      <c r="EX1" s="262" t="s">
        <v>221</v>
      </c>
      <c r="EY1" s="262" t="s">
        <v>46</v>
      </c>
      <c r="EZ1" s="262" t="s">
        <v>371</v>
      </c>
      <c r="FA1" s="262" t="s">
        <v>741</v>
      </c>
      <c r="FB1" s="262" t="s">
        <v>12</v>
      </c>
      <c r="FC1" s="262" t="s">
        <v>583</v>
      </c>
      <c r="FD1" s="262" t="s">
        <v>737</v>
      </c>
      <c r="FE1" s="262" t="s">
        <v>738</v>
      </c>
      <c r="FF1" s="262" t="s">
        <v>84</v>
      </c>
      <c r="FG1" s="262" t="s">
        <v>18</v>
      </c>
      <c r="FH1" s="263" t="s">
        <v>572</v>
      </c>
    </row>
    <row r="2" spans="1:164" ht="24.95" customHeight="1" thickBot="1" x14ac:dyDescent="0.3">
      <c r="A2" s="29" t="str">
        <f t="shared" ref="A2:A11" si="0">ROW()-1 &amp; "º"</f>
        <v>1º</v>
      </c>
      <c r="B2" s="68" t="str">
        <f t="shared" ref="B2:B11" si="1">DI2</f>
        <v>Andrea Cambiaso</v>
      </c>
      <c r="C2" s="83" t="str">
        <f t="shared" ref="C2:C11" si="2">DN2</f>
        <v>ITA</v>
      </c>
      <c r="D2" s="63" t="str">
        <f t="shared" ref="D2:D11" si="3">DQ2</f>
        <v>Juventus</v>
      </c>
      <c r="E2" s="91" t="str">
        <f t="shared" ref="E2:E11" si="4">DO2</f>
        <v>Pé Esquerdo</v>
      </c>
      <c r="F2" s="155">
        <f t="shared" ref="F2:F11" si="5">IFERROR(SUBSTITUTE(DJ2," cm","")/100,0)</f>
        <v>1.81</v>
      </c>
      <c r="G2" s="157">
        <f t="shared" ref="G2:G11" si="6">DK2</f>
        <v>25</v>
      </c>
      <c r="H2" s="276" t="str">
        <f t="shared" ref="H2:H11" si="7">DM2</f>
        <v>€370m p/m</v>
      </c>
      <c r="I2" s="64" t="str">
        <f t="shared" ref="I2:I11" si="8">IF(DL2="", "Sem valor estimado",
   IF(DL2="Não está à venda", "Não está à venda",
   IF(LEN(DL2)-LEN(SUBSTITUTE(DL2, "-", ""))=0, DL2,
   IFERROR(
      AVERAGE(
         VALUE(LEFT(DL2, SEARCH("M", DL2)-1)),
         VALUE(MID(DL2, SEARCH("-", DL2)+2, SEARCH("M", DL2, SEARCH("-", DL2))-SEARCH("-", DL2)-2))
      ) &amp; IF(SEARCH("M", DL2) &gt; 0, "M", "m"),
      "m"
   )
)))</f>
        <v>80M</v>
      </c>
      <c r="J2" s="89">
        <f t="shared" ref="J2:J11" si="9">IFERROR(AVERAGE(K:K),0)</f>
        <v>21.56</v>
      </c>
      <c r="K2" s="136">
        <f t="shared" ref="K2:K11" si="10">IFERROR(DR2/90,0)</f>
        <v>24.344444444444445</v>
      </c>
      <c r="L2" s="177">
        <f t="shared" ref="L2:L11" si="11">IFERROR(IF(ISERROR(FIND("(",DS2)), VALUE(DS2), VALUE(LEFT(DS2,FIND("(",DS2)-2)) + VALUE(MID(DS2,FIND("(",DS2)+1,FIND(")",DS2)-FIND("(",DS2)-1))),0)</f>
        <v>27</v>
      </c>
      <c r="M2" s="177">
        <f t="shared" ref="M2:M11" si="12">IFERROR(DR2/L2,0)</f>
        <v>81.148148148148152</v>
      </c>
      <c r="N2" s="178">
        <f t="shared" ref="N2:N11" si="13">IFERROR(IF(ISERROR(FIND("(",DS2)), "100%", TEXT(VALUE(LEFT(DS2,FIND("(",DS2)-2)) / (VALUE(LEFT(DS2,FIND("(",DS2)-2)) + VALUE(MID(DS2,FIND("(",DS2)+1,FIND(")",DS2)-FIND("(",DS2)-1))),"0%")),0)*1</f>
        <v>1</v>
      </c>
      <c r="O2" s="404">
        <f t="shared" ref="O2:O11" si="14">DV2</f>
        <v>0</v>
      </c>
      <c r="P2" s="404">
        <f t="shared" ref="P2:P11" si="15">DW2</f>
        <v>1</v>
      </c>
      <c r="Q2" s="404">
        <f t="shared" ref="Q2:Q11" si="16">IFERROR(O2+P2,0)</f>
        <v>1</v>
      </c>
      <c r="R2" s="405">
        <f t="shared" ref="R2:R11" si="17">IFERROR(Q2/K2,0)</f>
        <v>4.1077133728890915E-2</v>
      </c>
      <c r="S2" s="55">
        <f t="shared" ref="S2:S11" si="18">DT2</f>
        <v>0</v>
      </c>
      <c r="T2" s="61">
        <f t="shared" ref="T2:T11" si="19">IFERROR((S2*1)/K2,0)</f>
        <v>0</v>
      </c>
      <c r="U2" s="56">
        <f t="shared" ref="U2:U11" si="20">SUBSTITUTE(ED2,".",",")*1</f>
        <v>0.48</v>
      </c>
      <c r="V2" s="56">
        <f t="shared" ref="V2:V11" si="21">IFERROR((U2/K2),0)</f>
        <v>1.9717024189867639E-2</v>
      </c>
      <c r="W2" s="56">
        <f t="shared" ref="W2:W11" si="22">IFERROR((VALUE(SUBSTITUTE(ED2,".",","))-(FD2*0.79)),0)</f>
        <v>0.48</v>
      </c>
      <c r="X2" s="56">
        <f t="shared" ref="X2:X11" si="23">IFERROR(W2/K2,0)</f>
        <v>1.9717024189867639E-2</v>
      </c>
      <c r="Y2" s="56">
        <f t="shared" ref="Y2:Y11" si="24">VALUE(SUBSTITUTE(EC2,".",","))</f>
        <v>3.26</v>
      </c>
      <c r="Z2" s="56">
        <f t="shared" ref="Z2:Z11" si="25">IFERROR(Y2/K2,0)</f>
        <v>0.13391145595618437</v>
      </c>
      <c r="AA2" s="56">
        <f t="shared" ref="AA2:AA11" si="26">IFERROR(W2+Y2,0)</f>
        <v>3.7399999999999998</v>
      </c>
      <c r="AB2" s="56">
        <f t="shared" ref="AB2:AB11" si="27">IFERROR(AA2/K2,0)</f>
        <v>0.15362848014605202</v>
      </c>
      <c r="AC2" s="55">
        <f t="shared" ref="AC2:AC11" si="28">FD2</f>
        <v>0</v>
      </c>
      <c r="AD2" s="55">
        <f t="shared" ref="AD2:AD11" si="29">FE2</f>
        <v>0</v>
      </c>
      <c r="AE2" s="55">
        <f t="shared" ref="AE2:AE11" si="30">IFERROR(AC2-AD2,0)</f>
        <v>0</v>
      </c>
      <c r="AF2" s="58">
        <f t="shared" ref="AF2:AF11" si="31">IFERROR((AD2*1)/AC2,0.0000001)</f>
        <v>9.9999999999999995E-8</v>
      </c>
      <c r="AG2" s="55">
        <f t="shared" ref="AG2:AG11" si="32">ES2+ER2</f>
        <v>90</v>
      </c>
      <c r="AH2" s="56">
        <f t="shared" ref="AH2:AH11" si="33">IFERROR(AG2/K2,0)</f>
        <v>3.6969420356001823</v>
      </c>
      <c r="AI2" s="54">
        <f t="shared" ref="AI2:AI11" si="34">ET2</f>
        <v>53</v>
      </c>
      <c r="AJ2" s="56">
        <f t="shared" ref="AJ2:AJ11" si="35">IFERROR(AI2/K2,0)</f>
        <v>2.1770880876312186</v>
      </c>
      <c r="AK2" s="55">
        <f t="shared" ref="AK2:AK11" si="36">ES2-ET2</f>
        <v>12</v>
      </c>
      <c r="AL2" s="56">
        <f t="shared" ref="AL2:AL11" si="37">IFERROR(AK2/K2,0)</f>
        <v>0.492925604746691</v>
      </c>
      <c r="AM2" s="104">
        <f t="shared" ref="AM2:AM11" si="38">IFERROR((AI2*1)/AG2,0)</f>
        <v>0.58888888888888891</v>
      </c>
      <c r="AN2" s="55">
        <f t="shared" ref="AN2:AN11" si="39">ER2</f>
        <v>25</v>
      </c>
      <c r="AO2" s="56">
        <f t="shared" ref="AO2:AO11" si="40">IFERROR(AN2/K2,0)</f>
        <v>1.0269283432222729</v>
      </c>
      <c r="AP2" s="55">
        <f t="shared" ref="AP2:AP11" si="41">IFERROR(ER2+EP2+ES2+EV2,0)</f>
        <v>271</v>
      </c>
      <c r="AQ2" s="56">
        <f t="shared" ref="AQ2:AQ11" si="42">IFERROR(AP2/K2,0)</f>
        <v>11.131903240529438</v>
      </c>
      <c r="AR2" s="55">
        <f t="shared" ref="AR2:AR11" si="43">IFERROR(EQ2+ET2+EU2+EV2,0)</f>
        <v>114</v>
      </c>
      <c r="AS2" s="56">
        <f t="shared" ref="AS2:AS11" si="44">IFERROR(AR2/K2,0)</f>
        <v>4.6827932450935643</v>
      </c>
      <c r="AT2" s="58">
        <f t="shared" ref="AT2:AT11" si="45">IFERROR((AR2*1)/AP2,0)</f>
        <v>0.42066420664206644</v>
      </c>
      <c r="AU2" s="59">
        <f t="shared" ref="AU2:AU11" si="46">EH2</f>
        <v>1527</v>
      </c>
      <c r="AV2" s="60">
        <f t="shared" ref="AV2:AV11" si="47">IFERROR(AU2/K2,0)</f>
        <v>62.724783204016433</v>
      </c>
      <c r="AW2" s="59">
        <f t="shared" ref="AW2:AW11" si="48">EI2</f>
        <v>1396</v>
      </c>
      <c r="AX2" s="60">
        <f t="shared" ref="AX2:AX11" si="49">AW2/K2</f>
        <v>57.343678685531721</v>
      </c>
      <c r="AY2" s="61">
        <f t="shared" ref="AY2:AY11" si="50">AW2/AU2</f>
        <v>0.91421087098886711</v>
      </c>
      <c r="AZ2" s="59">
        <f t="shared" ref="AZ2:AZ11" si="51">IFERROR((EH2-EI2)+(EZ2-FA2),0)</f>
        <v>145</v>
      </c>
      <c r="BA2" s="56">
        <f t="shared" ref="BA2:BA11" si="52">IFERROR((AZ2/K2),0)</f>
        <v>5.9561843906891827</v>
      </c>
      <c r="BB2" s="56">
        <f t="shared" ref="BB2:BB11" si="53">IFERROR(EH2/(EH2-EI2),0)</f>
        <v>11.65648854961832</v>
      </c>
      <c r="BC2" s="55">
        <f t="shared" ref="BC2:BC11" si="54">EH2-EK2</f>
        <v>1333</v>
      </c>
      <c r="BD2" s="56">
        <f t="shared" ref="BD2:BD11" si="55">IFERROR(BC2/K2,0)</f>
        <v>54.755819260611588</v>
      </c>
      <c r="BE2" s="55">
        <f t="shared" ref="BE2:BE11" si="56">EK2</f>
        <v>194</v>
      </c>
      <c r="BF2" s="56">
        <f t="shared" ref="BF2:BF11" si="57">BE2/K2</f>
        <v>7.9689639434048374</v>
      </c>
      <c r="BG2" s="277">
        <f t="shared" ref="BG2:BG11" si="58">IFERROR(EK2/BC2,0)</f>
        <v>0.14553638409602401</v>
      </c>
      <c r="BH2" s="55">
        <f t="shared" ref="BH2:BH11" si="59">EL2</f>
        <v>17</v>
      </c>
      <c r="BI2" s="56">
        <f t="shared" ref="BI2:BI11" si="60">IFERROR(BH2/K2,0)</f>
        <v>0.69831127339114563</v>
      </c>
      <c r="BJ2" s="55">
        <f t="shared" ref="BJ2:BJ11" si="61">EM2</f>
        <v>4</v>
      </c>
      <c r="BK2" s="56">
        <f t="shared" ref="BK2:BK11" si="62">IFERROR(BJ2/K2,0)</f>
        <v>0.16430853491556366</v>
      </c>
      <c r="BL2" s="382">
        <f t="shared" ref="BL2:BL11" si="63">IFERROR(BJ2/BH2,0)</f>
        <v>0.23529411764705882</v>
      </c>
      <c r="BM2" s="55">
        <f t="shared" ref="BM2:BM11" si="64">EJ2</f>
        <v>30</v>
      </c>
      <c r="BN2" s="56">
        <f t="shared" ref="BN2:BN11" si="65">IFERROR(BM2/K2,0)</f>
        <v>1.2323140118667275</v>
      </c>
      <c r="BO2" s="56">
        <f t="shared" ref="BO2:BO11" si="66">IFERROR(DR2/(DZ2+EJ2+EO2),0)</f>
        <v>50.953488372093027</v>
      </c>
      <c r="BP2" s="56">
        <f t="shared" ref="BP2:BP11" si="67">IFERROR((DR2/EJ2),0)</f>
        <v>73.033333333333331</v>
      </c>
      <c r="BQ2" s="56">
        <f t="shared" ref="BQ2:BQ11" si="68">IFERROR(VALUE(SUBSTITUTE(EC2,".",",")),0)</f>
        <v>3.26</v>
      </c>
      <c r="BR2" s="56">
        <f t="shared" ref="BR2:BR11" si="69">IFERROR(BQ2-DW2,0)</f>
        <v>2.2599999999999998</v>
      </c>
      <c r="BS2" s="278">
        <f t="shared" ref="BS2:BS11" si="70">IFERROR(FA2+EJ2+BQ2+DZ2,0)</f>
        <v>46.26</v>
      </c>
      <c r="BT2" s="279">
        <f t="shared" ref="BT2:BT11" si="71">IFERROR(BS2/K2,0)</f>
        <v>1.9002282062984936</v>
      </c>
      <c r="BU2" s="281">
        <f t="shared" ref="BU2:BU11" si="72">FF2</f>
        <v>13</v>
      </c>
      <c r="BV2" s="282">
        <f t="shared" ref="BV2:BV11" si="73">IFERROR(BU2/K2,0)</f>
        <v>0.53400273847558188</v>
      </c>
      <c r="BW2" s="55">
        <f t="shared" ref="BW2:BW11" si="74">EU2</f>
        <v>2</v>
      </c>
      <c r="BX2" s="56">
        <f t="shared" ref="BX2:BX11" si="75">IFERROR(BW2/K2,0)</f>
        <v>8.2154267457781829E-2</v>
      </c>
      <c r="BY2" s="278">
        <f t="shared" ref="BY2:BY11" si="76">DU2</f>
        <v>0</v>
      </c>
      <c r="BZ2" s="279">
        <f t="shared" ref="BZ2:BZ11" si="77">IFERROR(BY2/K2,0)</f>
        <v>0</v>
      </c>
      <c r="CA2" s="55">
        <f t="shared" ref="CA2:CA11" si="78">IFERROR(EH2+FF2+EN2+DZ2+FB2+EJ2+AG2+EU2+EW2+EZ2+FD2+FC2+EF2,0)</f>
        <v>1796</v>
      </c>
      <c r="CB2" s="56">
        <f t="shared" ref="CB2:CB11" si="79">IFERROR(CA2/K2,0)</f>
        <v>73.774532177088091</v>
      </c>
      <c r="CC2" s="55">
        <f t="shared" ref="CC2:CC11" si="80">EE2</f>
        <v>43</v>
      </c>
      <c r="CD2" s="56">
        <f t="shared" ref="CD2:CD11" si="81">CC2/K2</f>
        <v>1.7663167503423094</v>
      </c>
      <c r="CE2" s="55">
        <f t="shared" ref="CE2:CE11" si="82">EF2</f>
        <v>15</v>
      </c>
      <c r="CF2" s="56">
        <f t="shared" ref="CF2:CF11" si="83">CE2/K2</f>
        <v>0.61615700593336376</v>
      </c>
      <c r="CG2" s="61">
        <f t="shared" ref="CG2:CG11" si="84">IFERROR((EF2*1)/EE2,0)</f>
        <v>0.34883720930232559</v>
      </c>
      <c r="CH2" s="197">
        <f t="shared" ref="CH2:CH11" si="85">IFERROR((CI2*K2),0)</f>
        <v>0</v>
      </c>
      <c r="CI2" s="196">
        <f t="shared" ref="CI2:CI11" si="86">IFERROR(EG2,0)</f>
        <v>0</v>
      </c>
      <c r="CJ2" s="274">
        <f t="shared" ref="CJ2:CJ11" si="87">IFERROR((EU2*0.5)+ET2+EW2+CH2,0)</f>
        <v>135</v>
      </c>
      <c r="CK2" s="275">
        <f t="shared" ref="CK2:CK11" si="88">IFERROR(CJ2/K2,0)</f>
        <v>5.5454130534002735</v>
      </c>
      <c r="CL2" s="55">
        <f t="shared" ref="CL2:CL11" si="89">IFERROR(EL2+FF2+EN2+(DZ2*2)+EJ2+(EZ2-EL2)+EK2+(DV2*3)+(DW2*3),0)</f>
        <v>284</v>
      </c>
      <c r="CM2" s="56">
        <f t="shared" ref="CM2:CM11" si="90">CL2/K2</f>
        <v>11.66590597900502</v>
      </c>
      <c r="CN2" s="55">
        <f t="shared" ref="CN2:CN11" si="91">IFERROR(EM2+FF2+EO2+(DZ2*2)+EJ2+(FA2-EM2)+EK2+(DV2*3)+(DW2*3),0)</f>
        <v>266</v>
      </c>
      <c r="CO2" s="56">
        <f t="shared" ref="CO2:CO11" si="92">IFERROR(CN2/K2,0)</f>
        <v>10.926517571884984</v>
      </c>
      <c r="CP2" s="61">
        <f t="shared" ref="CP2:CP11" si="93">IFERROR((CN2*1)/CL2,0)</f>
        <v>0.93661971830985913</v>
      </c>
      <c r="CQ2" s="55">
        <f t="shared" ref="CQ2:CQ11" si="94">IFERROR((DU2*3)+(DX2*1.33)+(DY2*2)+EE2+ES2+EW2+EY2+EV2+EX2+ER2+(EU2*3),0)</f>
        <v>260.99</v>
      </c>
      <c r="CR2" s="56">
        <f t="shared" ref="CR2:CR11" si="95">IFERROR(CQ2/K2,0)</f>
        <v>10.720721131903241</v>
      </c>
      <c r="CS2" s="55">
        <f t="shared" ref="CS2:CS11" si="96">IFERROR(EF2+ET2+EW2+EY2+EV2+EX2+(EU2*3),0)</f>
        <v>192</v>
      </c>
      <c r="CT2" s="196">
        <f t="shared" ref="CT2:CT11" si="97">IFERROR(CS2/K2,0)</f>
        <v>7.8868096759470561</v>
      </c>
      <c r="CU2" s="197">
        <f t="shared" ref="CU2:CU11" si="98">IFERROR((DU2*3)+(DX2*1.25)+(DY2*2)+ER2+AZ2,0)</f>
        <v>173.75</v>
      </c>
      <c r="CV2" s="196">
        <f t="shared" ref="CV2:CV11" si="99">IFERROR((CU2/K2),0)</f>
        <v>7.1371519853947971</v>
      </c>
      <c r="CW2" s="61">
        <f t="shared" ref="CW2:CW11" si="100">IFERROR(CS2/CQ2,0)</f>
        <v>0.73566037012912366</v>
      </c>
      <c r="CX2" s="61">
        <f t="shared" ref="CX2:CX11" si="101">IFERROR(((CS2+CN2)*1)/(CL2+CQ2),0)</f>
        <v>0.84038239233747403</v>
      </c>
      <c r="CY2" s="170">
        <f t="shared" ref="CY2:CY11" si="102">IFERROR(VALUE(SUBSTITUTE(FG2, " km", "")),0)</f>
        <v>285.3</v>
      </c>
      <c r="CZ2" s="171">
        <f t="shared" ref="CZ2:CZ11" si="103">IFERROR(CY2/K2,0)</f>
        <v>11.719306252852579</v>
      </c>
      <c r="DA2" s="194">
        <f t="shared" ref="DA2:DA11" si="104">IFERROR(CY2/(DR2/60),0)</f>
        <v>7.8128708352350529</v>
      </c>
      <c r="DB2" s="172">
        <f t="shared" ref="DB2:DB11" si="105">IFERROR((DC2*K2),0)</f>
        <v>343.25666666666666</v>
      </c>
      <c r="DC2" s="171">
        <f t="shared" ref="DC2:DC11" si="106">EB2</f>
        <v>14.1</v>
      </c>
      <c r="DD2" s="172">
        <f t="shared" ref="DD2:DD11" si="107">IFERROR((EE2-EF2)+(EH2-EI2)+(EZ2-FA2),0)</f>
        <v>173</v>
      </c>
      <c r="DE2" s="171">
        <f t="shared" ref="DE2:DE11" si="108">IFERROR(DD2/K2,0)</f>
        <v>7.1063441350981282</v>
      </c>
      <c r="DF2" s="171">
        <f t="shared" ref="DF2:DF11" si="109">EA2</f>
        <v>6</v>
      </c>
      <c r="DG2" s="60">
        <f t="shared" ref="DG2:DG11" si="110">IFERROR(VALUE(SUBSTITUTE(FH2, ".", ",")),0)</f>
        <v>6.86</v>
      </c>
      <c r="DH2" s="270"/>
      <c r="DI2" s="266" t="s">
        <v>952</v>
      </c>
      <c r="DJ2" s="266" t="s">
        <v>557</v>
      </c>
      <c r="DK2" s="266">
        <v>25</v>
      </c>
      <c r="DL2" s="266" t="s">
        <v>953</v>
      </c>
      <c r="DM2" s="266" t="s">
        <v>954</v>
      </c>
      <c r="DN2" s="266" t="s">
        <v>614</v>
      </c>
      <c r="DO2" s="266" t="s">
        <v>579</v>
      </c>
      <c r="DP2" s="267">
        <v>47299</v>
      </c>
      <c r="DQ2" s="266" t="s">
        <v>622</v>
      </c>
      <c r="DR2" s="266">
        <v>2191</v>
      </c>
      <c r="DS2" s="266">
        <v>27</v>
      </c>
      <c r="DT2" s="266">
        <v>0</v>
      </c>
      <c r="DU2" s="266">
        <v>0</v>
      </c>
      <c r="DV2" s="266">
        <v>0</v>
      </c>
      <c r="DW2" s="266">
        <v>1</v>
      </c>
      <c r="DX2" s="266">
        <v>3</v>
      </c>
      <c r="DY2" s="266">
        <v>0</v>
      </c>
      <c r="DZ2" s="266">
        <v>9</v>
      </c>
      <c r="EA2" s="266">
        <v>6</v>
      </c>
      <c r="EB2" s="266">
        <v>14.1</v>
      </c>
      <c r="EC2" s="266" t="s">
        <v>1052</v>
      </c>
      <c r="ED2" s="266" t="s">
        <v>1043</v>
      </c>
      <c r="EE2" s="266">
        <v>43</v>
      </c>
      <c r="EF2" s="266">
        <v>15</v>
      </c>
      <c r="EG2" s="266">
        <v>0</v>
      </c>
      <c r="EH2" s="266">
        <v>1527</v>
      </c>
      <c r="EI2" s="266">
        <v>1396</v>
      </c>
      <c r="EJ2" s="266">
        <v>30</v>
      </c>
      <c r="EK2" s="266">
        <v>194</v>
      </c>
      <c r="EL2" s="266">
        <v>17</v>
      </c>
      <c r="EM2" s="266">
        <v>4</v>
      </c>
      <c r="EN2" s="266">
        <v>8</v>
      </c>
      <c r="EO2" s="266">
        <v>4</v>
      </c>
      <c r="EP2" s="266">
        <v>170</v>
      </c>
      <c r="EQ2" s="266">
        <v>48</v>
      </c>
      <c r="ER2" s="266">
        <v>25</v>
      </c>
      <c r="ES2" s="266">
        <v>65</v>
      </c>
      <c r="ET2" s="266">
        <v>53</v>
      </c>
      <c r="EU2" s="266">
        <v>2</v>
      </c>
      <c r="EV2" s="266">
        <v>11</v>
      </c>
      <c r="EW2" s="266">
        <v>81</v>
      </c>
      <c r="EX2" s="266">
        <v>6</v>
      </c>
      <c r="EY2" s="266">
        <v>20</v>
      </c>
      <c r="EZ2" s="266">
        <v>18</v>
      </c>
      <c r="FA2" s="266">
        <v>4</v>
      </c>
      <c r="FB2" s="266">
        <v>3</v>
      </c>
      <c r="FC2" s="266">
        <v>0</v>
      </c>
      <c r="FD2" s="266">
        <v>0</v>
      </c>
      <c r="FE2" s="266">
        <v>0</v>
      </c>
      <c r="FF2" s="266">
        <v>13</v>
      </c>
      <c r="FG2" s="266" t="s">
        <v>955</v>
      </c>
      <c r="FH2" s="271">
        <v>6.86</v>
      </c>
    </row>
    <row r="3" spans="1:164" ht="24.95" customHeight="1" thickBot="1" x14ac:dyDescent="0.3">
      <c r="A3" s="29" t="str">
        <f t="shared" si="0"/>
        <v>2º</v>
      </c>
      <c r="B3" s="68" t="str">
        <f t="shared" si="1"/>
        <v>Antonino Gallo</v>
      </c>
      <c r="C3" s="83" t="str">
        <f t="shared" si="2"/>
        <v>ITA</v>
      </c>
      <c r="D3" s="63" t="str">
        <f t="shared" si="3"/>
        <v>Lecce</v>
      </c>
      <c r="E3" s="91" t="str">
        <f t="shared" si="4"/>
        <v>Pé Esquerdo</v>
      </c>
      <c r="F3" s="155">
        <f t="shared" si="5"/>
        <v>1.82</v>
      </c>
      <c r="G3" s="157">
        <f t="shared" si="6"/>
        <v>26</v>
      </c>
      <c r="H3" s="276" t="str">
        <f t="shared" si="7"/>
        <v>€80,5m p/m</v>
      </c>
      <c r="I3" s="64" t="str">
        <f t="shared" si="8"/>
        <v>279,6M</v>
      </c>
      <c r="J3" s="89">
        <f t="shared" si="9"/>
        <v>21.56</v>
      </c>
      <c r="K3" s="136">
        <f t="shared" si="10"/>
        <v>20.722222222222221</v>
      </c>
      <c r="L3" s="177">
        <f t="shared" si="11"/>
        <v>21</v>
      </c>
      <c r="M3" s="177">
        <f t="shared" si="12"/>
        <v>88.80952380952381</v>
      </c>
      <c r="N3" s="178">
        <f t="shared" si="13"/>
        <v>1</v>
      </c>
      <c r="O3" s="404">
        <f t="shared" si="14"/>
        <v>0</v>
      </c>
      <c r="P3" s="404">
        <f t="shared" si="15"/>
        <v>3</v>
      </c>
      <c r="Q3" s="404">
        <f t="shared" si="16"/>
        <v>3</v>
      </c>
      <c r="R3" s="405">
        <f t="shared" si="17"/>
        <v>0.1447721179624665</v>
      </c>
      <c r="S3" s="55">
        <f t="shared" si="18"/>
        <v>4</v>
      </c>
      <c r="T3" s="61">
        <f t="shared" si="19"/>
        <v>0.193029490616622</v>
      </c>
      <c r="U3" s="56">
        <f t="shared" si="20"/>
        <v>0.39</v>
      </c>
      <c r="V3" s="56">
        <f t="shared" si="21"/>
        <v>1.8820375335120643E-2</v>
      </c>
      <c r="W3" s="56">
        <f t="shared" si="22"/>
        <v>0.39</v>
      </c>
      <c r="X3" s="56">
        <f t="shared" si="23"/>
        <v>1.8820375335120643E-2</v>
      </c>
      <c r="Y3" s="56">
        <f t="shared" si="24"/>
        <v>4.59</v>
      </c>
      <c r="Z3" s="56">
        <f t="shared" si="25"/>
        <v>0.22150134048257372</v>
      </c>
      <c r="AA3" s="56">
        <f t="shared" si="26"/>
        <v>4.9799999999999995</v>
      </c>
      <c r="AB3" s="56">
        <f t="shared" si="27"/>
        <v>0.24032171581769435</v>
      </c>
      <c r="AC3" s="55">
        <f t="shared" si="28"/>
        <v>0</v>
      </c>
      <c r="AD3" s="55">
        <f t="shared" si="29"/>
        <v>0</v>
      </c>
      <c r="AE3" s="55">
        <f t="shared" si="30"/>
        <v>0</v>
      </c>
      <c r="AF3" s="58">
        <f t="shared" si="31"/>
        <v>9.9999999999999995E-8</v>
      </c>
      <c r="AG3" s="55">
        <f t="shared" si="32"/>
        <v>81</v>
      </c>
      <c r="AH3" s="56">
        <f t="shared" si="33"/>
        <v>3.9088471849865951</v>
      </c>
      <c r="AI3" s="54">
        <f t="shared" si="34"/>
        <v>49</v>
      </c>
      <c r="AJ3" s="56">
        <f t="shared" si="35"/>
        <v>2.3646112600536195</v>
      </c>
      <c r="AK3" s="55">
        <f t="shared" si="36"/>
        <v>13</v>
      </c>
      <c r="AL3" s="56">
        <f t="shared" si="37"/>
        <v>0.62734584450402142</v>
      </c>
      <c r="AM3" s="104">
        <f t="shared" si="38"/>
        <v>0.60493827160493829</v>
      </c>
      <c r="AN3" s="55">
        <f t="shared" si="39"/>
        <v>19</v>
      </c>
      <c r="AO3" s="56">
        <f t="shared" si="40"/>
        <v>0.91689008042895448</v>
      </c>
      <c r="AP3" s="55">
        <f t="shared" si="41"/>
        <v>256</v>
      </c>
      <c r="AQ3" s="56">
        <f t="shared" si="42"/>
        <v>12.353887399463808</v>
      </c>
      <c r="AR3" s="55">
        <f t="shared" si="43"/>
        <v>119</v>
      </c>
      <c r="AS3" s="56">
        <f t="shared" si="44"/>
        <v>5.7426273458445039</v>
      </c>
      <c r="AT3" s="58">
        <f t="shared" si="45"/>
        <v>0.46484375</v>
      </c>
      <c r="AU3" s="59">
        <f t="shared" si="46"/>
        <v>1217</v>
      </c>
      <c r="AV3" s="60">
        <f t="shared" si="47"/>
        <v>58.729222520107243</v>
      </c>
      <c r="AW3" s="59">
        <f t="shared" si="48"/>
        <v>1070</v>
      </c>
      <c r="AX3" s="60">
        <f t="shared" si="49"/>
        <v>51.635388739946386</v>
      </c>
      <c r="AY3" s="61">
        <f t="shared" si="50"/>
        <v>0.87921117502054236</v>
      </c>
      <c r="AZ3" s="59">
        <f t="shared" si="51"/>
        <v>195</v>
      </c>
      <c r="BA3" s="56">
        <f t="shared" si="52"/>
        <v>9.4101876675603222</v>
      </c>
      <c r="BB3" s="56">
        <f t="shared" si="53"/>
        <v>8.2789115646258509</v>
      </c>
      <c r="BC3" s="55">
        <f t="shared" si="54"/>
        <v>1066</v>
      </c>
      <c r="BD3" s="56">
        <f t="shared" si="55"/>
        <v>51.442359249329762</v>
      </c>
      <c r="BE3" s="55">
        <f t="shared" si="56"/>
        <v>151</v>
      </c>
      <c r="BF3" s="56">
        <f t="shared" si="57"/>
        <v>7.2868632707774799</v>
      </c>
      <c r="BG3" s="277">
        <f t="shared" si="58"/>
        <v>0.14165103189493433</v>
      </c>
      <c r="BH3" s="55">
        <f t="shared" si="59"/>
        <v>57</v>
      </c>
      <c r="BI3" s="56">
        <f t="shared" si="60"/>
        <v>2.7506702412868633</v>
      </c>
      <c r="BJ3" s="55">
        <f t="shared" si="61"/>
        <v>13</v>
      </c>
      <c r="BK3" s="56">
        <f t="shared" si="62"/>
        <v>0.62734584450402142</v>
      </c>
      <c r="BL3" s="382">
        <f t="shared" si="63"/>
        <v>0.22807017543859648</v>
      </c>
      <c r="BM3" s="55">
        <f t="shared" si="64"/>
        <v>32</v>
      </c>
      <c r="BN3" s="56">
        <f t="shared" si="65"/>
        <v>1.544235924932976</v>
      </c>
      <c r="BO3" s="56">
        <f t="shared" si="66"/>
        <v>44.404761904761905</v>
      </c>
      <c r="BP3" s="56">
        <f t="shared" si="67"/>
        <v>58.28125</v>
      </c>
      <c r="BQ3" s="56">
        <f t="shared" si="68"/>
        <v>4.59</v>
      </c>
      <c r="BR3" s="56">
        <f t="shared" si="69"/>
        <v>1.5899999999999999</v>
      </c>
      <c r="BS3" s="278">
        <f t="shared" si="70"/>
        <v>59.59</v>
      </c>
      <c r="BT3" s="279">
        <f t="shared" si="71"/>
        <v>2.8756568364611264</v>
      </c>
      <c r="BU3" s="281">
        <f t="shared" si="72"/>
        <v>27</v>
      </c>
      <c r="BV3" s="282">
        <f t="shared" si="73"/>
        <v>1.3029490616621984</v>
      </c>
      <c r="BW3" s="55">
        <f t="shared" si="74"/>
        <v>1</v>
      </c>
      <c r="BX3" s="56">
        <f t="shared" si="75"/>
        <v>4.82573726541555E-2</v>
      </c>
      <c r="BY3" s="278">
        <f t="shared" si="76"/>
        <v>0</v>
      </c>
      <c r="BZ3" s="279">
        <f t="shared" si="77"/>
        <v>0</v>
      </c>
      <c r="CA3" s="55">
        <f t="shared" si="78"/>
        <v>1534</v>
      </c>
      <c r="CB3" s="56">
        <f t="shared" si="79"/>
        <v>74.026809651474537</v>
      </c>
      <c r="CC3" s="55">
        <f t="shared" si="80"/>
        <v>52</v>
      </c>
      <c r="CD3" s="56">
        <f t="shared" si="81"/>
        <v>2.5093833780160857</v>
      </c>
      <c r="CE3" s="55">
        <f t="shared" si="82"/>
        <v>24</v>
      </c>
      <c r="CF3" s="56">
        <f t="shared" si="83"/>
        <v>1.158176943699732</v>
      </c>
      <c r="CG3" s="61">
        <f t="shared" si="84"/>
        <v>0.46153846153846156</v>
      </c>
      <c r="CH3" s="197">
        <f t="shared" si="85"/>
        <v>4.1444444444444448</v>
      </c>
      <c r="CI3" s="196">
        <f t="shared" si="86"/>
        <v>0.2</v>
      </c>
      <c r="CJ3" s="274">
        <f t="shared" si="87"/>
        <v>126.64444444444445</v>
      </c>
      <c r="CK3" s="275">
        <f t="shared" si="88"/>
        <v>6.1115281501340482</v>
      </c>
      <c r="CL3" s="55">
        <f t="shared" si="89"/>
        <v>305</v>
      </c>
      <c r="CM3" s="56">
        <f t="shared" si="90"/>
        <v>14.718498659517428</v>
      </c>
      <c r="CN3" s="55">
        <f t="shared" si="91"/>
        <v>252</v>
      </c>
      <c r="CO3" s="56">
        <f t="shared" si="92"/>
        <v>12.160857908847186</v>
      </c>
      <c r="CP3" s="61">
        <f t="shared" si="93"/>
        <v>0.82622950819672136</v>
      </c>
      <c r="CQ3" s="55">
        <f t="shared" si="94"/>
        <v>272.33</v>
      </c>
      <c r="CR3" s="56">
        <f t="shared" si="95"/>
        <v>13.141930294906166</v>
      </c>
      <c r="CS3" s="55">
        <f t="shared" si="96"/>
        <v>211</v>
      </c>
      <c r="CT3" s="196">
        <f t="shared" si="97"/>
        <v>10.182305630026811</v>
      </c>
      <c r="CU3" s="197">
        <f t="shared" si="98"/>
        <v>215.25</v>
      </c>
      <c r="CV3" s="196">
        <f t="shared" si="99"/>
        <v>10.387399463806972</v>
      </c>
      <c r="CW3" s="61">
        <f t="shared" si="100"/>
        <v>0.77479528513200902</v>
      </c>
      <c r="CX3" s="61">
        <f t="shared" si="101"/>
        <v>0.80196767879722175</v>
      </c>
      <c r="CY3" s="170">
        <f t="shared" si="102"/>
        <v>241.3</v>
      </c>
      <c r="CZ3" s="171">
        <f t="shared" si="103"/>
        <v>11.644504021447721</v>
      </c>
      <c r="DA3" s="194">
        <f t="shared" si="104"/>
        <v>7.7630026809651484</v>
      </c>
      <c r="DB3" s="172">
        <f t="shared" si="105"/>
        <v>368.85555555555555</v>
      </c>
      <c r="DC3" s="171">
        <f t="shared" si="106"/>
        <v>17.8</v>
      </c>
      <c r="DD3" s="172">
        <f t="shared" si="107"/>
        <v>223</v>
      </c>
      <c r="DE3" s="171">
        <f t="shared" si="108"/>
        <v>10.761394101876675</v>
      </c>
      <c r="DF3" s="171">
        <f t="shared" si="109"/>
        <v>13.6</v>
      </c>
      <c r="DG3" s="60">
        <f t="shared" si="110"/>
        <v>7.1</v>
      </c>
      <c r="DH3" s="268"/>
      <c r="DI3" s="264" t="s">
        <v>962</v>
      </c>
      <c r="DJ3" s="264" t="s">
        <v>963</v>
      </c>
      <c r="DK3" s="264">
        <v>26</v>
      </c>
      <c r="DL3" s="264" t="s">
        <v>964</v>
      </c>
      <c r="DM3" s="264" t="s">
        <v>965</v>
      </c>
      <c r="DN3" s="264" t="s">
        <v>614</v>
      </c>
      <c r="DO3" s="264" t="s">
        <v>579</v>
      </c>
      <c r="DP3" s="265">
        <v>46203</v>
      </c>
      <c r="DQ3" s="264" t="s">
        <v>883</v>
      </c>
      <c r="DR3" s="264">
        <v>1865</v>
      </c>
      <c r="DS3" s="264">
        <v>21</v>
      </c>
      <c r="DT3" s="264">
        <v>4</v>
      </c>
      <c r="DU3" s="264">
        <v>0</v>
      </c>
      <c r="DV3" s="264">
        <v>0</v>
      </c>
      <c r="DW3" s="264">
        <v>3</v>
      </c>
      <c r="DX3" s="264">
        <v>1</v>
      </c>
      <c r="DY3" s="264">
        <v>0</v>
      </c>
      <c r="DZ3" s="264">
        <v>9</v>
      </c>
      <c r="EA3" s="264">
        <v>13.6</v>
      </c>
      <c r="EB3" s="264">
        <v>17.8</v>
      </c>
      <c r="EC3" s="264" t="s">
        <v>1053</v>
      </c>
      <c r="ED3" s="264" t="s">
        <v>1047</v>
      </c>
      <c r="EE3" s="264">
        <v>52</v>
      </c>
      <c r="EF3" s="264">
        <v>24</v>
      </c>
      <c r="EG3" s="264">
        <v>0.2</v>
      </c>
      <c r="EH3" s="264">
        <v>1217</v>
      </c>
      <c r="EI3" s="264">
        <v>1070</v>
      </c>
      <c r="EJ3" s="264">
        <v>32</v>
      </c>
      <c r="EK3" s="264">
        <v>151</v>
      </c>
      <c r="EL3" s="264">
        <v>57</v>
      </c>
      <c r="EM3" s="264">
        <v>13</v>
      </c>
      <c r="EN3" s="264">
        <v>6</v>
      </c>
      <c r="EO3" s="264">
        <v>1</v>
      </c>
      <c r="EP3" s="264">
        <v>160</v>
      </c>
      <c r="EQ3" s="264">
        <v>54</v>
      </c>
      <c r="ER3" s="264">
        <v>19</v>
      </c>
      <c r="ES3" s="264">
        <v>62</v>
      </c>
      <c r="ET3" s="264">
        <v>49</v>
      </c>
      <c r="EU3" s="264">
        <v>1</v>
      </c>
      <c r="EV3" s="264">
        <v>15</v>
      </c>
      <c r="EW3" s="264">
        <v>73</v>
      </c>
      <c r="EX3" s="264">
        <v>24</v>
      </c>
      <c r="EY3" s="264">
        <v>23</v>
      </c>
      <c r="EZ3" s="264">
        <v>62</v>
      </c>
      <c r="FA3" s="264">
        <v>14</v>
      </c>
      <c r="FB3" s="264">
        <v>2</v>
      </c>
      <c r="FC3" s="264">
        <v>0</v>
      </c>
      <c r="FD3" s="264">
        <v>0</v>
      </c>
      <c r="FE3" s="264">
        <v>0</v>
      </c>
      <c r="FF3" s="264">
        <v>27</v>
      </c>
      <c r="FG3" s="264" t="s">
        <v>966</v>
      </c>
      <c r="FH3" s="269">
        <v>7.1</v>
      </c>
    </row>
    <row r="4" spans="1:164" ht="24.95" customHeight="1" thickBot="1" x14ac:dyDescent="0.3">
      <c r="A4" s="29" t="str">
        <f t="shared" si="0"/>
        <v>3º</v>
      </c>
      <c r="B4" s="68" t="str">
        <f t="shared" si="1"/>
        <v>Emanuele Valeri</v>
      </c>
      <c r="C4" s="83" t="str">
        <f t="shared" si="2"/>
        <v>ITA</v>
      </c>
      <c r="D4" s="63" t="str">
        <f t="shared" si="3"/>
        <v>Parma</v>
      </c>
      <c r="E4" s="91" t="str">
        <f t="shared" si="4"/>
        <v>Somente Pé Esquerdo</v>
      </c>
      <c r="F4" s="155">
        <f t="shared" si="5"/>
        <v>1.8</v>
      </c>
      <c r="G4" s="157">
        <f t="shared" si="6"/>
        <v>27</v>
      </c>
      <c r="H4" s="276" t="str">
        <f t="shared" si="7"/>
        <v>€117m p/m</v>
      </c>
      <c r="I4" s="64" t="str">
        <f t="shared" si="8"/>
        <v>9,1M</v>
      </c>
      <c r="J4" s="89">
        <f t="shared" si="9"/>
        <v>21.56</v>
      </c>
      <c r="K4" s="136">
        <f t="shared" si="10"/>
        <v>20.68888888888889</v>
      </c>
      <c r="L4" s="177">
        <f t="shared" si="11"/>
        <v>22</v>
      </c>
      <c r="M4" s="177">
        <f t="shared" si="12"/>
        <v>84.63636363636364</v>
      </c>
      <c r="N4" s="178">
        <f t="shared" si="13"/>
        <v>1</v>
      </c>
      <c r="O4" s="404">
        <f t="shared" si="14"/>
        <v>0</v>
      </c>
      <c r="P4" s="404">
        <f t="shared" si="15"/>
        <v>2</v>
      </c>
      <c r="Q4" s="404">
        <f t="shared" si="16"/>
        <v>2</v>
      </c>
      <c r="R4" s="405">
        <f t="shared" si="17"/>
        <v>9.6670247046186888E-2</v>
      </c>
      <c r="S4" s="55">
        <f t="shared" si="18"/>
        <v>2</v>
      </c>
      <c r="T4" s="61">
        <f t="shared" si="19"/>
        <v>9.6670247046186888E-2</v>
      </c>
      <c r="U4" s="56">
        <f t="shared" si="20"/>
        <v>0.87</v>
      </c>
      <c r="V4" s="56">
        <f t="shared" si="21"/>
        <v>4.2051557465091295E-2</v>
      </c>
      <c r="W4" s="56">
        <f t="shared" si="22"/>
        <v>0.87</v>
      </c>
      <c r="X4" s="56">
        <f t="shared" si="23"/>
        <v>4.2051557465091295E-2</v>
      </c>
      <c r="Y4" s="56">
        <f t="shared" si="24"/>
        <v>2.79</v>
      </c>
      <c r="Z4" s="56">
        <f t="shared" si="25"/>
        <v>0.13485499462943071</v>
      </c>
      <c r="AA4" s="56">
        <f t="shared" si="26"/>
        <v>3.66</v>
      </c>
      <c r="AB4" s="56">
        <f t="shared" si="27"/>
        <v>0.17690655209452202</v>
      </c>
      <c r="AC4" s="55">
        <f t="shared" si="28"/>
        <v>0</v>
      </c>
      <c r="AD4" s="55">
        <f t="shared" si="29"/>
        <v>0</v>
      </c>
      <c r="AE4" s="55">
        <f t="shared" si="30"/>
        <v>0</v>
      </c>
      <c r="AF4" s="58">
        <f t="shared" si="31"/>
        <v>9.9999999999999995E-8</v>
      </c>
      <c r="AG4" s="55">
        <f t="shared" si="32"/>
        <v>87</v>
      </c>
      <c r="AH4" s="56">
        <f t="shared" si="33"/>
        <v>4.2051557465091296</v>
      </c>
      <c r="AI4" s="54">
        <f t="shared" si="34"/>
        <v>40</v>
      </c>
      <c r="AJ4" s="56">
        <f t="shared" si="35"/>
        <v>1.9334049409237377</v>
      </c>
      <c r="AK4" s="55">
        <f t="shared" si="36"/>
        <v>16</v>
      </c>
      <c r="AL4" s="56">
        <f t="shared" si="37"/>
        <v>0.77336197636949511</v>
      </c>
      <c r="AM4" s="104">
        <f t="shared" si="38"/>
        <v>0.45977011494252873</v>
      </c>
      <c r="AN4" s="55">
        <f t="shared" si="39"/>
        <v>31</v>
      </c>
      <c r="AO4" s="56">
        <f t="shared" si="40"/>
        <v>1.4983888292158969</v>
      </c>
      <c r="AP4" s="55">
        <f t="shared" si="41"/>
        <v>319</v>
      </c>
      <c r="AQ4" s="56">
        <f t="shared" si="42"/>
        <v>15.41890440386681</v>
      </c>
      <c r="AR4" s="55">
        <f t="shared" si="43"/>
        <v>119</v>
      </c>
      <c r="AS4" s="56">
        <f t="shared" si="44"/>
        <v>5.7518796992481196</v>
      </c>
      <c r="AT4" s="58">
        <f t="shared" si="45"/>
        <v>0.37304075235109718</v>
      </c>
      <c r="AU4" s="59">
        <f t="shared" si="46"/>
        <v>1078</v>
      </c>
      <c r="AV4" s="60">
        <f t="shared" si="47"/>
        <v>52.105263157894733</v>
      </c>
      <c r="AW4" s="59">
        <f t="shared" si="48"/>
        <v>955</v>
      </c>
      <c r="AX4" s="60">
        <f t="shared" si="49"/>
        <v>46.160042964554243</v>
      </c>
      <c r="AY4" s="61">
        <f t="shared" si="50"/>
        <v>0.885899814471243</v>
      </c>
      <c r="AZ4" s="59">
        <f t="shared" si="51"/>
        <v>230</v>
      </c>
      <c r="BA4" s="56">
        <f t="shared" si="52"/>
        <v>11.117078410311493</v>
      </c>
      <c r="BB4" s="56">
        <f t="shared" si="53"/>
        <v>8.7642276422764223</v>
      </c>
      <c r="BC4" s="55">
        <f t="shared" si="54"/>
        <v>938</v>
      </c>
      <c r="BD4" s="56">
        <f t="shared" si="55"/>
        <v>45.338345864661655</v>
      </c>
      <c r="BE4" s="55">
        <f t="shared" si="56"/>
        <v>140</v>
      </c>
      <c r="BF4" s="56">
        <f t="shared" si="57"/>
        <v>6.7669172932330826</v>
      </c>
      <c r="BG4" s="277">
        <f t="shared" si="58"/>
        <v>0.14925373134328357</v>
      </c>
      <c r="BH4" s="55">
        <f t="shared" si="59"/>
        <v>123</v>
      </c>
      <c r="BI4" s="56">
        <f t="shared" si="60"/>
        <v>5.9452201933404938</v>
      </c>
      <c r="BJ4" s="55">
        <f t="shared" si="61"/>
        <v>17</v>
      </c>
      <c r="BK4" s="56">
        <f t="shared" si="62"/>
        <v>0.82169709989258854</v>
      </c>
      <c r="BL4" s="382">
        <f t="shared" si="63"/>
        <v>0.13821138211382114</v>
      </c>
      <c r="BM4" s="55">
        <f t="shared" si="64"/>
        <v>30</v>
      </c>
      <c r="BN4" s="56">
        <f t="shared" si="65"/>
        <v>1.4500537056928033</v>
      </c>
      <c r="BO4" s="56">
        <f t="shared" si="66"/>
        <v>44.333333333333336</v>
      </c>
      <c r="BP4" s="56">
        <f t="shared" si="67"/>
        <v>62.06666666666667</v>
      </c>
      <c r="BQ4" s="56">
        <f t="shared" si="68"/>
        <v>2.79</v>
      </c>
      <c r="BR4" s="56">
        <f t="shared" si="69"/>
        <v>0.79</v>
      </c>
      <c r="BS4" s="278">
        <f t="shared" si="70"/>
        <v>57.79</v>
      </c>
      <c r="BT4" s="279">
        <f t="shared" si="71"/>
        <v>2.7932867883995702</v>
      </c>
      <c r="BU4" s="281">
        <f t="shared" si="72"/>
        <v>66</v>
      </c>
      <c r="BV4" s="282">
        <f t="shared" si="73"/>
        <v>3.1901181525241675</v>
      </c>
      <c r="BW4" s="55">
        <f t="shared" si="74"/>
        <v>3</v>
      </c>
      <c r="BX4" s="56">
        <f t="shared" si="75"/>
        <v>0.14500537056928034</v>
      </c>
      <c r="BY4" s="278">
        <f t="shared" si="76"/>
        <v>0</v>
      </c>
      <c r="BZ4" s="279">
        <f t="shared" si="77"/>
        <v>0</v>
      </c>
      <c r="CA4" s="55">
        <f t="shared" si="78"/>
        <v>1512</v>
      </c>
      <c r="CB4" s="56">
        <f t="shared" si="79"/>
        <v>73.082706766917283</v>
      </c>
      <c r="CC4" s="55">
        <f t="shared" si="80"/>
        <v>49</v>
      </c>
      <c r="CD4" s="56">
        <f t="shared" si="81"/>
        <v>2.3684210526315788</v>
      </c>
      <c r="CE4" s="55">
        <f t="shared" si="82"/>
        <v>22</v>
      </c>
      <c r="CF4" s="56">
        <f t="shared" si="83"/>
        <v>1.0633727175080558</v>
      </c>
      <c r="CG4" s="61">
        <f t="shared" si="84"/>
        <v>0.44897959183673469</v>
      </c>
      <c r="CH4" s="197">
        <f t="shared" si="85"/>
        <v>0</v>
      </c>
      <c r="CI4" s="196">
        <f t="shared" si="86"/>
        <v>0</v>
      </c>
      <c r="CJ4" s="274">
        <f t="shared" si="87"/>
        <v>118.5</v>
      </c>
      <c r="CK4" s="275">
        <f t="shared" si="88"/>
        <v>5.7277121374865736</v>
      </c>
      <c r="CL4" s="55">
        <f t="shared" si="89"/>
        <v>394</v>
      </c>
      <c r="CM4" s="56">
        <f t="shared" si="90"/>
        <v>19.044038668098818</v>
      </c>
      <c r="CN4" s="55">
        <f t="shared" si="91"/>
        <v>279</v>
      </c>
      <c r="CO4" s="56">
        <f t="shared" si="92"/>
        <v>13.485499462943071</v>
      </c>
      <c r="CP4" s="61">
        <f t="shared" si="93"/>
        <v>0.70812182741116747</v>
      </c>
      <c r="CQ4" s="55">
        <f t="shared" si="94"/>
        <v>274.33</v>
      </c>
      <c r="CR4" s="56">
        <f t="shared" si="95"/>
        <v>13.259774436090224</v>
      </c>
      <c r="CS4" s="55">
        <f t="shared" si="96"/>
        <v>197</v>
      </c>
      <c r="CT4" s="196">
        <f t="shared" si="97"/>
        <v>9.5220193340494088</v>
      </c>
      <c r="CU4" s="197">
        <f t="shared" si="98"/>
        <v>264.25</v>
      </c>
      <c r="CV4" s="196">
        <f t="shared" si="99"/>
        <v>12.772556390977442</v>
      </c>
      <c r="CW4" s="61">
        <f t="shared" si="100"/>
        <v>0.71811322130281052</v>
      </c>
      <c r="CX4" s="61">
        <f t="shared" si="101"/>
        <v>0.7122230036060031</v>
      </c>
      <c r="CY4" s="170">
        <f t="shared" si="102"/>
        <v>259.2</v>
      </c>
      <c r="CZ4" s="171">
        <f t="shared" si="103"/>
        <v>12.52846401718582</v>
      </c>
      <c r="DA4" s="194">
        <f t="shared" si="104"/>
        <v>8.3523093447905463</v>
      </c>
      <c r="DB4" s="172">
        <f t="shared" si="105"/>
        <v>494.46444444444444</v>
      </c>
      <c r="DC4" s="171">
        <f t="shared" si="106"/>
        <v>23.9</v>
      </c>
      <c r="DD4" s="172">
        <f t="shared" si="107"/>
        <v>257</v>
      </c>
      <c r="DE4" s="171">
        <f t="shared" si="108"/>
        <v>12.422126745435015</v>
      </c>
      <c r="DF4" s="171">
        <f t="shared" si="109"/>
        <v>14.9</v>
      </c>
      <c r="DG4" s="60">
        <f t="shared" si="110"/>
        <v>6.89</v>
      </c>
      <c r="DH4" s="270"/>
      <c r="DI4" s="266" t="s">
        <v>967</v>
      </c>
      <c r="DJ4" s="266" t="s">
        <v>711</v>
      </c>
      <c r="DK4" s="266">
        <v>27</v>
      </c>
      <c r="DL4" s="266" t="s">
        <v>890</v>
      </c>
      <c r="DM4" s="266" t="s">
        <v>968</v>
      </c>
      <c r="DN4" s="266" t="s">
        <v>614</v>
      </c>
      <c r="DO4" s="266" t="s">
        <v>695</v>
      </c>
      <c r="DP4" s="267">
        <v>46934</v>
      </c>
      <c r="DQ4" s="266" t="s">
        <v>710</v>
      </c>
      <c r="DR4" s="266">
        <v>1862</v>
      </c>
      <c r="DS4" s="266">
        <v>22</v>
      </c>
      <c r="DT4" s="266">
        <v>2</v>
      </c>
      <c r="DU4" s="266">
        <v>0</v>
      </c>
      <c r="DV4" s="266">
        <v>0</v>
      </c>
      <c r="DW4" s="266">
        <v>2</v>
      </c>
      <c r="DX4" s="266">
        <v>1</v>
      </c>
      <c r="DY4" s="266">
        <v>1</v>
      </c>
      <c r="DZ4" s="266">
        <v>8</v>
      </c>
      <c r="EA4" s="266">
        <v>14.9</v>
      </c>
      <c r="EB4" s="266">
        <v>23.9</v>
      </c>
      <c r="EC4" s="266" t="s">
        <v>1054</v>
      </c>
      <c r="ED4" s="266" t="s">
        <v>1055</v>
      </c>
      <c r="EE4" s="266">
        <v>49</v>
      </c>
      <c r="EF4" s="266">
        <v>22</v>
      </c>
      <c r="EG4" s="266">
        <v>0</v>
      </c>
      <c r="EH4" s="266">
        <v>1078</v>
      </c>
      <c r="EI4" s="266">
        <v>955</v>
      </c>
      <c r="EJ4" s="266">
        <v>30</v>
      </c>
      <c r="EK4" s="266">
        <v>140</v>
      </c>
      <c r="EL4" s="266">
        <v>123</v>
      </c>
      <c r="EM4" s="266">
        <v>17</v>
      </c>
      <c r="EN4" s="266">
        <v>12</v>
      </c>
      <c r="EO4" s="266">
        <v>4</v>
      </c>
      <c r="EP4" s="266">
        <v>213</v>
      </c>
      <c r="EQ4" s="266">
        <v>57</v>
      </c>
      <c r="ER4" s="266">
        <v>31</v>
      </c>
      <c r="ES4" s="266">
        <v>56</v>
      </c>
      <c r="ET4" s="266">
        <v>40</v>
      </c>
      <c r="EU4" s="266">
        <v>3</v>
      </c>
      <c r="EV4" s="266">
        <v>19</v>
      </c>
      <c r="EW4" s="266">
        <v>77</v>
      </c>
      <c r="EX4" s="266">
        <v>11</v>
      </c>
      <c r="EY4" s="266">
        <v>19</v>
      </c>
      <c r="EZ4" s="266">
        <v>124</v>
      </c>
      <c r="FA4" s="266">
        <v>17</v>
      </c>
      <c r="FB4" s="266">
        <v>5</v>
      </c>
      <c r="FC4" s="266">
        <v>0</v>
      </c>
      <c r="FD4" s="266">
        <v>0</v>
      </c>
      <c r="FE4" s="266">
        <v>0</v>
      </c>
      <c r="FF4" s="266">
        <v>66</v>
      </c>
      <c r="FG4" s="266" t="s">
        <v>969</v>
      </c>
      <c r="FH4" s="271">
        <v>6.89</v>
      </c>
    </row>
    <row r="5" spans="1:164" ht="24.95" customHeight="1" thickBot="1" x14ac:dyDescent="0.3">
      <c r="A5" s="29" t="str">
        <f t="shared" si="0"/>
        <v>4º</v>
      </c>
      <c r="B5" s="68" t="str">
        <f t="shared" si="1"/>
        <v>Enrico Delprato</v>
      </c>
      <c r="C5" s="83" t="str">
        <f t="shared" si="2"/>
        <v>ITA</v>
      </c>
      <c r="D5" s="63" t="str">
        <f t="shared" si="3"/>
        <v>Parma</v>
      </c>
      <c r="E5" s="91" t="str">
        <f t="shared" si="4"/>
        <v>Pé Direito</v>
      </c>
      <c r="F5" s="155">
        <f t="shared" si="5"/>
        <v>1.83</v>
      </c>
      <c r="G5" s="157">
        <f t="shared" si="6"/>
        <v>26</v>
      </c>
      <c r="H5" s="276" t="str">
        <f t="shared" si="7"/>
        <v>€131m p/m</v>
      </c>
      <c r="I5" s="64" t="str">
        <f t="shared" si="8"/>
        <v>14,25M</v>
      </c>
      <c r="J5" s="89">
        <f t="shared" si="9"/>
        <v>21.56</v>
      </c>
      <c r="K5" s="136">
        <f t="shared" si="10"/>
        <v>21.111111111111111</v>
      </c>
      <c r="L5" s="177">
        <f t="shared" si="11"/>
        <v>22</v>
      </c>
      <c r="M5" s="177">
        <f t="shared" si="12"/>
        <v>86.36363636363636</v>
      </c>
      <c r="N5" s="178">
        <f t="shared" si="13"/>
        <v>1</v>
      </c>
      <c r="O5" s="404">
        <f t="shared" si="14"/>
        <v>1</v>
      </c>
      <c r="P5" s="404">
        <f t="shared" si="15"/>
        <v>3</v>
      </c>
      <c r="Q5" s="404">
        <f t="shared" si="16"/>
        <v>4</v>
      </c>
      <c r="R5" s="405">
        <f t="shared" si="17"/>
        <v>0.18947368421052632</v>
      </c>
      <c r="S5" s="55">
        <f t="shared" si="18"/>
        <v>1</v>
      </c>
      <c r="T5" s="61">
        <f t="shared" si="19"/>
        <v>4.736842105263158E-2</v>
      </c>
      <c r="U5" s="56">
        <f t="shared" si="20"/>
        <v>0.87</v>
      </c>
      <c r="V5" s="56">
        <f t="shared" si="21"/>
        <v>4.1210526315789475E-2</v>
      </c>
      <c r="W5" s="56">
        <f t="shared" si="22"/>
        <v>0.87</v>
      </c>
      <c r="X5" s="56">
        <f t="shared" si="23"/>
        <v>4.1210526315789475E-2</v>
      </c>
      <c r="Y5" s="56">
        <f t="shared" si="24"/>
        <v>1.75</v>
      </c>
      <c r="Z5" s="56">
        <f t="shared" si="25"/>
        <v>8.2894736842105271E-2</v>
      </c>
      <c r="AA5" s="56">
        <f t="shared" si="26"/>
        <v>2.62</v>
      </c>
      <c r="AB5" s="56">
        <f t="shared" si="27"/>
        <v>0.12410526315789475</v>
      </c>
      <c r="AC5" s="55">
        <f t="shared" si="28"/>
        <v>0</v>
      </c>
      <c r="AD5" s="55">
        <f t="shared" si="29"/>
        <v>0</v>
      </c>
      <c r="AE5" s="55">
        <f t="shared" si="30"/>
        <v>0</v>
      </c>
      <c r="AF5" s="58">
        <f t="shared" si="31"/>
        <v>9.9999999999999995E-8</v>
      </c>
      <c r="AG5" s="55">
        <f t="shared" si="32"/>
        <v>58</v>
      </c>
      <c r="AH5" s="56">
        <f t="shared" si="33"/>
        <v>2.7473684210526317</v>
      </c>
      <c r="AI5" s="54">
        <f t="shared" si="34"/>
        <v>33</v>
      </c>
      <c r="AJ5" s="56">
        <f t="shared" si="35"/>
        <v>1.5631578947368421</v>
      </c>
      <c r="AK5" s="55">
        <f t="shared" si="36"/>
        <v>5</v>
      </c>
      <c r="AL5" s="56">
        <f t="shared" si="37"/>
        <v>0.23684210526315791</v>
      </c>
      <c r="AM5" s="104">
        <f t="shared" si="38"/>
        <v>0.56896551724137934</v>
      </c>
      <c r="AN5" s="55">
        <f t="shared" si="39"/>
        <v>20</v>
      </c>
      <c r="AO5" s="56">
        <f t="shared" si="40"/>
        <v>0.94736842105263164</v>
      </c>
      <c r="AP5" s="55">
        <f t="shared" si="41"/>
        <v>228</v>
      </c>
      <c r="AQ5" s="56">
        <f t="shared" si="42"/>
        <v>10.8</v>
      </c>
      <c r="AR5" s="55">
        <f t="shared" si="43"/>
        <v>92</v>
      </c>
      <c r="AS5" s="56">
        <f t="shared" si="44"/>
        <v>4.3578947368421055</v>
      </c>
      <c r="AT5" s="58">
        <f t="shared" si="45"/>
        <v>0.40350877192982454</v>
      </c>
      <c r="AU5" s="59">
        <f t="shared" si="46"/>
        <v>1156</v>
      </c>
      <c r="AV5" s="60">
        <f t="shared" si="47"/>
        <v>54.757894736842104</v>
      </c>
      <c r="AW5" s="59">
        <f t="shared" si="48"/>
        <v>1048</v>
      </c>
      <c r="AX5" s="60">
        <f t="shared" si="49"/>
        <v>49.642105263157895</v>
      </c>
      <c r="AY5" s="61">
        <f t="shared" si="50"/>
        <v>0.90657439446366783</v>
      </c>
      <c r="AZ5" s="59">
        <f t="shared" si="51"/>
        <v>176</v>
      </c>
      <c r="BA5" s="56">
        <f t="shared" si="52"/>
        <v>8.3368421052631572</v>
      </c>
      <c r="BB5" s="56">
        <f t="shared" si="53"/>
        <v>10.703703703703704</v>
      </c>
      <c r="BC5" s="55">
        <f t="shared" si="54"/>
        <v>1055</v>
      </c>
      <c r="BD5" s="56">
        <f t="shared" si="55"/>
        <v>49.973684210526315</v>
      </c>
      <c r="BE5" s="55">
        <f t="shared" si="56"/>
        <v>101</v>
      </c>
      <c r="BF5" s="56">
        <f t="shared" si="57"/>
        <v>4.7842105263157899</v>
      </c>
      <c r="BG5" s="277">
        <f t="shared" si="58"/>
        <v>9.5734597156398107E-2</v>
      </c>
      <c r="BH5" s="55">
        <f t="shared" si="59"/>
        <v>93</v>
      </c>
      <c r="BI5" s="56">
        <f t="shared" si="60"/>
        <v>4.405263157894737</v>
      </c>
      <c r="BJ5" s="55">
        <f t="shared" si="61"/>
        <v>26</v>
      </c>
      <c r="BK5" s="56">
        <f t="shared" si="62"/>
        <v>1.2315789473684211</v>
      </c>
      <c r="BL5" s="382">
        <f t="shared" si="63"/>
        <v>0.27956989247311825</v>
      </c>
      <c r="BM5" s="55">
        <f t="shared" si="64"/>
        <v>25</v>
      </c>
      <c r="BN5" s="56">
        <f t="shared" si="65"/>
        <v>1.1842105263157896</v>
      </c>
      <c r="BO5" s="56">
        <f t="shared" si="66"/>
        <v>63.333333333333336</v>
      </c>
      <c r="BP5" s="56">
        <f t="shared" si="67"/>
        <v>76</v>
      </c>
      <c r="BQ5" s="56">
        <f t="shared" si="68"/>
        <v>1.75</v>
      </c>
      <c r="BR5" s="56">
        <f t="shared" si="69"/>
        <v>-1.25</v>
      </c>
      <c r="BS5" s="278">
        <f t="shared" si="70"/>
        <v>54.75</v>
      </c>
      <c r="BT5" s="279">
        <f t="shared" si="71"/>
        <v>2.5934210526315788</v>
      </c>
      <c r="BU5" s="281">
        <f t="shared" si="72"/>
        <v>34</v>
      </c>
      <c r="BV5" s="282">
        <f t="shared" si="73"/>
        <v>1.6105263157894738</v>
      </c>
      <c r="BW5" s="55">
        <f t="shared" si="74"/>
        <v>3</v>
      </c>
      <c r="BX5" s="56">
        <f t="shared" si="75"/>
        <v>0.14210526315789473</v>
      </c>
      <c r="BY5" s="278">
        <f t="shared" si="76"/>
        <v>0</v>
      </c>
      <c r="BZ5" s="279">
        <f t="shared" si="77"/>
        <v>0</v>
      </c>
      <c r="CA5" s="55">
        <f t="shared" si="78"/>
        <v>1504</v>
      </c>
      <c r="CB5" s="56">
        <f t="shared" si="79"/>
        <v>71.242105263157896</v>
      </c>
      <c r="CC5" s="55">
        <f t="shared" si="80"/>
        <v>87</v>
      </c>
      <c r="CD5" s="56">
        <f t="shared" si="81"/>
        <v>4.1210526315789471</v>
      </c>
      <c r="CE5" s="55">
        <f t="shared" si="82"/>
        <v>59</v>
      </c>
      <c r="CF5" s="56">
        <f t="shared" si="83"/>
        <v>2.7947368421052632</v>
      </c>
      <c r="CG5" s="61">
        <f t="shared" si="84"/>
        <v>0.67816091954022983</v>
      </c>
      <c r="CH5" s="197">
        <f t="shared" si="85"/>
        <v>4.2222222222222223</v>
      </c>
      <c r="CI5" s="196">
        <f t="shared" si="86"/>
        <v>0.2</v>
      </c>
      <c r="CJ5" s="274">
        <f t="shared" si="87"/>
        <v>99.722222222222229</v>
      </c>
      <c r="CK5" s="275">
        <f t="shared" si="88"/>
        <v>4.7236842105263159</v>
      </c>
      <c r="CL5" s="55">
        <f t="shared" si="89"/>
        <v>279</v>
      </c>
      <c r="CM5" s="56">
        <f t="shared" si="90"/>
        <v>13.215789473684211</v>
      </c>
      <c r="CN5" s="55">
        <f t="shared" si="91"/>
        <v>205</v>
      </c>
      <c r="CO5" s="56">
        <f t="shared" si="92"/>
        <v>9.7105263157894743</v>
      </c>
      <c r="CP5" s="61">
        <f t="shared" si="93"/>
        <v>0.73476702508960579</v>
      </c>
      <c r="CQ5" s="55">
        <f t="shared" si="94"/>
        <v>263.65999999999997</v>
      </c>
      <c r="CR5" s="56">
        <f t="shared" si="95"/>
        <v>12.489157894736842</v>
      </c>
      <c r="CS5" s="55">
        <f t="shared" si="96"/>
        <v>208</v>
      </c>
      <c r="CT5" s="196">
        <f t="shared" si="97"/>
        <v>9.8526315789473689</v>
      </c>
      <c r="CU5" s="197">
        <f t="shared" si="98"/>
        <v>198.5</v>
      </c>
      <c r="CV5" s="196">
        <f t="shared" si="99"/>
        <v>9.4026315789473678</v>
      </c>
      <c r="CW5" s="61">
        <f t="shared" si="100"/>
        <v>0.78889478874307828</v>
      </c>
      <c r="CX5" s="61">
        <f t="shared" si="101"/>
        <v>0.76106586075996019</v>
      </c>
      <c r="CY5" s="170">
        <f t="shared" si="102"/>
        <v>237.6</v>
      </c>
      <c r="CZ5" s="171">
        <f t="shared" si="103"/>
        <v>11.254736842105263</v>
      </c>
      <c r="DA5" s="194">
        <f t="shared" si="104"/>
        <v>7.5031578947368418</v>
      </c>
      <c r="DB5" s="172">
        <f t="shared" si="105"/>
        <v>323</v>
      </c>
      <c r="DC5" s="171">
        <f t="shared" si="106"/>
        <v>15.3</v>
      </c>
      <c r="DD5" s="172">
        <f t="shared" si="107"/>
        <v>204</v>
      </c>
      <c r="DE5" s="171">
        <f t="shared" si="108"/>
        <v>9.6631578947368428</v>
      </c>
      <c r="DF5" s="171">
        <f t="shared" si="109"/>
        <v>9.6999999999999993</v>
      </c>
      <c r="DG5" s="60">
        <f t="shared" si="110"/>
        <v>6.94</v>
      </c>
      <c r="DH5" s="268"/>
      <c r="DI5" s="264" t="s">
        <v>932</v>
      </c>
      <c r="DJ5" s="264" t="s">
        <v>696</v>
      </c>
      <c r="DK5" s="264">
        <v>26</v>
      </c>
      <c r="DL5" s="264" t="s">
        <v>933</v>
      </c>
      <c r="DM5" s="264" t="s">
        <v>934</v>
      </c>
      <c r="DN5" s="264" t="s">
        <v>614</v>
      </c>
      <c r="DO5" s="264" t="s">
        <v>573</v>
      </c>
      <c r="DP5" s="265">
        <v>47299</v>
      </c>
      <c r="DQ5" s="264" t="s">
        <v>710</v>
      </c>
      <c r="DR5" s="264">
        <v>1900</v>
      </c>
      <c r="DS5" s="264">
        <v>22</v>
      </c>
      <c r="DT5" s="264">
        <v>1</v>
      </c>
      <c r="DU5" s="264">
        <v>0</v>
      </c>
      <c r="DV5" s="264">
        <v>1</v>
      </c>
      <c r="DW5" s="264">
        <v>3</v>
      </c>
      <c r="DX5" s="264">
        <v>2</v>
      </c>
      <c r="DY5" s="264">
        <v>0</v>
      </c>
      <c r="DZ5" s="264">
        <v>2</v>
      </c>
      <c r="EA5" s="264">
        <v>9.6999999999999993</v>
      </c>
      <c r="EB5" s="264">
        <v>15.3</v>
      </c>
      <c r="EC5" s="264" t="s">
        <v>1056</v>
      </c>
      <c r="ED5" s="264" t="s">
        <v>1055</v>
      </c>
      <c r="EE5" s="264">
        <v>87</v>
      </c>
      <c r="EF5" s="264">
        <v>59</v>
      </c>
      <c r="EG5" s="264">
        <v>0.2</v>
      </c>
      <c r="EH5" s="264">
        <v>1156</v>
      </c>
      <c r="EI5" s="264">
        <v>1048</v>
      </c>
      <c r="EJ5" s="264">
        <v>25</v>
      </c>
      <c r="EK5" s="264">
        <v>101</v>
      </c>
      <c r="EL5" s="264">
        <v>93</v>
      </c>
      <c r="EM5" s="264">
        <v>26</v>
      </c>
      <c r="EN5" s="264">
        <v>9</v>
      </c>
      <c r="EO5" s="264">
        <v>3</v>
      </c>
      <c r="EP5" s="264">
        <v>156</v>
      </c>
      <c r="EQ5" s="264">
        <v>42</v>
      </c>
      <c r="ER5" s="264">
        <v>20</v>
      </c>
      <c r="ES5" s="264">
        <v>38</v>
      </c>
      <c r="ET5" s="264">
        <v>33</v>
      </c>
      <c r="EU5" s="264">
        <v>3</v>
      </c>
      <c r="EV5" s="264">
        <v>14</v>
      </c>
      <c r="EW5" s="264">
        <v>61</v>
      </c>
      <c r="EX5" s="264">
        <v>15</v>
      </c>
      <c r="EY5" s="264">
        <v>17</v>
      </c>
      <c r="EZ5" s="264">
        <v>94</v>
      </c>
      <c r="FA5" s="264">
        <v>26</v>
      </c>
      <c r="FB5" s="264">
        <v>3</v>
      </c>
      <c r="FC5" s="264">
        <v>0</v>
      </c>
      <c r="FD5" s="264">
        <v>0</v>
      </c>
      <c r="FE5" s="264">
        <v>0</v>
      </c>
      <c r="FF5" s="264">
        <v>34</v>
      </c>
      <c r="FG5" s="264" t="s">
        <v>935</v>
      </c>
      <c r="FH5" s="269">
        <v>6.94</v>
      </c>
    </row>
    <row r="6" spans="1:164" ht="24.95" customHeight="1" thickBot="1" x14ac:dyDescent="0.3">
      <c r="A6" s="29" t="str">
        <f t="shared" si="0"/>
        <v>5º</v>
      </c>
      <c r="B6" s="68" t="str">
        <f t="shared" si="1"/>
        <v>Giovanni Di Lorenzo</v>
      </c>
      <c r="C6" s="83" t="str">
        <f t="shared" si="2"/>
        <v>ITA</v>
      </c>
      <c r="D6" s="63" t="str">
        <f t="shared" si="3"/>
        <v>Napoli</v>
      </c>
      <c r="E6" s="91" t="str">
        <f t="shared" si="4"/>
        <v>Pé Direito</v>
      </c>
      <c r="F6" s="155">
        <f t="shared" si="5"/>
        <v>1.83</v>
      </c>
      <c r="G6" s="157">
        <f t="shared" si="6"/>
        <v>32</v>
      </c>
      <c r="H6" s="276" t="str">
        <f t="shared" si="7"/>
        <v>€467m p/m</v>
      </c>
      <c r="I6" s="64" t="str">
        <f t="shared" si="8"/>
        <v>Não está à venda</v>
      </c>
      <c r="J6" s="89">
        <f t="shared" si="9"/>
        <v>21.56</v>
      </c>
      <c r="K6" s="136">
        <f t="shared" si="10"/>
        <v>24.622222222222224</v>
      </c>
      <c r="L6" s="177">
        <f t="shared" si="11"/>
        <v>18</v>
      </c>
      <c r="M6" s="177">
        <f t="shared" si="12"/>
        <v>123.11111111111111</v>
      </c>
      <c r="N6" s="178">
        <f t="shared" si="13"/>
        <v>0.83</v>
      </c>
      <c r="O6" s="404">
        <f t="shared" si="14"/>
        <v>1</v>
      </c>
      <c r="P6" s="404">
        <f t="shared" si="15"/>
        <v>3</v>
      </c>
      <c r="Q6" s="404">
        <f t="shared" si="16"/>
        <v>4</v>
      </c>
      <c r="R6" s="405">
        <f t="shared" si="17"/>
        <v>0.16245487364620939</v>
      </c>
      <c r="S6" s="55">
        <f t="shared" si="18"/>
        <v>3</v>
      </c>
      <c r="T6" s="61">
        <f t="shared" si="19"/>
        <v>0.12184115523465704</v>
      </c>
      <c r="U6" s="56">
        <f t="shared" si="20"/>
        <v>1.1000000000000001</v>
      </c>
      <c r="V6" s="56">
        <f t="shared" si="21"/>
        <v>4.4675090252707585E-2</v>
      </c>
      <c r="W6" s="56">
        <f t="shared" si="22"/>
        <v>1.1000000000000001</v>
      </c>
      <c r="X6" s="56">
        <f t="shared" si="23"/>
        <v>4.4675090252707585E-2</v>
      </c>
      <c r="Y6" s="56">
        <f t="shared" si="24"/>
        <v>3.29</v>
      </c>
      <c r="Z6" s="56">
        <f t="shared" si="25"/>
        <v>0.1336191335740072</v>
      </c>
      <c r="AA6" s="56">
        <f t="shared" si="26"/>
        <v>4.3900000000000006</v>
      </c>
      <c r="AB6" s="56">
        <f t="shared" si="27"/>
        <v>0.17829422382671481</v>
      </c>
      <c r="AC6" s="55">
        <f t="shared" si="28"/>
        <v>0</v>
      </c>
      <c r="AD6" s="55">
        <f t="shared" si="29"/>
        <v>0</v>
      </c>
      <c r="AE6" s="55">
        <f t="shared" si="30"/>
        <v>0</v>
      </c>
      <c r="AF6" s="58">
        <f t="shared" si="31"/>
        <v>9.9999999999999995E-8</v>
      </c>
      <c r="AG6" s="55">
        <f t="shared" si="32"/>
        <v>95</v>
      </c>
      <c r="AH6" s="56">
        <f t="shared" si="33"/>
        <v>3.8583032490974727</v>
      </c>
      <c r="AI6" s="54">
        <f t="shared" si="34"/>
        <v>49</v>
      </c>
      <c r="AJ6" s="56">
        <f t="shared" si="35"/>
        <v>1.9900722021660648</v>
      </c>
      <c r="AK6" s="55">
        <f t="shared" si="36"/>
        <v>9</v>
      </c>
      <c r="AL6" s="56">
        <f t="shared" si="37"/>
        <v>0.3655234657039711</v>
      </c>
      <c r="AM6" s="104">
        <f t="shared" si="38"/>
        <v>0.51578947368421058</v>
      </c>
      <c r="AN6" s="55">
        <f t="shared" si="39"/>
        <v>37</v>
      </c>
      <c r="AO6" s="56">
        <f t="shared" si="40"/>
        <v>1.5027075812274366</v>
      </c>
      <c r="AP6" s="55">
        <f t="shared" si="41"/>
        <v>323</v>
      </c>
      <c r="AQ6" s="56">
        <f t="shared" si="42"/>
        <v>13.118231046931408</v>
      </c>
      <c r="AR6" s="55">
        <f t="shared" si="43"/>
        <v>125</v>
      </c>
      <c r="AS6" s="56">
        <f t="shared" si="44"/>
        <v>5.0767148014440426</v>
      </c>
      <c r="AT6" s="58">
        <f t="shared" si="45"/>
        <v>0.38699690402476783</v>
      </c>
      <c r="AU6" s="59">
        <f t="shared" si="46"/>
        <v>1290</v>
      </c>
      <c r="AV6" s="60">
        <f t="shared" si="47"/>
        <v>52.391696750902526</v>
      </c>
      <c r="AW6" s="59">
        <f t="shared" si="48"/>
        <v>1119</v>
      </c>
      <c r="AX6" s="60">
        <f t="shared" si="49"/>
        <v>45.446750902527072</v>
      </c>
      <c r="AY6" s="61">
        <f t="shared" si="50"/>
        <v>0.86744186046511629</v>
      </c>
      <c r="AZ6" s="59">
        <f t="shared" si="51"/>
        <v>306</v>
      </c>
      <c r="BA6" s="56">
        <f t="shared" si="52"/>
        <v>12.427797833935017</v>
      </c>
      <c r="BB6" s="56">
        <f t="shared" si="53"/>
        <v>7.5438596491228074</v>
      </c>
      <c r="BC6" s="55">
        <f t="shared" si="54"/>
        <v>1172</v>
      </c>
      <c r="BD6" s="56">
        <f t="shared" si="55"/>
        <v>47.599277978339344</v>
      </c>
      <c r="BE6" s="55">
        <f t="shared" si="56"/>
        <v>118</v>
      </c>
      <c r="BF6" s="56">
        <f t="shared" si="57"/>
        <v>4.7924187725631766</v>
      </c>
      <c r="BG6" s="277">
        <f t="shared" si="58"/>
        <v>0.10068259385665529</v>
      </c>
      <c r="BH6" s="55">
        <f t="shared" si="59"/>
        <v>151</v>
      </c>
      <c r="BI6" s="56">
        <f t="shared" si="60"/>
        <v>6.1326714801444044</v>
      </c>
      <c r="BJ6" s="55">
        <f t="shared" si="61"/>
        <v>16</v>
      </c>
      <c r="BK6" s="56">
        <f t="shared" si="62"/>
        <v>0.64981949458483756</v>
      </c>
      <c r="BL6" s="382">
        <f t="shared" si="63"/>
        <v>0.10596026490066225</v>
      </c>
      <c r="BM6" s="55">
        <f t="shared" si="64"/>
        <v>36</v>
      </c>
      <c r="BN6" s="56">
        <f t="shared" si="65"/>
        <v>1.4620938628158844</v>
      </c>
      <c r="BO6" s="56">
        <f t="shared" si="66"/>
        <v>49.244444444444447</v>
      </c>
      <c r="BP6" s="56">
        <f t="shared" si="67"/>
        <v>61.555555555555557</v>
      </c>
      <c r="BQ6" s="56">
        <f t="shared" si="68"/>
        <v>3.29</v>
      </c>
      <c r="BR6" s="56">
        <f t="shared" si="69"/>
        <v>0.29000000000000004</v>
      </c>
      <c r="BS6" s="278">
        <f t="shared" si="70"/>
        <v>61.29</v>
      </c>
      <c r="BT6" s="279">
        <f t="shared" si="71"/>
        <v>2.4892148014440432</v>
      </c>
      <c r="BU6" s="281">
        <f t="shared" si="72"/>
        <v>52</v>
      </c>
      <c r="BV6" s="282">
        <f t="shared" si="73"/>
        <v>2.1119133574007218</v>
      </c>
      <c r="BW6" s="55">
        <f t="shared" si="74"/>
        <v>0</v>
      </c>
      <c r="BX6" s="56">
        <f t="shared" si="75"/>
        <v>0</v>
      </c>
      <c r="BY6" s="278">
        <f t="shared" si="76"/>
        <v>0</v>
      </c>
      <c r="BZ6" s="279">
        <f t="shared" si="77"/>
        <v>0</v>
      </c>
      <c r="CA6" s="55">
        <f t="shared" si="78"/>
        <v>1749</v>
      </c>
      <c r="CB6" s="56">
        <f t="shared" si="79"/>
        <v>71.033393501805051</v>
      </c>
      <c r="CC6" s="55">
        <f t="shared" si="80"/>
        <v>91</v>
      </c>
      <c r="CD6" s="56">
        <f t="shared" si="81"/>
        <v>3.6958483754512632</v>
      </c>
      <c r="CE6" s="55">
        <f t="shared" si="82"/>
        <v>44</v>
      </c>
      <c r="CF6" s="56">
        <f t="shared" si="83"/>
        <v>1.7870036101083031</v>
      </c>
      <c r="CG6" s="61">
        <f t="shared" si="84"/>
        <v>0.48351648351648352</v>
      </c>
      <c r="CH6" s="197">
        <f t="shared" si="85"/>
        <v>7.3866666666666667</v>
      </c>
      <c r="CI6" s="196">
        <f t="shared" si="86"/>
        <v>0.3</v>
      </c>
      <c r="CJ6" s="274">
        <f t="shared" si="87"/>
        <v>112.38666666666667</v>
      </c>
      <c r="CK6" s="275">
        <f t="shared" si="88"/>
        <v>4.5644404332129964</v>
      </c>
      <c r="CL6" s="55">
        <f t="shared" si="89"/>
        <v>395</v>
      </c>
      <c r="CM6" s="56">
        <f t="shared" si="90"/>
        <v>16.042418772563177</v>
      </c>
      <c r="CN6" s="55">
        <f t="shared" si="91"/>
        <v>249</v>
      </c>
      <c r="CO6" s="56">
        <f t="shared" si="92"/>
        <v>10.112815884476534</v>
      </c>
      <c r="CP6" s="61">
        <f t="shared" si="93"/>
        <v>0.63037974683544307</v>
      </c>
      <c r="CQ6" s="55">
        <f t="shared" si="94"/>
        <v>283.32</v>
      </c>
      <c r="CR6" s="56">
        <f t="shared" si="95"/>
        <v>11.506678700361009</v>
      </c>
      <c r="CS6" s="55">
        <f t="shared" si="96"/>
        <v>185</v>
      </c>
      <c r="CT6" s="196">
        <f t="shared" si="97"/>
        <v>7.5135379061371834</v>
      </c>
      <c r="CU6" s="197">
        <f t="shared" si="98"/>
        <v>348</v>
      </c>
      <c r="CV6" s="196">
        <f t="shared" si="99"/>
        <v>14.133574007220215</v>
      </c>
      <c r="CW6" s="61">
        <f t="shared" si="100"/>
        <v>0.65297190456021459</v>
      </c>
      <c r="CX6" s="61">
        <f t="shared" si="101"/>
        <v>0.63981601603962734</v>
      </c>
      <c r="CY6" s="170">
        <f t="shared" si="102"/>
        <v>298.2</v>
      </c>
      <c r="CZ6" s="171">
        <f t="shared" si="103"/>
        <v>12.111010830324908</v>
      </c>
      <c r="DA6" s="194">
        <f t="shared" si="104"/>
        <v>8.0740072202166075</v>
      </c>
      <c r="DB6" s="172">
        <f t="shared" si="105"/>
        <v>590.93333333333339</v>
      </c>
      <c r="DC6" s="171">
        <f t="shared" si="106"/>
        <v>24</v>
      </c>
      <c r="DD6" s="172">
        <f t="shared" si="107"/>
        <v>353</v>
      </c>
      <c r="DE6" s="171">
        <f t="shared" si="108"/>
        <v>14.336642599277978</v>
      </c>
      <c r="DF6" s="171">
        <f t="shared" si="109"/>
        <v>11.2</v>
      </c>
      <c r="DG6" s="60">
        <f t="shared" si="110"/>
        <v>6.99</v>
      </c>
      <c r="DH6" s="268"/>
      <c r="DI6" s="264" t="s">
        <v>949</v>
      </c>
      <c r="DJ6" s="264" t="s">
        <v>696</v>
      </c>
      <c r="DK6" s="264">
        <v>32</v>
      </c>
      <c r="DL6" s="264" t="s">
        <v>394</v>
      </c>
      <c r="DM6" s="264" t="s">
        <v>939</v>
      </c>
      <c r="DN6" s="264" t="s">
        <v>614</v>
      </c>
      <c r="DO6" s="264" t="s">
        <v>573</v>
      </c>
      <c r="DP6" s="265">
        <v>46934</v>
      </c>
      <c r="DQ6" s="264" t="s">
        <v>892</v>
      </c>
      <c r="DR6" s="264">
        <v>2216</v>
      </c>
      <c r="DS6" s="264" t="s">
        <v>950</v>
      </c>
      <c r="DT6" s="264">
        <v>3</v>
      </c>
      <c r="DU6" s="264">
        <v>0</v>
      </c>
      <c r="DV6" s="264">
        <v>1</v>
      </c>
      <c r="DW6" s="264">
        <v>3</v>
      </c>
      <c r="DX6" s="264">
        <v>4</v>
      </c>
      <c r="DY6" s="264">
        <v>0</v>
      </c>
      <c r="DZ6" s="264">
        <v>6</v>
      </c>
      <c r="EA6" s="264">
        <v>11.2</v>
      </c>
      <c r="EB6" s="264">
        <v>24</v>
      </c>
      <c r="EC6" s="264" t="s">
        <v>1057</v>
      </c>
      <c r="ED6" s="264" t="s">
        <v>1058</v>
      </c>
      <c r="EE6" s="264">
        <v>91</v>
      </c>
      <c r="EF6" s="264">
        <v>44</v>
      </c>
      <c r="EG6" s="264">
        <v>0.3</v>
      </c>
      <c r="EH6" s="264">
        <v>1290</v>
      </c>
      <c r="EI6" s="264">
        <v>1119</v>
      </c>
      <c r="EJ6" s="264">
        <v>36</v>
      </c>
      <c r="EK6" s="264">
        <v>118</v>
      </c>
      <c r="EL6" s="264">
        <v>151</v>
      </c>
      <c r="EM6" s="264">
        <v>16</v>
      </c>
      <c r="EN6" s="264">
        <v>14</v>
      </c>
      <c r="EO6" s="264">
        <v>3</v>
      </c>
      <c r="EP6" s="264">
        <v>213</v>
      </c>
      <c r="EQ6" s="264">
        <v>61</v>
      </c>
      <c r="ER6" s="264">
        <v>37</v>
      </c>
      <c r="ES6" s="264">
        <v>58</v>
      </c>
      <c r="ET6" s="264">
        <v>49</v>
      </c>
      <c r="EU6" s="264">
        <v>0</v>
      </c>
      <c r="EV6" s="264">
        <v>15</v>
      </c>
      <c r="EW6" s="264">
        <v>56</v>
      </c>
      <c r="EX6" s="264">
        <v>6</v>
      </c>
      <c r="EY6" s="264">
        <v>15</v>
      </c>
      <c r="EZ6" s="264">
        <v>151</v>
      </c>
      <c r="FA6" s="264">
        <v>16</v>
      </c>
      <c r="FB6" s="264">
        <v>5</v>
      </c>
      <c r="FC6" s="264">
        <v>0</v>
      </c>
      <c r="FD6" s="264">
        <v>0</v>
      </c>
      <c r="FE6" s="264">
        <v>0</v>
      </c>
      <c r="FF6" s="264">
        <v>52</v>
      </c>
      <c r="FG6" s="264" t="s">
        <v>951</v>
      </c>
      <c r="FH6" s="269">
        <v>6.99</v>
      </c>
    </row>
    <row r="7" spans="1:164" ht="24.95" customHeight="1" thickBot="1" x14ac:dyDescent="0.3">
      <c r="A7" s="29" t="str">
        <f t="shared" si="0"/>
        <v>6º</v>
      </c>
      <c r="B7" s="68" t="str">
        <f t="shared" si="1"/>
        <v>Lorenzo De Silvestri</v>
      </c>
      <c r="C7" s="83" t="str">
        <f t="shared" si="2"/>
        <v>ITA</v>
      </c>
      <c r="D7" s="63" t="str">
        <f t="shared" si="3"/>
        <v>Bologna</v>
      </c>
      <c r="E7" s="91" t="str">
        <f t="shared" si="4"/>
        <v>Pé Direito</v>
      </c>
      <c r="F7" s="155">
        <f t="shared" si="5"/>
        <v>1.86</v>
      </c>
      <c r="G7" s="157">
        <f t="shared" si="6"/>
        <v>37</v>
      </c>
      <c r="H7" s="276" t="str">
        <f t="shared" si="7"/>
        <v>€31m p/m</v>
      </c>
      <c r="I7" s="64" t="str">
        <f t="shared" si="8"/>
        <v>137M</v>
      </c>
      <c r="J7" s="89">
        <f t="shared" si="9"/>
        <v>21.56</v>
      </c>
      <c r="K7" s="136">
        <f t="shared" si="10"/>
        <v>21.066666666666666</v>
      </c>
      <c r="L7" s="177">
        <f t="shared" si="11"/>
        <v>25</v>
      </c>
      <c r="M7" s="177">
        <f t="shared" si="12"/>
        <v>75.84</v>
      </c>
      <c r="N7" s="178">
        <f t="shared" si="13"/>
        <v>1</v>
      </c>
      <c r="O7" s="404">
        <f t="shared" si="14"/>
        <v>0</v>
      </c>
      <c r="P7" s="404">
        <f t="shared" si="15"/>
        <v>3</v>
      </c>
      <c r="Q7" s="404">
        <f t="shared" si="16"/>
        <v>3</v>
      </c>
      <c r="R7" s="405">
        <f t="shared" si="17"/>
        <v>0.14240506329113925</v>
      </c>
      <c r="S7" s="55">
        <f t="shared" si="18"/>
        <v>2</v>
      </c>
      <c r="T7" s="61">
        <f t="shared" si="19"/>
        <v>9.49367088607595E-2</v>
      </c>
      <c r="U7" s="56">
        <f t="shared" si="20"/>
        <v>0.68</v>
      </c>
      <c r="V7" s="56">
        <f t="shared" si="21"/>
        <v>3.2278481012658233E-2</v>
      </c>
      <c r="W7" s="56">
        <f t="shared" si="22"/>
        <v>0.68</v>
      </c>
      <c r="X7" s="56">
        <f t="shared" si="23"/>
        <v>3.2278481012658233E-2</v>
      </c>
      <c r="Y7" s="56">
        <f t="shared" si="24"/>
        <v>1.1200000000000001</v>
      </c>
      <c r="Z7" s="56">
        <f t="shared" si="25"/>
        <v>5.3164556962025322E-2</v>
      </c>
      <c r="AA7" s="56">
        <f t="shared" si="26"/>
        <v>1.8000000000000003</v>
      </c>
      <c r="AB7" s="56">
        <f t="shared" si="27"/>
        <v>8.5443037974683556E-2</v>
      </c>
      <c r="AC7" s="55">
        <f t="shared" si="28"/>
        <v>0</v>
      </c>
      <c r="AD7" s="55">
        <f t="shared" si="29"/>
        <v>0</v>
      </c>
      <c r="AE7" s="55">
        <f t="shared" si="30"/>
        <v>0</v>
      </c>
      <c r="AF7" s="58">
        <f t="shared" si="31"/>
        <v>9.9999999999999995E-8</v>
      </c>
      <c r="AG7" s="55">
        <f t="shared" si="32"/>
        <v>90</v>
      </c>
      <c r="AH7" s="56">
        <f t="shared" si="33"/>
        <v>4.2721518987341769</v>
      </c>
      <c r="AI7" s="54">
        <f t="shared" si="34"/>
        <v>42</v>
      </c>
      <c r="AJ7" s="56">
        <f t="shared" si="35"/>
        <v>1.9936708860759493</v>
      </c>
      <c r="AK7" s="55">
        <f t="shared" si="36"/>
        <v>10</v>
      </c>
      <c r="AL7" s="56">
        <f t="shared" si="37"/>
        <v>0.4746835443037975</v>
      </c>
      <c r="AM7" s="104">
        <f t="shared" si="38"/>
        <v>0.46666666666666667</v>
      </c>
      <c r="AN7" s="55">
        <f t="shared" si="39"/>
        <v>38</v>
      </c>
      <c r="AO7" s="56">
        <f t="shared" si="40"/>
        <v>1.8037974683544304</v>
      </c>
      <c r="AP7" s="55">
        <f t="shared" si="41"/>
        <v>243</v>
      </c>
      <c r="AQ7" s="56">
        <f t="shared" si="42"/>
        <v>11.534810126582279</v>
      </c>
      <c r="AR7" s="55">
        <f t="shared" si="43"/>
        <v>98</v>
      </c>
      <c r="AS7" s="56">
        <f t="shared" si="44"/>
        <v>4.6518987341772151</v>
      </c>
      <c r="AT7" s="58">
        <f t="shared" si="45"/>
        <v>0.40329218106995884</v>
      </c>
      <c r="AU7" s="59">
        <f t="shared" si="46"/>
        <v>1187</v>
      </c>
      <c r="AV7" s="60">
        <f t="shared" si="47"/>
        <v>56.344936708860757</v>
      </c>
      <c r="AW7" s="59">
        <f t="shared" si="48"/>
        <v>996</v>
      </c>
      <c r="AX7" s="60">
        <f t="shared" si="49"/>
        <v>47.278481012658226</v>
      </c>
      <c r="AY7" s="61">
        <f t="shared" si="50"/>
        <v>0.83909014321819708</v>
      </c>
      <c r="AZ7" s="59">
        <f t="shared" si="51"/>
        <v>235</v>
      </c>
      <c r="BA7" s="56">
        <f t="shared" si="52"/>
        <v>11.155063291139241</v>
      </c>
      <c r="BB7" s="56">
        <f t="shared" si="53"/>
        <v>6.2146596858638743</v>
      </c>
      <c r="BC7" s="55">
        <f t="shared" si="54"/>
        <v>1026</v>
      </c>
      <c r="BD7" s="56">
        <f t="shared" si="55"/>
        <v>48.702531645569621</v>
      </c>
      <c r="BE7" s="55">
        <f t="shared" si="56"/>
        <v>161</v>
      </c>
      <c r="BF7" s="56">
        <f t="shared" si="57"/>
        <v>7.6424050632911396</v>
      </c>
      <c r="BG7" s="277">
        <f t="shared" si="58"/>
        <v>0.15692007797270954</v>
      </c>
      <c r="BH7" s="55">
        <f t="shared" si="59"/>
        <v>54</v>
      </c>
      <c r="BI7" s="56">
        <f t="shared" si="60"/>
        <v>2.5632911392405062</v>
      </c>
      <c r="BJ7" s="55">
        <f t="shared" si="61"/>
        <v>10</v>
      </c>
      <c r="BK7" s="56">
        <f t="shared" si="62"/>
        <v>0.4746835443037975</v>
      </c>
      <c r="BL7" s="382">
        <f t="shared" si="63"/>
        <v>0.18518518518518517</v>
      </c>
      <c r="BM7" s="55">
        <f t="shared" si="64"/>
        <v>17</v>
      </c>
      <c r="BN7" s="56">
        <f t="shared" si="65"/>
        <v>0.80696202531645567</v>
      </c>
      <c r="BO7" s="56">
        <f t="shared" si="66"/>
        <v>82.434782608695656</v>
      </c>
      <c r="BP7" s="56">
        <f t="shared" si="67"/>
        <v>111.52941176470588</v>
      </c>
      <c r="BQ7" s="56">
        <f t="shared" si="68"/>
        <v>1.1200000000000001</v>
      </c>
      <c r="BR7" s="56">
        <f t="shared" si="69"/>
        <v>-1.88</v>
      </c>
      <c r="BS7" s="278">
        <f t="shared" si="70"/>
        <v>31.12</v>
      </c>
      <c r="BT7" s="279">
        <f t="shared" si="71"/>
        <v>1.4772151898734178</v>
      </c>
      <c r="BU7" s="281">
        <f t="shared" si="72"/>
        <v>20</v>
      </c>
      <c r="BV7" s="282">
        <f t="shared" si="73"/>
        <v>0.949367088607595</v>
      </c>
      <c r="BW7" s="55">
        <f t="shared" si="74"/>
        <v>3</v>
      </c>
      <c r="BX7" s="56">
        <f t="shared" si="75"/>
        <v>0.14240506329113925</v>
      </c>
      <c r="BY7" s="278">
        <f t="shared" si="76"/>
        <v>0</v>
      </c>
      <c r="BZ7" s="279">
        <f t="shared" si="77"/>
        <v>0</v>
      </c>
      <c r="CA7" s="55">
        <f t="shared" si="78"/>
        <v>1551</v>
      </c>
      <c r="CB7" s="56">
        <f t="shared" si="79"/>
        <v>73.62341772151899</v>
      </c>
      <c r="CC7" s="55">
        <f t="shared" si="80"/>
        <v>105</v>
      </c>
      <c r="CD7" s="56">
        <f t="shared" si="81"/>
        <v>4.9841772151898738</v>
      </c>
      <c r="CE7" s="55">
        <f t="shared" si="82"/>
        <v>75</v>
      </c>
      <c r="CF7" s="56">
        <f t="shared" si="83"/>
        <v>3.5601265822784809</v>
      </c>
      <c r="CG7" s="61">
        <f t="shared" si="84"/>
        <v>0.7142857142857143</v>
      </c>
      <c r="CH7" s="197">
        <f t="shared" si="85"/>
        <v>16.853333333333335</v>
      </c>
      <c r="CI7" s="196">
        <f t="shared" si="86"/>
        <v>0.8</v>
      </c>
      <c r="CJ7" s="274">
        <f t="shared" si="87"/>
        <v>151.35333333333332</v>
      </c>
      <c r="CK7" s="275">
        <f t="shared" si="88"/>
        <v>7.1844936708860754</v>
      </c>
      <c r="CL7" s="55">
        <f t="shared" si="89"/>
        <v>277</v>
      </c>
      <c r="CM7" s="56">
        <f t="shared" si="90"/>
        <v>13.148734177215189</v>
      </c>
      <c r="CN7" s="55">
        <f t="shared" si="91"/>
        <v>226</v>
      </c>
      <c r="CO7" s="56">
        <f t="shared" si="92"/>
        <v>10.727848101265822</v>
      </c>
      <c r="CP7" s="61">
        <f t="shared" si="93"/>
        <v>0.81588447653429608</v>
      </c>
      <c r="CQ7" s="55">
        <f t="shared" si="94"/>
        <v>351.64</v>
      </c>
      <c r="CR7" s="56">
        <f t="shared" si="95"/>
        <v>16.691772151898732</v>
      </c>
      <c r="CS7" s="55">
        <f t="shared" si="96"/>
        <v>263</v>
      </c>
      <c r="CT7" s="196">
        <f t="shared" si="97"/>
        <v>12.484177215189874</v>
      </c>
      <c r="CU7" s="197">
        <f t="shared" si="98"/>
        <v>283</v>
      </c>
      <c r="CV7" s="196">
        <f t="shared" si="99"/>
        <v>13.433544303797468</v>
      </c>
      <c r="CW7" s="61">
        <f t="shared" si="100"/>
        <v>0.74792401319531343</v>
      </c>
      <c r="CX7" s="61">
        <f t="shared" si="101"/>
        <v>0.77786968694324254</v>
      </c>
      <c r="CY7" s="170">
        <f t="shared" si="102"/>
        <v>243.7</v>
      </c>
      <c r="CZ7" s="171">
        <f t="shared" si="103"/>
        <v>11.568037974683543</v>
      </c>
      <c r="DA7" s="194">
        <f t="shared" si="104"/>
        <v>7.7120253164556951</v>
      </c>
      <c r="DB7" s="172">
        <f t="shared" si="105"/>
        <v>353.92</v>
      </c>
      <c r="DC7" s="171">
        <f t="shared" si="106"/>
        <v>16.8</v>
      </c>
      <c r="DD7" s="172">
        <f t="shared" si="107"/>
        <v>265</v>
      </c>
      <c r="DE7" s="171">
        <f t="shared" si="108"/>
        <v>12.579113924050633</v>
      </c>
      <c r="DF7" s="171">
        <f t="shared" si="109"/>
        <v>14.6</v>
      </c>
      <c r="DG7" s="60">
        <f t="shared" si="110"/>
        <v>6.97</v>
      </c>
      <c r="DH7" s="270" t="s">
        <v>19</v>
      </c>
      <c r="DI7" s="266" t="s">
        <v>959</v>
      </c>
      <c r="DJ7" s="266" t="s">
        <v>541</v>
      </c>
      <c r="DK7" s="266">
        <v>37</v>
      </c>
      <c r="DL7" s="266" t="s">
        <v>960</v>
      </c>
      <c r="DM7" s="266" t="s">
        <v>894</v>
      </c>
      <c r="DN7" s="266" t="s">
        <v>614</v>
      </c>
      <c r="DO7" s="266" t="s">
        <v>573</v>
      </c>
      <c r="DP7" s="267">
        <v>46203</v>
      </c>
      <c r="DQ7" s="266" t="s">
        <v>719</v>
      </c>
      <c r="DR7" s="266">
        <v>1896</v>
      </c>
      <c r="DS7" s="266">
        <v>25</v>
      </c>
      <c r="DT7" s="266">
        <v>2</v>
      </c>
      <c r="DU7" s="266">
        <v>0</v>
      </c>
      <c r="DV7" s="266">
        <v>0</v>
      </c>
      <c r="DW7" s="266">
        <v>3</v>
      </c>
      <c r="DX7" s="266">
        <v>8</v>
      </c>
      <c r="DY7" s="266">
        <v>0</v>
      </c>
      <c r="DZ7" s="266">
        <v>3</v>
      </c>
      <c r="EA7" s="266">
        <v>14.6</v>
      </c>
      <c r="EB7" s="266">
        <v>16.8</v>
      </c>
      <c r="EC7" s="266" t="s">
        <v>1059</v>
      </c>
      <c r="ED7" s="266" t="s">
        <v>1060</v>
      </c>
      <c r="EE7" s="266">
        <v>105</v>
      </c>
      <c r="EF7" s="266">
        <v>75</v>
      </c>
      <c r="EG7" s="266">
        <v>0.8</v>
      </c>
      <c r="EH7" s="266">
        <v>1187</v>
      </c>
      <c r="EI7" s="266">
        <v>996</v>
      </c>
      <c r="EJ7" s="266">
        <v>17</v>
      </c>
      <c r="EK7" s="266">
        <v>161</v>
      </c>
      <c r="EL7" s="266">
        <v>54</v>
      </c>
      <c r="EM7" s="266">
        <v>10</v>
      </c>
      <c r="EN7" s="266">
        <v>10</v>
      </c>
      <c r="EO7" s="266">
        <v>3</v>
      </c>
      <c r="EP7" s="266">
        <v>143</v>
      </c>
      <c r="EQ7" s="266">
        <v>43</v>
      </c>
      <c r="ER7" s="266">
        <v>38</v>
      </c>
      <c r="ES7" s="266">
        <v>52</v>
      </c>
      <c r="ET7" s="266">
        <v>42</v>
      </c>
      <c r="EU7" s="266">
        <v>3</v>
      </c>
      <c r="EV7" s="266">
        <v>10</v>
      </c>
      <c r="EW7" s="266">
        <v>91</v>
      </c>
      <c r="EX7" s="266">
        <v>12</v>
      </c>
      <c r="EY7" s="266">
        <v>24</v>
      </c>
      <c r="EZ7" s="266">
        <v>54</v>
      </c>
      <c r="FA7" s="266">
        <v>10</v>
      </c>
      <c r="FB7" s="266">
        <v>1</v>
      </c>
      <c r="FC7" s="266">
        <v>0</v>
      </c>
      <c r="FD7" s="266">
        <v>0</v>
      </c>
      <c r="FE7" s="266">
        <v>0</v>
      </c>
      <c r="FF7" s="266">
        <v>20</v>
      </c>
      <c r="FG7" s="266" t="s">
        <v>961</v>
      </c>
      <c r="FH7" s="271">
        <v>6.97</v>
      </c>
    </row>
    <row r="8" spans="1:164" ht="24.95" customHeight="1" thickBot="1" x14ac:dyDescent="0.3">
      <c r="A8" s="29" t="str">
        <f t="shared" si="0"/>
        <v>7º</v>
      </c>
      <c r="B8" s="68" t="str">
        <f t="shared" si="1"/>
        <v>Niccolò Fortini</v>
      </c>
      <c r="C8" s="83" t="str">
        <f t="shared" si="2"/>
        <v>ITA</v>
      </c>
      <c r="D8" s="63" t="str">
        <f t="shared" si="3"/>
        <v>Fiorentina</v>
      </c>
      <c r="E8" s="91" t="str">
        <f t="shared" si="4"/>
        <v>Pé Direito</v>
      </c>
      <c r="F8" s="155">
        <f t="shared" si="5"/>
        <v>1.85</v>
      </c>
      <c r="G8" s="157">
        <f t="shared" si="6"/>
        <v>19</v>
      </c>
      <c r="H8" s="276" t="str">
        <f t="shared" si="7"/>
        <v>€95m p/m</v>
      </c>
      <c r="I8" s="64" t="str">
        <f t="shared" si="8"/>
        <v>8,85M</v>
      </c>
      <c r="J8" s="89">
        <f t="shared" si="9"/>
        <v>21.56</v>
      </c>
      <c r="K8" s="136">
        <f t="shared" si="10"/>
        <v>19.277777777777779</v>
      </c>
      <c r="L8" s="177">
        <f t="shared" si="11"/>
        <v>28</v>
      </c>
      <c r="M8" s="177">
        <f t="shared" si="12"/>
        <v>61.964285714285715</v>
      </c>
      <c r="N8" s="178">
        <f t="shared" si="13"/>
        <v>0.71</v>
      </c>
      <c r="O8" s="404">
        <f t="shared" si="14"/>
        <v>1</v>
      </c>
      <c r="P8" s="404">
        <f t="shared" si="15"/>
        <v>3</v>
      </c>
      <c r="Q8" s="404">
        <f t="shared" si="16"/>
        <v>4</v>
      </c>
      <c r="R8" s="405">
        <f t="shared" si="17"/>
        <v>0.207492795389049</v>
      </c>
      <c r="S8" s="55">
        <f t="shared" si="18"/>
        <v>1</v>
      </c>
      <c r="T8" s="61">
        <f t="shared" si="19"/>
        <v>5.1873198847262249E-2</v>
      </c>
      <c r="U8" s="56">
        <f t="shared" si="20"/>
        <v>1.3</v>
      </c>
      <c r="V8" s="56">
        <f t="shared" si="21"/>
        <v>6.7435158501440925E-2</v>
      </c>
      <c r="W8" s="56">
        <f t="shared" si="22"/>
        <v>1.3</v>
      </c>
      <c r="X8" s="56">
        <f t="shared" si="23"/>
        <v>6.7435158501440925E-2</v>
      </c>
      <c r="Y8" s="56">
        <f t="shared" si="24"/>
        <v>2.3199999999999998</v>
      </c>
      <c r="Z8" s="56">
        <f t="shared" si="25"/>
        <v>0.1203458213256484</v>
      </c>
      <c r="AA8" s="56">
        <f t="shared" si="26"/>
        <v>3.62</v>
      </c>
      <c r="AB8" s="56">
        <f t="shared" si="27"/>
        <v>0.18778097982708933</v>
      </c>
      <c r="AC8" s="55">
        <f t="shared" si="28"/>
        <v>0</v>
      </c>
      <c r="AD8" s="55">
        <f t="shared" si="29"/>
        <v>0</v>
      </c>
      <c r="AE8" s="55">
        <f t="shared" si="30"/>
        <v>0</v>
      </c>
      <c r="AF8" s="58">
        <f t="shared" si="31"/>
        <v>9.9999999999999995E-8</v>
      </c>
      <c r="AG8" s="55">
        <f t="shared" si="32"/>
        <v>94</v>
      </c>
      <c r="AH8" s="56">
        <f t="shared" si="33"/>
        <v>4.8760806916426507</v>
      </c>
      <c r="AI8" s="54">
        <f t="shared" si="34"/>
        <v>56</v>
      </c>
      <c r="AJ8" s="56">
        <f t="shared" si="35"/>
        <v>2.9048991354466858</v>
      </c>
      <c r="AK8" s="55">
        <f t="shared" si="36"/>
        <v>20</v>
      </c>
      <c r="AL8" s="56">
        <f t="shared" si="37"/>
        <v>1.0374639769452449</v>
      </c>
      <c r="AM8" s="104">
        <f t="shared" si="38"/>
        <v>0.5957446808510638</v>
      </c>
      <c r="AN8" s="55">
        <f t="shared" si="39"/>
        <v>18</v>
      </c>
      <c r="AO8" s="56">
        <f t="shared" si="40"/>
        <v>0.93371757925072041</v>
      </c>
      <c r="AP8" s="55">
        <f t="shared" si="41"/>
        <v>265</v>
      </c>
      <c r="AQ8" s="56">
        <f t="shared" si="42"/>
        <v>13.746397694524495</v>
      </c>
      <c r="AR8" s="55">
        <f t="shared" si="43"/>
        <v>114</v>
      </c>
      <c r="AS8" s="56">
        <f t="shared" si="44"/>
        <v>5.9135446685878961</v>
      </c>
      <c r="AT8" s="58">
        <f t="shared" si="45"/>
        <v>0.43018867924528303</v>
      </c>
      <c r="AU8" s="59">
        <f t="shared" si="46"/>
        <v>969</v>
      </c>
      <c r="AV8" s="60">
        <f t="shared" si="47"/>
        <v>50.265129682997113</v>
      </c>
      <c r="AW8" s="59">
        <f t="shared" si="48"/>
        <v>842</v>
      </c>
      <c r="AX8" s="60">
        <f t="shared" si="49"/>
        <v>43.677233429394811</v>
      </c>
      <c r="AY8" s="61">
        <f t="shared" si="50"/>
        <v>0.86893704850361198</v>
      </c>
      <c r="AZ8" s="59">
        <f t="shared" si="51"/>
        <v>235</v>
      </c>
      <c r="BA8" s="56">
        <f t="shared" si="52"/>
        <v>12.190201729106628</v>
      </c>
      <c r="BB8" s="56">
        <f t="shared" si="53"/>
        <v>7.6299212598425195</v>
      </c>
      <c r="BC8" s="55">
        <f t="shared" si="54"/>
        <v>875</v>
      </c>
      <c r="BD8" s="56">
        <f t="shared" si="55"/>
        <v>45.389048991354464</v>
      </c>
      <c r="BE8" s="55">
        <f t="shared" si="56"/>
        <v>94</v>
      </c>
      <c r="BF8" s="56">
        <f t="shared" si="57"/>
        <v>4.8760806916426507</v>
      </c>
      <c r="BG8" s="277">
        <f t="shared" si="58"/>
        <v>0.10742857142857143</v>
      </c>
      <c r="BH8" s="55">
        <f t="shared" si="59"/>
        <v>134</v>
      </c>
      <c r="BI8" s="56">
        <f t="shared" si="60"/>
        <v>6.9510086455331406</v>
      </c>
      <c r="BJ8" s="55">
        <f t="shared" si="61"/>
        <v>26</v>
      </c>
      <c r="BK8" s="56">
        <f t="shared" si="62"/>
        <v>1.3487031700288183</v>
      </c>
      <c r="BL8" s="382">
        <f t="shared" si="63"/>
        <v>0.19402985074626866</v>
      </c>
      <c r="BM8" s="55">
        <f t="shared" si="64"/>
        <v>25</v>
      </c>
      <c r="BN8" s="56">
        <f t="shared" si="65"/>
        <v>1.2968299711815561</v>
      </c>
      <c r="BO8" s="56">
        <f t="shared" si="66"/>
        <v>37.717391304347828</v>
      </c>
      <c r="BP8" s="56">
        <f t="shared" si="67"/>
        <v>69.400000000000006</v>
      </c>
      <c r="BQ8" s="56">
        <f t="shared" si="68"/>
        <v>2.3199999999999998</v>
      </c>
      <c r="BR8" s="56">
        <f t="shared" si="69"/>
        <v>-0.68000000000000016</v>
      </c>
      <c r="BS8" s="278">
        <f t="shared" si="70"/>
        <v>62.32</v>
      </c>
      <c r="BT8" s="279">
        <f t="shared" si="71"/>
        <v>3.2327377521613831</v>
      </c>
      <c r="BU8" s="281">
        <f t="shared" si="72"/>
        <v>50</v>
      </c>
      <c r="BV8" s="282">
        <f t="shared" si="73"/>
        <v>2.5936599423631121</v>
      </c>
      <c r="BW8" s="55">
        <f t="shared" si="74"/>
        <v>4</v>
      </c>
      <c r="BX8" s="56">
        <f t="shared" si="75"/>
        <v>0.207492795389049</v>
      </c>
      <c r="BY8" s="278">
        <f t="shared" si="76"/>
        <v>0</v>
      </c>
      <c r="BZ8" s="279">
        <f t="shared" si="77"/>
        <v>0</v>
      </c>
      <c r="CA8" s="55">
        <f t="shared" si="78"/>
        <v>1405</v>
      </c>
      <c r="CB8" s="56">
        <f t="shared" si="79"/>
        <v>72.88184438040345</v>
      </c>
      <c r="CC8" s="55">
        <f t="shared" si="80"/>
        <v>70</v>
      </c>
      <c r="CD8" s="56">
        <f t="shared" si="81"/>
        <v>3.6311239193083571</v>
      </c>
      <c r="CE8" s="55">
        <f t="shared" si="82"/>
        <v>29</v>
      </c>
      <c r="CF8" s="56">
        <f t="shared" si="83"/>
        <v>1.5043227665706052</v>
      </c>
      <c r="CG8" s="61">
        <f t="shared" si="84"/>
        <v>0.41428571428571431</v>
      </c>
      <c r="CH8" s="197">
        <f t="shared" si="85"/>
        <v>1.927777777777778</v>
      </c>
      <c r="CI8" s="196">
        <f t="shared" si="86"/>
        <v>0.1</v>
      </c>
      <c r="CJ8" s="274">
        <f t="shared" si="87"/>
        <v>121.92777777777778</v>
      </c>
      <c r="CK8" s="275">
        <f t="shared" si="88"/>
        <v>6.3247838616714693</v>
      </c>
      <c r="CL8" s="55">
        <f t="shared" si="89"/>
        <v>360</v>
      </c>
      <c r="CM8" s="56">
        <f t="shared" si="90"/>
        <v>18.67435158501441</v>
      </c>
      <c r="CN8" s="55">
        <f t="shared" si="91"/>
        <v>237</v>
      </c>
      <c r="CO8" s="56">
        <f t="shared" si="92"/>
        <v>12.293948126801153</v>
      </c>
      <c r="CP8" s="61">
        <f t="shared" si="93"/>
        <v>0.65833333333333333</v>
      </c>
      <c r="CQ8" s="55">
        <f t="shared" si="94"/>
        <v>286.98</v>
      </c>
      <c r="CR8" s="56">
        <f t="shared" si="95"/>
        <v>14.88657060518732</v>
      </c>
      <c r="CS8" s="55">
        <f t="shared" si="96"/>
        <v>200</v>
      </c>
      <c r="CT8" s="196">
        <f t="shared" si="97"/>
        <v>10.374639769452449</v>
      </c>
      <c r="CU8" s="197">
        <f t="shared" si="98"/>
        <v>260.5</v>
      </c>
      <c r="CV8" s="196">
        <f t="shared" si="99"/>
        <v>13.512968299711815</v>
      </c>
      <c r="CW8" s="61">
        <f t="shared" si="100"/>
        <v>0.69691267684159175</v>
      </c>
      <c r="CX8" s="61">
        <f t="shared" si="101"/>
        <v>0.67544591795727837</v>
      </c>
      <c r="CY8" s="170">
        <f t="shared" si="102"/>
        <v>264.5</v>
      </c>
      <c r="CZ8" s="171">
        <f t="shared" si="103"/>
        <v>13.720461095100864</v>
      </c>
      <c r="DA8" s="194">
        <f t="shared" si="104"/>
        <v>9.1469740634005756</v>
      </c>
      <c r="DB8" s="172">
        <f t="shared" si="105"/>
        <v>562.91111111111115</v>
      </c>
      <c r="DC8" s="171">
        <f t="shared" si="106"/>
        <v>29.2</v>
      </c>
      <c r="DD8" s="172">
        <f t="shared" si="107"/>
        <v>276</v>
      </c>
      <c r="DE8" s="171">
        <f t="shared" si="108"/>
        <v>14.317002881844379</v>
      </c>
      <c r="DF8" s="171">
        <f t="shared" si="109"/>
        <v>14.5</v>
      </c>
      <c r="DG8" s="60">
        <f t="shared" si="110"/>
        <v>6.85</v>
      </c>
      <c r="DH8" s="270"/>
      <c r="DI8" s="266" t="s">
        <v>977</v>
      </c>
      <c r="DJ8" s="266" t="s">
        <v>751</v>
      </c>
      <c r="DK8" s="266">
        <v>19</v>
      </c>
      <c r="DL8" s="266" t="s">
        <v>921</v>
      </c>
      <c r="DM8" s="266" t="s">
        <v>978</v>
      </c>
      <c r="DN8" s="266" t="s">
        <v>614</v>
      </c>
      <c r="DO8" s="266" t="s">
        <v>573</v>
      </c>
      <c r="DP8" s="267">
        <v>47664</v>
      </c>
      <c r="DQ8" s="266" t="s">
        <v>717</v>
      </c>
      <c r="DR8" s="266">
        <v>1735</v>
      </c>
      <c r="DS8" s="266" t="s">
        <v>979</v>
      </c>
      <c r="DT8" s="266">
        <v>1</v>
      </c>
      <c r="DU8" s="266">
        <v>0</v>
      </c>
      <c r="DV8" s="266">
        <v>1</v>
      </c>
      <c r="DW8" s="266">
        <v>3</v>
      </c>
      <c r="DX8" s="266">
        <v>6</v>
      </c>
      <c r="DY8" s="266">
        <v>0</v>
      </c>
      <c r="DZ8" s="266">
        <v>9</v>
      </c>
      <c r="EA8" s="266">
        <v>14.5</v>
      </c>
      <c r="EB8" s="266">
        <v>29.2</v>
      </c>
      <c r="EC8" s="266" t="s">
        <v>1061</v>
      </c>
      <c r="ED8" s="266" t="s">
        <v>1062</v>
      </c>
      <c r="EE8" s="266">
        <v>70</v>
      </c>
      <c r="EF8" s="266">
        <v>29</v>
      </c>
      <c r="EG8" s="266">
        <v>0.1</v>
      </c>
      <c r="EH8" s="266">
        <v>969</v>
      </c>
      <c r="EI8" s="266">
        <v>842</v>
      </c>
      <c r="EJ8" s="266">
        <v>25</v>
      </c>
      <c r="EK8" s="266">
        <v>94</v>
      </c>
      <c r="EL8" s="266">
        <v>134</v>
      </c>
      <c r="EM8" s="266">
        <v>26</v>
      </c>
      <c r="EN8" s="266">
        <v>27</v>
      </c>
      <c r="EO8" s="266">
        <v>12</v>
      </c>
      <c r="EP8" s="266">
        <v>158</v>
      </c>
      <c r="EQ8" s="266">
        <v>41</v>
      </c>
      <c r="ER8" s="266">
        <v>18</v>
      </c>
      <c r="ES8" s="266">
        <v>76</v>
      </c>
      <c r="ET8" s="266">
        <v>56</v>
      </c>
      <c r="EU8" s="266">
        <v>4</v>
      </c>
      <c r="EV8" s="266">
        <v>13</v>
      </c>
      <c r="EW8" s="266">
        <v>62</v>
      </c>
      <c r="EX8" s="266">
        <v>6</v>
      </c>
      <c r="EY8" s="266">
        <v>22</v>
      </c>
      <c r="EZ8" s="266">
        <v>134</v>
      </c>
      <c r="FA8" s="266">
        <v>26</v>
      </c>
      <c r="FB8" s="266">
        <v>2</v>
      </c>
      <c r="FC8" s="266">
        <v>0</v>
      </c>
      <c r="FD8" s="266">
        <v>0</v>
      </c>
      <c r="FE8" s="266">
        <v>0</v>
      </c>
      <c r="FF8" s="266">
        <v>50</v>
      </c>
      <c r="FG8" s="266" t="s">
        <v>980</v>
      </c>
      <c r="FH8" s="271">
        <v>6.85</v>
      </c>
    </row>
    <row r="9" spans="1:164" ht="24.95" customHeight="1" thickBot="1" x14ac:dyDescent="0.3">
      <c r="A9" s="29" t="str">
        <f t="shared" si="0"/>
        <v>8º</v>
      </c>
      <c r="B9" s="68" t="str">
        <f t="shared" si="1"/>
        <v>Raoul Bellanova</v>
      </c>
      <c r="C9" s="83" t="str">
        <f t="shared" si="2"/>
        <v>ITA</v>
      </c>
      <c r="D9" s="63" t="str">
        <f t="shared" si="3"/>
        <v>Atalanta B.C.</v>
      </c>
      <c r="E9" s="91" t="str">
        <f t="shared" si="4"/>
        <v>Pé Direito</v>
      </c>
      <c r="F9" s="155">
        <f t="shared" si="5"/>
        <v>1.88</v>
      </c>
      <c r="G9" s="157">
        <f t="shared" si="6"/>
        <v>25</v>
      </c>
      <c r="H9" s="276" t="str">
        <f t="shared" si="7"/>
        <v>€280m p/m</v>
      </c>
      <c r="I9" s="64" t="str">
        <f t="shared" si="8"/>
        <v>75,5M</v>
      </c>
      <c r="J9" s="89">
        <f t="shared" si="9"/>
        <v>21.56</v>
      </c>
      <c r="K9" s="136">
        <f t="shared" si="10"/>
        <v>23.244444444444444</v>
      </c>
      <c r="L9" s="177">
        <f t="shared" si="11"/>
        <v>26</v>
      </c>
      <c r="M9" s="177">
        <f t="shared" si="12"/>
        <v>80.461538461538467</v>
      </c>
      <c r="N9" s="178">
        <f t="shared" si="13"/>
        <v>0.92</v>
      </c>
      <c r="O9" s="404">
        <f t="shared" si="14"/>
        <v>0</v>
      </c>
      <c r="P9" s="404">
        <f t="shared" si="15"/>
        <v>3</v>
      </c>
      <c r="Q9" s="404">
        <f t="shared" si="16"/>
        <v>3</v>
      </c>
      <c r="R9" s="405">
        <f t="shared" si="17"/>
        <v>0.12906309751434034</v>
      </c>
      <c r="S9" s="55">
        <f t="shared" si="18"/>
        <v>2</v>
      </c>
      <c r="T9" s="61">
        <f t="shared" si="19"/>
        <v>8.6042065009560229E-2</v>
      </c>
      <c r="U9" s="56">
        <f t="shared" si="20"/>
        <v>1.52</v>
      </c>
      <c r="V9" s="56">
        <f t="shared" si="21"/>
        <v>6.5391969407265771E-2</v>
      </c>
      <c r="W9" s="56">
        <f t="shared" si="22"/>
        <v>1.52</v>
      </c>
      <c r="X9" s="56">
        <f t="shared" si="23"/>
        <v>6.5391969407265771E-2</v>
      </c>
      <c r="Y9" s="56">
        <f t="shared" si="24"/>
        <v>4.17</v>
      </c>
      <c r="Z9" s="56">
        <f t="shared" si="25"/>
        <v>0.17939770554493309</v>
      </c>
      <c r="AA9" s="56">
        <f t="shared" si="26"/>
        <v>5.6899999999999995</v>
      </c>
      <c r="AB9" s="56">
        <f t="shared" si="27"/>
        <v>0.24478967495219883</v>
      </c>
      <c r="AC9" s="55">
        <f t="shared" si="28"/>
        <v>0</v>
      </c>
      <c r="AD9" s="55">
        <f t="shared" si="29"/>
        <v>0</v>
      </c>
      <c r="AE9" s="55">
        <f t="shared" si="30"/>
        <v>0</v>
      </c>
      <c r="AF9" s="58">
        <f t="shared" si="31"/>
        <v>9.9999999999999995E-8</v>
      </c>
      <c r="AG9" s="55">
        <f t="shared" si="32"/>
        <v>78</v>
      </c>
      <c r="AH9" s="56">
        <f t="shared" si="33"/>
        <v>3.3556405353728489</v>
      </c>
      <c r="AI9" s="54">
        <f t="shared" si="34"/>
        <v>47</v>
      </c>
      <c r="AJ9" s="56">
        <f t="shared" si="35"/>
        <v>2.0219885277246656</v>
      </c>
      <c r="AK9" s="55">
        <f t="shared" si="36"/>
        <v>10</v>
      </c>
      <c r="AL9" s="56">
        <f t="shared" si="37"/>
        <v>0.43021032504780116</v>
      </c>
      <c r="AM9" s="104">
        <f t="shared" si="38"/>
        <v>0.60256410256410253</v>
      </c>
      <c r="AN9" s="55">
        <f t="shared" si="39"/>
        <v>21</v>
      </c>
      <c r="AO9" s="56">
        <f t="shared" si="40"/>
        <v>0.90344168260038249</v>
      </c>
      <c r="AP9" s="55">
        <f t="shared" si="41"/>
        <v>342</v>
      </c>
      <c r="AQ9" s="56">
        <f t="shared" si="42"/>
        <v>14.7131931166348</v>
      </c>
      <c r="AR9" s="55">
        <f t="shared" si="43"/>
        <v>121</v>
      </c>
      <c r="AS9" s="56">
        <f t="shared" si="44"/>
        <v>5.2055449330783938</v>
      </c>
      <c r="AT9" s="58">
        <f t="shared" si="45"/>
        <v>0.35380116959064328</v>
      </c>
      <c r="AU9" s="59">
        <f t="shared" si="46"/>
        <v>1175</v>
      </c>
      <c r="AV9" s="60">
        <f t="shared" si="47"/>
        <v>50.549713193116638</v>
      </c>
      <c r="AW9" s="59">
        <f t="shared" si="48"/>
        <v>1004</v>
      </c>
      <c r="AX9" s="60">
        <f t="shared" si="49"/>
        <v>43.193116634799239</v>
      </c>
      <c r="AY9" s="61">
        <f t="shared" si="50"/>
        <v>0.85446808510638295</v>
      </c>
      <c r="AZ9" s="59">
        <f t="shared" si="51"/>
        <v>341</v>
      </c>
      <c r="BA9" s="56">
        <f t="shared" si="52"/>
        <v>14.670172084130019</v>
      </c>
      <c r="BB9" s="56">
        <f t="shared" si="53"/>
        <v>6.871345029239766</v>
      </c>
      <c r="BC9" s="55">
        <f t="shared" si="54"/>
        <v>1026</v>
      </c>
      <c r="BD9" s="56">
        <f t="shared" si="55"/>
        <v>44.139579349904402</v>
      </c>
      <c r="BE9" s="55">
        <f t="shared" si="56"/>
        <v>149</v>
      </c>
      <c r="BF9" s="56">
        <f t="shared" si="57"/>
        <v>6.410133843212237</v>
      </c>
      <c r="BG9" s="277">
        <f t="shared" si="58"/>
        <v>0.14522417153996101</v>
      </c>
      <c r="BH9" s="55">
        <f t="shared" si="59"/>
        <v>212</v>
      </c>
      <c r="BI9" s="56">
        <f t="shared" si="60"/>
        <v>9.120458891013385</v>
      </c>
      <c r="BJ9" s="55">
        <f t="shared" si="61"/>
        <v>42</v>
      </c>
      <c r="BK9" s="56">
        <f t="shared" si="62"/>
        <v>1.806883365200765</v>
      </c>
      <c r="BL9" s="382">
        <f t="shared" si="63"/>
        <v>0.19811320754716982</v>
      </c>
      <c r="BM9" s="55">
        <f t="shared" si="64"/>
        <v>52</v>
      </c>
      <c r="BN9" s="56">
        <f t="shared" si="65"/>
        <v>2.2370936902485661</v>
      </c>
      <c r="BO9" s="56">
        <f t="shared" si="66"/>
        <v>32.184615384615384</v>
      </c>
      <c r="BP9" s="56">
        <f t="shared" si="67"/>
        <v>40.230769230769234</v>
      </c>
      <c r="BQ9" s="56">
        <f t="shared" si="68"/>
        <v>4.17</v>
      </c>
      <c r="BR9" s="56">
        <f t="shared" si="69"/>
        <v>1.17</v>
      </c>
      <c r="BS9" s="278">
        <f t="shared" si="70"/>
        <v>107.17</v>
      </c>
      <c r="BT9" s="279">
        <f t="shared" si="71"/>
        <v>4.6105640535372849</v>
      </c>
      <c r="BU9" s="281">
        <f t="shared" si="72"/>
        <v>71</v>
      </c>
      <c r="BV9" s="282">
        <f t="shared" si="73"/>
        <v>3.0544933078393881</v>
      </c>
      <c r="BW9" s="55">
        <f t="shared" si="74"/>
        <v>4</v>
      </c>
      <c r="BX9" s="56">
        <f t="shared" si="75"/>
        <v>0.17208413001912046</v>
      </c>
      <c r="BY9" s="278">
        <f t="shared" si="76"/>
        <v>0</v>
      </c>
      <c r="BZ9" s="279">
        <f t="shared" si="77"/>
        <v>0</v>
      </c>
      <c r="CA9" s="55">
        <f t="shared" si="78"/>
        <v>1727</v>
      </c>
      <c r="CB9" s="56">
        <f t="shared" si="79"/>
        <v>74.297323135755263</v>
      </c>
      <c r="CC9" s="55">
        <f t="shared" si="80"/>
        <v>75</v>
      </c>
      <c r="CD9" s="56">
        <f t="shared" si="81"/>
        <v>3.2265774378585088</v>
      </c>
      <c r="CE9" s="55">
        <f t="shared" si="82"/>
        <v>45</v>
      </c>
      <c r="CF9" s="56">
        <f t="shared" si="83"/>
        <v>1.9359464627151053</v>
      </c>
      <c r="CG9" s="61">
        <f t="shared" si="84"/>
        <v>0.6</v>
      </c>
      <c r="CH9" s="197">
        <f t="shared" si="85"/>
        <v>6.9733333333333327</v>
      </c>
      <c r="CI9" s="196">
        <f t="shared" si="86"/>
        <v>0.3</v>
      </c>
      <c r="CJ9" s="274">
        <f t="shared" si="87"/>
        <v>120.97333333333333</v>
      </c>
      <c r="CK9" s="275">
        <f t="shared" si="88"/>
        <v>5.2043977055449329</v>
      </c>
      <c r="CL9" s="55">
        <f t="shared" si="89"/>
        <v>523</v>
      </c>
      <c r="CM9" s="56">
        <f t="shared" si="90"/>
        <v>22.5</v>
      </c>
      <c r="CN9" s="55">
        <f t="shared" si="91"/>
        <v>345</v>
      </c>
      <c r="CO9" s="56">
        <f t="shared" si="92"/>
        <v>14.84225621414914</v>
      </c>
      <c r="CP9" s="61">
        <f t="shared" si="93"/>
        <v>0.65965583173996178</v>
      </c>
      <c r="CQ9" s="55">
        <f t="shared" si="94"/>
        <v>277.64999999999998</v>
      </c>
      <c r="CR9" s="56">
        <f t="shared" si="95"/>
        <v>11.944789674952199</v>
      </c>
      <c r="CS9" s="55">
        <f t="shared" si="96"/>
        <v>210</v>
      </c>
      <c r="CT9" s="196">
        <f t="shared" si="97"/>
        <v>9.0344168260038238</v>
      </c>
      <c r="CU9" s="197">
        <f t="shared" si="98"/>
        <v>368.25</v>
      </c>
      <c r="CV9" s="196">
        <f t="shared" si="99"/>
        <v>15.842495219885278</v>
      </c>
      <c r="CW9" s="61">
        <f t="shared" si="100"/>
        <v>0.75634792004321993</v>
      </c>
      <c r="CX9" s="61">
        <f t="shared" si="101"/>
        <v>0.6931867857365891</v>
      </c>
      <c r="CY9" s="170">
        <f t="shared" si="102"/>
        <v>283.2</v>
      </c>
      <c r="CZ9" s="171">
        <f t="shared" si="103"/>
        <v>12.183556405353729</v>
      </c>
      <c r="DA9" s="194">
        <f t="shared" si="104"/>
        <v>8.1223709369024846</v>
      </c>
      <c r="DB9" s="172">
        <f t="shared" si="105"/>
        <v>564.84</v>
      </c>
      <c r="DC9" s="171">
        <f t="shared" si="106"/>
        <v>24.3</v>
      </c>
      <c r="DD9" s="172">
        <f t="shared" si="107"/>
        <v>371</v>
      </c>
      <c r="DE9" s="171">
        <f t="shared" si="108"/>
        <v>15.960803059273424</v>
      </c>
      <c r="DF9" s="171">
        <f t="shared" si="109"/>
        <v>13</v>
      </c>
      <c r="DG9" s="60">
        <f t="shared" si="110"/>
        <v>7.06</v>
      </c>
      <c r="DH9" s="268"/>
      <c r="DI9" s="264" t="s">
        <v>956</v>
      </c>
      <c r="DJ9" s="264" t="s">
        <v>623</v>
      </c>
      <c r="DK9" s="264">
        <v>25</v>
      </c>
      <c r="DL9" s="264" t="s">
        <v>957</v>
      </c>
      <c r="DM9" s="264" t="s">
        <v>946</v>
      </c>
      <c r="DN9" s="264" t="s">
        <v>614</v>
      </c>
      <c r="DO9" s="264" t="s">
        <v>573</v>
      </c>
      <c r="DP9" s="265">
        <v>47299</v>
      </c>
      <c r="DQ9" s="264" t="s">
        <v>743</v>
      </c>
      <c r="DR9" s="264">
        <v>2092</v>
      </c>
      <c r="DS9" s="264" t="s">
        <v>902</v>
      </c>
      <c r="DT9" s="264">
        <v>2</v>
      </c>
      <c r="DU9" s="264">
        <v>0</v>
      </c>
      <c r="DV9" s="264">
        <v>0</v>
      </c>
      <c r="DW9" s="264">
        <v>3</v>
      </c>
      <c r="DX9" s="264">
        <v>5</v>
      </c>
      <c r="DY9" s="264">
        <v>0</v>
      </c>
      <c r="DZ9" s="264">
        <v>9</v>
      </c>
      <c r="EA9" s="264">
        <v>13</v>
      </c>
      <c r="EB9" s="264">
        <v>24.3</v>
      </c>
      <c r="EC9" s="264" t="s">
        <v>1063</v>
      </c>
      <c r="ED9" s="264" t="s">
        <v>1064</v>
      </c>
      <c r="EE9" s="264">
        <v>75</v>
      </c>
      <c r="EF9" s="264">
        <v>45</v>
      </c>
      <c r="EG9" s="264">
        <v>0.3</v>
      </c>
      <c r="EH9" s="264">
        <v>1175</v>
      </c>
      <c r="EI9" s="264">
        <v>1004</v>
      </c>
      <c r="EJ9" s="264">
        <v>52</v>
      </c>
      <c r="EK9" s="264">
        <v>149</v>
      </c>
      <c r="EL9" s="264">
        <v>212</v>
      </c>
      <c r="EM9" s="264">
        <v>42</v>
      </c>
      <c r="EN9" s="264">
        <v>12</v>
      </c>
      <c r="EO9" s="264">
        <v>4</v>
      </c>
      <c r="EP9" s="264">
        <v>252</v>
      </c>
      <c r="EQ9" s="264">
        <v>58</v>
      </c>
      <c r="ER9" s="264">
        <v>21</v>
      </c>
      <c r="ES9" s="264">
        <v>57</v>
      </c>
      <c r="ET9" s="264">
        <v>47</v>
      </c>
      <c r="EU9" s="264">
        <v>4</v>
      </c>
      <c r="EV9" s="264">
        <v>12</v>
      </c>
      <c r="EW9" s="264">
        <v>65</v>
      </c>
      <c r="EX9" s="264">
        <v>7</v>
      </c>
      <c r="EY9" s="264">
        <v>22</v>
      </c>
      <c r="EZ9" s="264">
        <v>212</v>
      </c>
      <c r="FA9" s="264">
        <v>42</v>
      </c>
      <c r="FB9" s="264">
        <v>4</v>
      </c>
      <c r="FC9" s="264">
        <v>0</v>
      </c>
      <c r="FD9" s="264">
        <v>0</v>
      </c>
      <c r="FE9" s="264">
        <v>0</v>
      </c>
      <c r="FF9" s="264">
        <v>71</v>
      </c>
      <c r="FG9" s="264" t="s">
        <v>958</v>
      </c>
      <c r="FH9" s="269">
        <v>7.06</v>
      </c>
    </row>
    <row r="10" spans="1:164" ht="24.95" customHeight="1" thickBot="1" x14ac:dyDescent="0.3">
      <c r="A10" s="29" t="str">
        <f t="shared" si="0"/>
        <v>9º</v>
      </c>
      <c r="B10" s="68" t="str">
        <f t="shared" si="1"/>
        <v>Samuele Angori</v>
      </c>
      <c r="C10" s="83" t="str">
        <f t="shared" si="2"/>
        <v>ITA</v>
      </c>
      <c r="D10" s="63" t="str">
        <f t="shared" si="3"/>
        <v>Pisa</v>
      </c>
      <c r="E10" s="91" t="str">
        <f t="shared" si="4"/>
        <v>Somente Pé Esquerdo</v>
      </c>
      <c r="F10" s="155">
        <f t="shared" si="5"/>
        <v>1.84</v>
      </c>
      <c r="G10" s="157">
        <f t="shared" si="6"/>
        <v>22</v>
      </c>
      <c r="H10" s="276" t="str">
        <f t="shared" si="7"/>
        <v>€91,5m p/m</v>
      </c>
      <c r="I10" s="64" t="str">
        <f t="shared" si="8"/>
        <v>35M</v>
      </c>
      <c r="J10" s="89">
        <f t="shared" si="9"/>
        <v>21.56</v>
      </c>
      <c r="K10" s="136">
        <f t="shared" si="10"/>
        <v>20.344444444444445</v>
      </c>
      <c r="L10" s="177">
        <f t="shared" si="11"/>
        <v>22</v>
      </c>
      <c r="M10" s="177">
        <f t="shared" si="12"/>
        <v>83.227272727272734</v>
      </c>
      <c r="N10" s="178">
        <f t="shared" si="13"/>
        <v>1</v>
      </c>
      <c r="O10" s="404">
        <f t="shared" si="14"/>
        <v>0</v>
      </c>
      <c r="P10" s="404">
        <f t="shared" si="15"/>
        <v>3</v>
      </c>
      <c r="Q10" s="404">
        <f t="shared" si="16"/>
        <v>3</v>
      </c>
      <c r="R10" s="405">
        <f t="shared" si="17"/>
        <v>0.1474604041507373</v>
      </c>
      <c r="S10" s="55">
        <f t="shared" si="18"/>
        <v>0</v>
      </c>
      <c r="T10" s="61">
        <f t="shared" si="19"/>
        <v>0</v>
      </c>
      <c r="U10" s="56">
        <f t="shared" si="20"/>
        <v>0.2</v>
      </c>
      <c r="V10" s="56">
        <f t="shared" si="21"/>
        <v>9.8306936100491533E-3</v>
      </c>
      <c r="W10" s="56">
        <f t="shared" si="22"/>
        <v>0.2</v>
      </c>
      <c r="X10" s="56">
        <f t="shared" si="23"/>
        <v>9.8306936100491533E-3</v>
      </c>
      <c r="Y10" s="56">
        <f t="shared" si="24"/>
        <v>3.27</v>
      </c>
      <c r="Z10" s="56">
        <f t="shared" si="25"/>
        <v>0.16073184052430364</v>
      </c>
      <c r="AA10" s="56">
        <f t="shared" si="26"/>
        <v>3.47</v>
      </c>
      <c r="AB10" s="56">
        <f t="shared" si="27"/>
        <v>0.17056253413435282</v>
      </c>
      <c r="AC10" s="55">
        <f t="shared" si="28"/>
        <v>0</v>
      </c>
      <c r="AD10" s="55">
        <f t="shared" si="29"/>
        <v>0</v>
      </c>
      <c r="AE10" s="55">
        <f t="shared" si="30"/>
        <v>0</v>
      </c>
      <c r="AF10" s="58">
        <f t="shared" si="31"/>
        <v>9.9999999999999995E-8</v>
      </c>
      <c r="AG10" s="55">
        <f t="shared" si="32"/>
        <v>94</v>
      </c>
      <c r="AH10" s="56">
        <f t="shared" si="33"/>
        <v>4.6204259967231023</v>
      </c>
      <c r="AI10" s="54">
        <f t="shared" si="34"/>
        <v>50</v>
      </c>
      <c r="AJ10" s="56">
        <f t="shared" si="35"/>
        <v>2.4576734025122882</v>
      </c>
      <c r="AK10" s="55">
        <f t="shared" si="36"/>
        <v>16</v>
      </c>
      <c r="AL10" s="56">
        <f t="shared" si="37"/>
        <v>0.78645548880393223</v>
      </c>
      <c r="AM10" s="104">
        <f t="shared" si="38"/>
        <v>0.53191489361702127</v>
      </c>
      <c r="AN10" s="55">
        <f t="shared" si="39"/>
        <v>28</v>
      </c>
      <c r="AO10" s="56">
        <f t="shared" si="40"/>
        <v>1.3762971054068815</v>
      </c>
      <c r="AP10" s="55">
        <f t="shared" si="41"/>
        <v>285</v>
      </c>
      <c r="AQ10" s="56">
        <f t="shared" si="42"/>
        <v>14.008738394320043</v>
      </c>
      <c r="AR10" s="55">
        <f t="shared" si="43"/>
        <v>112</v>
      </c>
      <c r="AS10" s="56">
        <f t="shared" si="44"/>
        <v>5.5051884216275262</v>
      </c>
      <c r="AT10" s="58">
        <f t="shared" si="45"/>
        <v>0.39298245614035088</v>
      </c>
      <c r="AU10" s="59">
        <f t="shared" si="46"/>
        <v>1056</v>
      </c>
      <c r="AV10" s="60">
        <f t="shared" si="47"/>
        <v>51.906062261059532</v>
      </c>
      <c r="AW10" s="59">
        <f t="shared" si="48"/>
        <v>935</v>
      </c>
      <c r="AX10" s="60">
        <f t="shared" si="49"/>
        <v>45.95849262697979</v>
      </c>
      <c r="AY10" s="61">
        <f t="shared" si="50"/>
        <v>0.88541666666666663</v>
      </c>
      <c r="AZ10" s="59">
        <f t="shared" si="51"/>
        <v>229</v>
      </c>
      <c r="BA10" s="56">
        <f t="shared" si="52"/>
        <v>11.256144183506281</v>
      </c>
      <c r="BB10" s="56">
        <f t="shared" si="53"/>
        <v>8.7272727272727266</v>
      </c>
      <c r="BC10" s="55">
        <f t="shared" si="54"/>
        <v>926</v>
      </c>
      <c r="BD10" s="56">
        <f t="shared" si="55"/>
        <v>45.516111414527579</v>
      </c>
      <c r="BE10" s="55">
        <f t="shared" si="56"/>
        <v>130</v>
      </c>
      <c r="BF10" s="56">
        <f t="shared" si="57"/>
        <v>6.3899508465319492</v>
      </c>
      <c r="BG10" s="277">
        <f t="shared" si="58"/>
        <v>0.14038876889848811</v>
      </c>
      <c r="BH10" s="55">
        <f t="shared" si="59"/>
        <v>115</v>
      </c>
      <c r="BI10" s="56">
        <f t="shared" si="60"/>
        <v>5.6526488257782628</v>
      </c>
      <c r="BJ10" s="55">
        <f t="shared" si="61"/>
        <v>22</v>
      </c>
      <c r="BK10" s="56">
        <f t="shared" si="62"/>
        <v>1.0813762971054068</v>
      </c>
      <c r="BL10" s="382">
        <f t="shared" si="63"/>
        <v>0.19130434782608696</v>
      </c>
      <c r="BM10" s="55">
        <f t="shared" si="64"/>
        <v>46</v>
      </c>
      <c r="BN10" s="56">
        <f t="shared" si="65"/>
        <v>2.261059530311305</v>
      </c>
      <c r="BO10" s="56">
        <f t="shared" si="66"/>
        <v>32.696428571428569</v>
      </c>
      <c r="BP10" s="56">
        <f t="shared" si="67"/>
        <v>39.804347826086953</v>
      </c>
      <c r="BQ10" s="56">
        <f t="shared" si="68"/>
        <v>3.27</v>
      </c>
      <c r="BR10" s="56">
        <f t="shared" si="69"/>
        <v>0.27</v>
      </c>
      <c r="BS10" s="278">
        <f t="shared" si="70"/>
        <v>81.27</v>
      </c>
      <c r="BT10" s="279">
        <f t="shared" si="71"/>
        <v>3.9947023484434734</v>
      </c>
      <c r="BU10" s="281">
        <f t="shared" si="72"/>
        <v>48</v>
      </c>
      <c r="BV10" s="282">
        <f t="shared" si="73"/>
        <v>2.3593664664117968</v>
      </c>
      <c r="BW10" s="55">
        <f t="shared" si="74"/>
        <v>2</v>
      </c>
      <c r="BX10" s="56">
        <f t="shared" si="75"/>
        <v>9.8306936100491529E-2</v>
      </c>
      <c r="BY10" s="278">
        <f t="shared" si="76"/>
        <v>0</v>
      </c>
      <c r="BZ10" s="279">
        <f t="shared" si="77"/>
        <v>0</v>
      </c>
      <c r="CA10" s="55">
        <f t="shared" si="78"/>
        <v>1496</v>
      </c>
      <c r="CB10" s="56">
        <f t="shared" si="79"/>
        <v>73.533588203167668</v>
      </c>
      <c r="CC10" s="55">
        <f t="shared" si="80"/>
        <v>64</v>
      </c>
      <c r="CD10" s="56">
        <f t="shared" si="81"/>
        <v>3.1458219552157289</v>
      </c>
      <c r="CE10" s="55">
        <f t="shared" si="82"/>
        <v>37</v>
      </c>
      <c r="CF10" s="56">
        <f t="shared" si="83"/>
        <v>1.8186783178590933</v>
      </c>
      <c r="CG10" s="61">
        <f t="shared" si="84"/>
        <v>0.578125</v>
      </c>
      <c r="CH10" s="197">
        <f t="shared" si="85"/>
        <v>2.0344444444444445</v>
      </c>
      <c r="CI10" s="196">
        <f t="shared" si="86"/>
        <v>0.1</v>
      </c>
      <c r="CJ10" s="274">
        <f t="shared" si="87"/>
        <v>117.03444444444445</v>
      </c>
      <c r="CK10" s="275">
        <f t="shared" si="88"/>
        <v>5.7526488257782633</v>
      </c>
      <c r="CL10" s="55">
        <f t="shared" si="89"/>
        <v>384</v>
      </c>
      <c r="CM10" s="56">
        <f t="shared" si="90"/>
        <v>18.874931731294375</v>
      </c>
      <c r="CN10" s="55">
        <f t="shared" si="91"/>
        <v>275</v>
      </c>
      <c r="CO10" s="56">
        <f t="shared" si="92"/>
        <v>13.517203713817585</v>
      </c>
      <c r="CP10" s="61">
        <f t="shared" si="93"/>
        <v>0.71614583333333337</v>
      </c>
      <c r="CQ10" s="55">
        <f t="shared" si="94"/>
        <v>268.33</v>
      </c>
      <c r="CR10" s="56">
        <f t="shared" si="95"/>
        <v>13.189350081922445</v>
      </c>
      <c r="CS10" s="55">
        <f t="shared" si="96"/>
        <v>196</v>
      </c>
      <c r="CT10" s="196">
        <f t="shared" si="97"/>
        <v>9.63407973784817</v>
      </c>
      <c r="CU10" s="197">
        <f t="shared" si="98"/>
        <v>258.25</v>
      </c>
      <c r="CV10" s="196">
        <f t="shared" si="99"/>
        <v>12.693883123975969</v>
      </c>
      <c r="CW10" s="61">
        <f t="shared" si="100"/>
        <v>0.73044385644542176</v>
      </c>
      <c r="CX10" s="61">
        <f t="shared" si="101"/>
        <v>0.72202719482470534</v>
      </c>
      <c r="CY10" s="170">
        <f t="shared" si="102"/>
        <v>249.8</v>
      </c>
      <c r="CZ10" s="171">
        <f t="shared" si="103"/>
        <v>12.278536318951392</v>
      </c>
      <c r="DA10" s="194">
        <f t="shared" si="104"/>
        <v>8.1856908793009282</v>
      </c>
      <c r="DB10" s="172">
        <f t="shared" si="105"/>
        <v>520.81777777777779</v>
      </c>
      <c r="DC10" s="171">
        <f t="shared" si="106"/>
        <v>25.6</v>
      </c>
      <c r="DD10" s="172">
        <f t="shared" si="107"/>
        <v>256</v>
      </c>
      <c r="DE10" s="171">
        <f t="shared" si="108"/>
        <v>12.583287820862916</v>
      </c>
      <c r="DF10" s="171">
        <f t="shared" si="109"/>
        <v>14.2</v>
      </c>
      <c r="DG10" s="60">
        <f t="shared" si="110"/>
        <v>7</v>
      </c>
      <c r="DH10" s="268"/>
      <c r="DI10" s="264" t="s">
        <v>970</v>
      </c>
      <c r="DJ10" s="264" t="s">
        <v>540</v>
      </c>
      <c r="DK10" s="264">
        <v>22</v>
      </c>
      <c r="DL10" s="264" t="s">
        <v>971</v>
      </c>
      <c r="DM10" s="264" t="s">
        <v>972</v>
      </c>
      <c r="DN10" s="264" t="s">
        <v>614</v>
      </c>
      <c r="DO10" s="264" t="s">
        <v>695</v>
      </c>
      <c r="DP10" s="265">
        <v>47664</v>
      </c>
      <c r="DQ10" s="264" t="s">
        <v>718</v>
      </c>
      <c r="DR10" s="264">
        <v>1831</v>
      </c>
      <c r="DS10" s="264">
        <v>22</v>
      </c>
      <c r="DT10" s="264">
        <v>0</v>
      </c>
      <c r="DU10" s="264">
        <v>0</v>
      </c>
      <c r="DV10" s="264">
        <v>0</v>
      </c>
      <c r="DW10" s="264">
        <v>3</v>
      </c>
      <c r="DX10" s="264">
        <v>1</v>
      </c>
      <c r="DY10" s="264">
        <v>0</v>
      </c>
      <c r="DZ10" s="264">
        <v>8</v>
      </c>
      <c r="EA10" s="264">
        <v>14.2</v>
      </c>
      <c r="EB10" s="264">
        <v>25.6</v>
      </c>
      <c r="EC10" s="264" t="s">
        <v>1065</v>
      </c>
      <c r="ED10" s="264" t="s">
        <v>1066</v>
      </c>
      <c r="EE10" s="264">
        <v>64</v>
      </c>
      <c r="EF10" s="264">
        <v>37</v>
      </c>
      <c r="EG10" s="264">
        <v>0.1</v>
      </c>
      <c r="EH10" s="264">
        <v>1056</v>
      </c>
      <c r="EI10" s="264">
        <v>935</v>
      </c>
      <c r="EJ10" s="264">
        <v>46</v>
      </c>
      <c r="EK10" s="264">
        <v>130</v>
      </c>
      <c r="EL10" s="264">
        <v>115</v>
      </c>
      <c r="EM10" s="264">
        <v>22</v>
      </c>
      <c r="EN10" s="264">
        <v>3</v>
      </c>
      <c r="EO10" s="264">
        <v>2</v>
      </c>
      <c r="EP10" s="264">
        <v>180</v>
      </c>
      <c r="EQ10" s="264">
        <v>49</v>
      </c>
      <c r="ER10" s="264">
        <v>28</v>
      </c>
      <c r="ES10" s="264">
        <v>66</v>
      </c>
      <c r="ET10" s="264">
        <v>50</v>
      </c>
      <c r="EU10" s="264">
        <v>2</v>
      </c>
      <c r="EV10" s="264">
        <v>11</v>
      </c>
      <c r="EW10" s="264">
        <v>64</v>
      </c>
      <c r="EX10" s="264">
        <v>9</v>
      </c>
      <c r="EY10" s="264">
        <v>19</v>
      </c>
      <c r="EZ10" s="264">
        <v>132</v>
      </c>
      <c r="FA10" s="264">
        <v>24</v>
      </c>
      <c r="FB10" s="264">
        <v>5</v>
      </c>
      <c r="FC10" s="264">
        <v>1</v>
      </c>
      <c r="FD10" s="264">
        <v>0</v>
      </c>
      <c r="FE10" s="264">
        <v>0</v>
      </c>
      <c r="FF10" s="264">
        <v>48</v>
      </c>
      <c r="FG10" s="264" t="s">
        <v>973</v>
      </c>
      <c r="FH10" s="269">
        <v>7</v>
      </c>
    </row>
    <row r="11" spans="1:164" ht="24.95" customHeight="1" thickBot="1" x14ac:dyDescent="0.3">
      <c r="A11" s="29" t="str">
        <f t="shared" si="0"/>
        <v>10º</v>
      </c>
      <c r="B11" s="68" t="str">
        <f t="shared" si="1"/>
        <v>Stefano Sabelli</v>
      </c>
      <c r="C11" s="83" t="str">
        <f t="shared" si="2"/>
        <v>ITA</v>
      </c>
      <c r="D11" s="63" t="str">
        <f t="shared" si="3"/>
        <v>Genoa</v>
      </c>
      <c r="E11" s="91" t="str">
        <f t="shared" si="4"/>
        <v>Pé Direito</v>
      </c>
      <c r="F11" s="155">
        <f t="shared" si="5"/>
        <v>1.78</v>
      </c>
      <c r="G11" s="157">
        <f t="shared" si="6"/>
        <v>33</v>
      </c>
      <c r="H11" s="276" t="str">
        <f t="shared" si="7"/>
        <v>€54,5m p/m</v>
      </c>
      <c r="I11" s="64" t="str">
        <f t="shared" si="8"/>
        <v>60,6M</v>
      </c>
      <c r="J11" s="89">
        <f t="shared" si="9"/>
        <v>21.56</v>
      </c>
      <c r="K11" s="136">
        <f t="shared" si="10"/>
        <v>20.177777777777777</v>
      </c>
      <c r="L11" s="177">
        <f t="shared" si="11"/>
        <v>23</v>
      </c>
      <c r="M11" s="177">
        <f t="shared" si="12"/>
        <v>78.956521739130437</v>
      </c>
      <c r="N11" s="178">
        <f t="shared" si="13"/>
        <v>1</v>
      </c>
      <c r="O11" s="404">
        <f t="shared" si="14"/>
        <v>0</v>
      </c>
      <c r="P11" s="404">
        <f t="shared" si="15"/>
        <v>3</v>
      </c>
      <c r="Q11" s="404">
        <f t="shared" si="16"/>
        <v>3</v>
      </c>
      <c r="R11" s="405">
        <f t="shared" si="17"/>
        <v>0.14867841409691632</v>
      </c>
      <c r="S11" s="55">
        <f t="shared" si="18"/>
        <v>0</v>
      </c>
      <c r="T11" s="61">
        <f t="shared" si="19"/>
        <v>0</v>
      </c>
      <c r="U11" s="56">
        <f t="shared" si="20"/>
        <v>0.56999999999999995</v>
      </c>
      <c r="V11" s="56">
        <f t="shared" si="21"/>
        <v>2.8248898678414094E-2</v>
      </c>
      <c r="W11" s="56">
        <f t="shared" si="22"/>
        <v>0.56999999999999995</v>
      </c>
      <c r="X11" s="56">
        <f t="shared" si="23"/>
        <v>2.8248898678414094E-2</v>
      </c>
      <c r="Y11" s="56">
        <f t="shared" si="24"/>
        <v>2.96</v>
      </c>
      <c r="Z11" s="56">
        <f t="shared" si="25"/>
        <v>0.14669603524229075</v>
      </c>
      <c r="AA11" s="56">
        <f t="shared" si="26"/>
        <v>3.53</v>
      </c>
      <c r="AB11" s="56">
        <f t="shared" si="27"/>
        <v>0.17494493392070484</v>
      </c>
      <c r="AC11" s="55">
        <f t="shared" si="28"/>
        <v>0</v>
      </c>
      <c r="AD11" s="55">
        <f t="shared" si="29"/>
        <v>0</v>
      </c>
      <c r="AE11" s="55">
        <f t="shared" si="30"/>
        <v>0</v>
      </c>
      <c r="AF11" s="58">
        <f t="shared" si="31"/>
        <v>9.9999999999999995E-8</v>
      </c>
      <c r="AG11" s="55">
        <f t="shared" si="32"/>
        <v>99</v>
      </c>
      <c r="AH11" s="56">
        <f t="shared" si="33"/>
        <v>4.9063876651982383</v>
      </c>
      <c r="AI11" s="54">
        <f t="shared" si="34"/>
        <v>55</v>
      </c>
      <c r="AJ11" s="56">
        <f t="shared" si="35"/>
        <v>2.7257709251101323</v>
      </c>
      <c r="AK11" s="55">
        <f t="shared" si="36"/>
        <v>14</v>
      </c>
      <c r="AL11" s="56">
        <f t="shared" si="37"/>
        <v>0.69383259911894279</v>
      </c>
      <c r="AM11" s="104">
        <f t="shared" si="38"/>
        <v>0.55555555555555558</v>
      </c>
      <c r="AN11" s="55">
        <f t="shared" si="39"/>
        <v>30</v>
      </c>
      <c r="AO11" s="56">
        <f t="shared" si="40"/>
        <v>1.4867841409691631</v>
      </c>
      <c r="AP11" s="55">
        <f t="shared" si="41"/>
        <v>315</v>
      </c>
      <c r="AQ11" s="56">
        <f t="shared" si="42"/>
        <v>15.611233480176212</v>
      </c>
      <c r="AR11" s="55">
        <f t="shared" si="43"/>
        <v>127</v>
      </c>
      <c r="AS11" s="56">
        <f t="shared" si="44"/>
        <v>6.2940528634361232</v>
      </c>
      <c r="AT11" s="58">
        <f t="shared" si="45"/>
        <v>0.40317460317460319</v>
      </c>
      <c r="AU11" s="59">
        <f t="shared" si="46"/>
        <v>975</v>
      </c>
      <c r="AV11" s="60">
        <f t="shared" si="47"/>
        <v>48.320484581497801</v>
      </c>
      <c r="AW11" s="59">
        <f t="shared" si="48"/>
        <v>822</v>
      </c>
      <c r="AX11" s="60">
        <f t="shared" si="49"/>
        <v>40.73788546255507</v>
      </c>
      <c r="AY11" s="61">
        <f t="shared" si="50"/>
        <v>0.84307692307692306</v>
      </c>
      <c r="AZ11" s="59">
        <f t="shared" si="51"/>
        <v>259</v>
      </c>
      <c r="BA11" s="56">
        <f t="shared" si="52"/>
        <v>12.83590308370044</v>
      </c>
      <c r="BB11" s="56">
        <f t="shared" si="53"/>
        <v>6.3725490196078427</v>
      </c>
      <c r="BC11" s="55">
        <f t="shared" si="54"/>
        <v>833</v>
      </c>
      <c r="BD11" s="56">
        <f t="shared" si="55"/>
        <v>41.283039647577091</v>
      </c>
      <c r="BE11" s="55">
        <f t="shared" si="56"/>
        <v>142</v>
      </c>
      <c r="BF11" s="56">
        <f t="shared" si="57"/>
        <v>7.037444933920705</v>
      </c>
      <c r="BG11" s="277">
        <f t="shared" si="58"/>
        <v>0.17046818727490998</v>
      </c>
      <c r="BH11" s="55">
        <f t="shared" si="59"/>
        <v>122</v>
      </c>
      <c r="BI11" s="56">
        <f t="shared" si="60"/>
        <v>6.0462555066079293</v>
      </c>
      <c r="BJ11" s="55">
        <f t="shared" si="61"/>
        <v>16</v>
      </c>
      <c r="BK11" s="56">
        <f t="shared" si="62"/>
        <v>0.79295154185022032</v>
      </c>
      <c r="BL11" s="382">
        <f t="shared" si="63"/>
        <v>0.13114754098360656</v>
      </c>
      <c r="BM11" s="55">
        <f t="shared" si="64"/>
        <v>38</v>
      </c>
      <c r="BN11" s="56">
        <f t="shared" si="65"/>
        <v>1.8832599118942732</v>
      </c>
      <c r="BO11" s="56">
        <f t="shared" si="66"/>
        <v>37.833333333333336</v>
      </c>
      <c r="BP11" s="56">
        <f t="shared" si="67"/>
        <v>47.789473684210527</v>
      </c>
      <c r="BQ11" s="56">
        <f t="shared" si="68"/>
        <v>2.96</v>
      </c>
      <c r="BR11" s="56">
        <f t="shared" si="69"/>
        <v>-4.0000000000000036E-2</v>
      </c>
      <c r="BS11" s="278">
        <f t="shared" si="70"/>
        <v>64.960000000000008</v>
      </c>
      <c r="BT11" s="279">
        <f t="shared" si="71"/>
        <v>3.2193832599118948</v>
      </c>
      <c r="BU11" s="281">
        <f t="shared" si="72"/>
        <v>63</v>
      </c>
      <c r="BV11" s="282">
        <f t="shared" si="73"/>
        <v>3.1222466960352424</v>
      </c>
      <c r="BW11" s="55">
        <f t="shared" si="74"/>
        <v>4</v>
      </c>
      <c r="BX11" s="56">
        <f t="shared" si="75"/>
        <v>0.19823788546255508</v>
      </c>
      <c r="BY11" s="278">
        <f t="shared" si="76"/>
        <v>1</v>
      </c>
      <c r="BZ11" s="279">
        <f t="shared" si="77"/>
        <v>4.955947136563877E-2</v>
      </c>
      <c r="CA11" s="55">
        <f t="shared" si="78"/>
        <v>1435</v>
      </c>
      <c r="CB11" s="56">
        <f t="shared" si="79"/>
        <v>71.117841409691636</v>
      </c>
      <c r="CC11" s="55">
        <f t="shared" si="80"/>
        <v>77</v>
      </c>
      <c r="CD11" s="56">
        <f t="shared" si="81"/>
        <v>3.8160792951541853</v>
      </c>
      <c r="CE11" s="55">
        <f t="shared" si="82"/>
        <v>51</v>
      </c>
      <c r="CF11" s="56">
        <f t="shared" si="83"/>
        <v>2.5275330396475773</v>
      </c>
      <c r="CG11" s="61">
        <f t="shared" si="84"/>
        <v>0.66233766233766234</v>
      </c>
      <c r="CH11" s="197">
        <f t="shared" si="85"/>
        <v>8.0711111111111116</v>
      </c>
      <c r="CI11" s="196">
        <f t="shared" si="86"/>
        <v>0.4</v>
      </c>
      <c r="CJ11" s="274">
        <f t="shared" si="87"/>
        <v>129.07111111111112</v>
      </c>
      <c r="CK11" s="275">
        <f t="shared" si="88"/>
        <v>6.3966960352422912</v>
      </c>
      <c r="CL11" s="55">
        <f t="shared" si="89"/>
        <v>396</v>
      </c>
      <c r="CM11" s="56">
        <f t="shared" si="90"/>
        <v>19.625550660792953</v>
      </c>
      <c r="CN11" s="55">
        <f t="shared" si="91"/>
        <v>286</v>
      </c>
      <c r="CO11" s="56">
        <f t="shared" si="92"/>
        <v>14.174008810572687</v>
      </c>
      <c r="CP11" s="61">
        <f t="shared" si="93"/>
        <v>0.72222222222222221</v>
      </c>
      <c r="CQ11" s="55">
        <f t="shared" si="94"/>
        <v>300.98</v>
      </c>
      <c r="CR11" s="56">
        <f t="shared" si="95"/>
        <v>14.916409691629957</v>
      </c>
      <c r="CS11" s="55">
        <f t="shared" si="96"/>
        <v>220</v>
      </c>
      <c r="CT11" s="196">
        <f t="shared" si="97"/>
        <v>10.903083700440529</v>
      </c>
      <c r="CU11" s="197">
        <f t="shared" si="98"/>
        <v>299.5</v>
      </c>
      <c r="CV11" s="196">
        <f t="shared" si="99"/>
        <v>14.84306167400881</v>
      </c>
      <c r="CW11" s="61">
        <f t="shared" si="100"/>
        <v>0.7309455777792544</v>
      </c>
      <c r="CX11" s="61">
        <f t="shared" si="101"/>
        <v>0.72598926798473407</v>
      </c>
      <c r="CY11" s="170">
        <f t="shared" si="102"/>
        <v>261.39999999999998</v>
      </c>
      <c r="CZ11" s="171">
        <f t="shared" si="103"/>
        <v>12.954845814977974</v>
      </c>
      <c r="DA11" s="194">
        <f t="shared" si="104"/>
        <v>8.6365638766519819</v>
      </c>
      <c r="DB11" s="172">
        <f t="shared" si="105"/>
        <v>518.56888888888886</v>
      </c>
      <c r="DC11" s="171">
        <f t="shared" si="106"/>
        <v>25.7</v>
      </c>
      <c r="DD11" s="172">
        <f t="shared" si="107"/>
        <v>285</v>
      </c>
      <c r="DE11" s="171">
        <f t="shared" si="108"/>
        <v>14.124449339207048</v>
      </c>
      <c r="DF11" s="171">
        <f t="shared" si="109"/>
        <v>18.3</v>
      </c>
      <c r="DG11" s="60">
        <f t="shared" si="110"/>
        <v>6.84</v>
      </c>
      <c r="DH11" s="270"/>
      <c r="DI11" s="266" t="s">
        <v>974</v>
      </c>
      <c r="DJ11" s="266" t="s">
        <v>524</v>
      </c>
      <c r="DK11" s="266">
        <v>33</v>
      </c>
      <c r="DL11" s="266" t="s">
        <v>975</v>
      </c>
      <c r="DM11" s="266" t="s">
        <v>907</v>
      </c>
      <c r="DN11" s="266" t="s">
        <v>614</v>
      </c>
      <c r="DO11" s="266" t="s">
        <v>573</v>
      </c>
      <c r="DP11" s="267">
        <v>46934</v>
      </c>
      <c r="DQ11" s="266" t="s">
        <v>802</v>
      </c>
      <c r="DR11" s="266">
        <v>1816</v>
      </c>
      <c r="DS11" s="266">
        <v>23</v>
      </c>
      <c r="DT11" s="266">
        <v>0</v>
      </c>
      <c r="DU11" s="266">
        <v>1</v>
      </c>
      <c r="DV11" s="266">
        <v>0</v>
      </c>
      <c r="DW11" s="266">
        <v>3</v>
      </c>
      <c r="DX11" s="266">
        <v>6</v>
      </c>
      <c r="DY11" s="266">
        <v>0</v>
      </c>
      <c r="DZ11" s="266">
        <v>8</v>
      </c>
      <c r="EA11" s="266">
        <v>18.3</v>
      </c>
      <c r="EB11" s="266">
        <v>25.7</v>
      </c>
      <c r="EC11" s="266" t="s">
        <v>1067</v>
      </c>
      <c r="ED11" s="266" t="s">
        <v>1068</v>
      </c>
      <c r="EE11" s="266">
        <v>77</v>
      </c>
      <c r="EF11" s="266">
        <v>51</v>
      </c>
      <c r="EG11" s="266">
        <v>0.4</v>
      </c>
      <c r="EH11" s="266">
        <v>975</v>
      </c>
      <c r="EI11" s="266">
        <v>822</v>
      </c>
      <c r="EJ11" s="266">
        <v>38</v>
      </c>
      <c r="EK11" s="266">
        <v>142</v>
      </c>
      <c r="EL11" s="266">
        <v>122</v>
      </c>
      <c r="EM11" s="266">
        <v>16</v>
      </c>
      <c r="EN11" s="266">
        <v>6</v>
      </c>
      <c r="EO11" s="266">
        <v>2</v>
      </c>
      <c r="EP11" s="266">
        <v>206</v>
      </c>
      <c r="EQ11" s="266">
        <v>58</v>
      </c>
      <c r="ER11" s="266">
        <v>30</v>
      </c>
      <c r="ES11" s="266">
        <v>69</v>
      </c>
      <c r="ET11" s="266">
        <v>55</v>
      </c>
      <c r="EU11" s="266">
        <v>4</v>
      </c>
      <c r="EV11" s="266">
        <v>10</v>
      </c>
      <c r="EW11" s="266">
        <v>64</v>
      </c>
      <c r="EX11" s="266">
        <v>9</v>
      </c>
      <c r="EY11" s="266">
        <v>19</v>
      </c>
      <c r="EZ11" s="266">
        <v>122</v>
      </c>
      <c r="FA11" s="266">
        <v>16</v>
      </c>
      <c r="FB11" s="266">
        <v>5</v>
      </c>
      <c r="FC11" s="266">
        <v>0</v>
      </c>
      <c r="FD11" s="266">
        <v>0</v>
      </c>
      <c r="FE11" s="266">
        <v>0</v>
      </c>
      <c r="FF11" s="266">
        <v>63</v>
      </c>
      <c r="FG11" s="266" t="s">
        <v>976</v>
      </c>
      <c r="FH11" s="271">
        <v>6.84</v>
      </c>
    </row>
  </sheetData>
  <autoFilter ref="B1:FH1" xr:uid="{00000000-0001-0000-0200-000000000000}">
    <sortState xmlns:xlrd2="http://schemas.microsoft.com/office/spreadsheetml/2017/richdata2" ref="B2:FH11">
      <sortCondition ref="B1"/>
    </sortState>
  </autoFilter>
  <phoneticPr fontId="52" type="noConversion"/>
  <conditionalFormatting sqref="AI1:AI1048576">
    <cfRule type="iconSet" priority="260">
      <iconSet iconSet="5Arrows">
        <cfvo type="percent" val="0"/>
        <cfvo type="percent" val="20"/>
        <cfvo type="percent" val="40"/>
        <cfvo type="percent" val="60"/>
        <cfvo type="percent" val="80"/>
      </iconSet>
    </cfRule>
    <cfRule type="colorScale" priority="518">
      <colorScale>
        <cfvo type="min"/>
        <cfvo type="percentile" val="50"/>
        <cfvo type="max"/>
        <color rgb="FFF8696B"/>
        <color rgb="FFFFEB84"/>
        <color rgb="FF63BE7B"/>
      </colorScale>
    </cfRule>
  </conditionalFormatting>
  <conditionalFormatting sqref="AG1:AG1048576">
    <cfRule type="iconSet" priority="261">
      <iconSet iconSet="5Arrows">
        <cfvo type="percent" val="0"/>
        <cfvo type="percent" val="20"/>
        <cfvo type="percent" val="40"/>
        <cfvo type="percent" val="60"/>
        <cfvo type="percent" val="80"/>
      </iconSet>
    </cfRule>
    <cfRule type="colorScale" priority="519">
      <colorScale>
        <cfvo type="min"/>
        <cfvo type="percentile" val="50"/>
        <cfvo type="max"/>
        <color rgb="FFF8696B"/>
        <color rgb="FFFFEB84"/>
        <color rgb="FF63BE7B"/>
      </colorScale>
    </cfRule>
  </conditionalFormatting>
  <conditionalFormatting sqref="AJ1:AJ1048576">
    <cfRule type="colorScale" priority="478">
      <colorScale>
        <cfvo type="min"/>
        <cfvo type="percentile" val="50"/>
        <cfvo type="max"/>
        <color rgb="FFF8696B"/>
        <color rgb="FFFFEB84"/>
        <color rgb="FF63BE7B"/>
      </colorScale>
    </cfRule>
  </conditionalFormatting>
  <conditionalFormatting sqref="AP1:AQ1048576">
    <cfRule type="colorScale" priority="509">
      <colorScale>
        <cfvo type="min"/>
        <cfvo type="percentile" val="50"/>
        <cfvo type="max"/>
        <color rgb="FFF8696B"/>
        <color rgb="FFFFEB84"/>
        <color rgb="FF63BE7B"/>
      </colorScale>
    </cfRule>
  </conditionalFormatting>
  <conditionalFormatting sqref="AR1:AS1048576">
    <cfRule type="colorScale" priority="50931">
      <colorScale>
        <cfvo type="min"/>
        <cfvo type="percentile" val="50"/>
        <cfvo type="max"/>
        <color rgb="FFF8696B"/>
        <color rgb="FFFFEB84"/>
        <color rgb="FF63BE7B"/>
      </colorScale>
    </cfRule>
    <cfRule type="colorScale" priority="50932">
      <colorScale>
        <cfvo type="min"/>
        <cfvo type="percentile" val="50"/>
        <cfvo type="max"/>
        <color rgb="FFF8696B"/>
        <color rgb="FFFFEB84"/>
        <color rgb="FF63BE7B"/>
      </colorScale>
    </cfRule>
  </conditionalFormatting>
  <conditionalFormatting sqref="AT1:AT1048576">
    <cfRule type="iconSet" priority="279">
      <iconSet iconSet="5Arrows">
        <cfvo type="percent" val="0"/>
        <cfvo type="percent" val="20"/>
        <cfvo type="percent" val="40"/>
        <cfvo type="percent" val="60"/>
        <cfvo type="percent" val="80"/>
      </iconSet>
    </cfRule>
    <cfRule type="colorScale" priority="511">
      <colorScale>
        <cfvo type="min"/>
        <cfvo type="percentile" val="50"/>
        <cfvo type="max"/>
        <color rgb="FFF8696B"/>
        <color rgb="FFFFEB84"/>
        <color rgb="FF63BE7B"/>
      </colorScale>
    </cfRule>
  </conditionalFormatting>
  <conditionalFormatting sqref="AP1:AT1048576">
    <cfRule type="colorScale" priority="50951">
      <colorScale>
        <cfvo type="min"/>
        <cfvo type="percentile" val="50"/>
        <cfvo type="max"/>
        <color theme="7" tint="0.79998168889431442"/>
        <color theme="7" tint="0.59999389629810485"/>
        <color theme="7" tint="0.39997558519241921"/>
      </colorScale>
    </cfRule>
  </conditionalFormatting>
  <conditionalFormatting sqref="BM1:BM1048576">
    <cfRule type="iconSet" priority="281">
      <iconSet iconSet="5Arrows">
        <cfvo type="percent" val="0"/>
        <cfvo type="percent" val="20"/>
        <cfvo type="percent" val="40"/>
        <cfvo type="percent" val="60"/>
        <cfvo type="percent" val="80"/>
      </iconSet>
    </cfRule>
    <cfRule type="colorScale" priority="521">
      <colorScale>
        <cfvo type="min"/>
        <cfvo type="percentile" val="50"/>
        <cfvo type="max"/>
        <color rgb="FFF8696B"/>
        <color theme="4" tint="0.39997558519241921"/>
        <color rgb="FF00B0F0"/>
      </colorScale>
    </cfRule>
  </conditionalFormatting>
  <conditionalFormatting sqref="AR1:AS1048576">
    <cfRule type="colorScale" priority="530">
      <colorScale>
        <cfvo type="min"/>
        <cfvo type="percentile" val="50"/>
        <cfvo type="max"/>
        <color rgb="FFF8696B"/>
        <color rgb="FFFFEB84"/>
        <color rgb="FF63BE7B"/>
      </colorScale>
    </cfRule>
  </conditionalFormatting>
  <conditionalFormatting sqref="BA1:BA1048576">
    <cfRule type="colorScale" priority="301">
      <colorScale>
        <cfvo type="min"/>
        <cfvo type="max"/>
        <color rgb="FFFCFCFF"/>
        <color rgb="FFF8696B"/>
      </colorScale>
    </cfRule>
    <cfRule type="colorScale" priority="406">
      <colorScale>
        <cfvo type="min"/>
        <cfvo type="percentile" val="50"/>
        <cfvo type="max"/>
        <color rgb="FF63BE7B"/>
        <color rgb="FFFFEB84"/>
        <color rgb="FFF8696B"/>
      </colorScale>
    </cfRule>
  </conditionalFormatting>
  <conditionalFormatting sqref="CL1:CL1048576">
    <cfRule type="iconSet" priority="291">
      <iconSet iconSet="5Arrows">
        <cfvo type="percent" val="0"/>
        <cfvo type="percent" val="20"/>
        <cfvo type="percent" val="40"/>
        <cfvo type="percent" val="60"/>
        <cfvo type="percent" val="80"/>
      </iconSet>
    </cfRule>
    <cfRule type="colorScale" priority="432">
      <colorScale>
        <cfvo type="min"/>
        <cfvo type="percentile" val="50"/>
        <cfvo type="max"/>
        <color rgb="FFF8696B"/>
        <color rgb="FFFFEB84"/>
        <color rgb="FF63BE7B"/>
      </colorScale>
    </cfRule>
  </conditionalFormatting>
  <conditionalFormatting sqref="CN1:CO1048576">
    <cfRule type="colorScale" priority="431">
      <colorScale>
        <cfvo type="min"/>
        <cfvo type="percentile" val="50"/>
        <cfvo type="max"/>
        <color rgb="FFF8696B"/>
        <color rgb="FFFFEB84"/>
        <color rgb="FF63BE7B"/>
      </colorScale>
    </cfRule>
  </conditionalFormatting>
  <conditionalFormatting sqref="CP1:CP1048576">
    <cfRule type="iconSet" priority="271">
      <iconSet iconSet="5Arrows">
        <cfvo type="percent" val="0"/>
        <cfvo type="percent" val="20"/>
        <cfvo type="percent" val="40"/>
        <cfvo type="percent" val="60"/>
        <cfvo type="percent" val="80"/>
      </iconSet>
    </cfRule>
    <cfRule type="colorScale" priority="430">
      <colorScale>
        <cfvo type="min"/>
        <cfvo type="percentile" val="50"/>
        <cfvo type="max"/>
        <color rgb="FFF8696B"/>
        <color rgb="FFFFEB84"/>
        <color rgb="FF63BE7B"/>
      </colorScale>
    </cfRule>
  </conditionalFormatting>
  <conditionalFormatting sqref="CO1:CO1048576">
    <cfRule type="iconSet" priority="272">
      <iconSet iconSet="5Arrows">
        <cfvo type="percent" val="0"/>
        <cfvo type="percent" val="20"/>
        <cfvo type="percent" val="40"/>
        <cfvo type="percent" val="60"/>
        <cfvo type="percent" val="80"/>
      </iconSet>
    </cfRule>
    <cfRule type="colorScale" priority="425">
      <colorScale>
        <cfvo type="min"/>
        <cfvo type="percentile" val="50"/>
        <cfvo type="max"/>
        <color rgb="FFF8696B"/>
        <color rgb="FFFFEB84"/>
        <color rgb="FF63BE7B"/>
      </colorScale>
    </cfRule>
  </conditionalFormatting>
  <conditionalFormatting sqref="CX1:CX1048576">
    <cfRule type="iconSet" priority="287">
      <iconSet iconSet="5Arrows">
        <cfvo type="percent" val="0"/>
        <cfvo type="percent" val="20"/>
        <cfvo type="percent" val="40"/>
        <cfvo type="percent" val="60"/>
        <cfvo type="percent" val="80"/>
      </iconSet>
    </cfRule>
    <cfRule type="colorScale" priority="371">
      <colorScale>
        <cfvo type="min"/>
        <cfvo type="percentile" val="50"/>
        <cfvo type="max"/>
        <color rgb="FFF8696B"/>
        <color rgb="FFFFEB84"/>
        <color rgb="FF63BE7B"/>
      </colorScale>
    </cfRule>
  </conditionalFormatting>
  <conditionalFormatting sqref="CN1:CN1048576">
    <cfRule type="iconSet" priority="290">
      <iconSet iconSet="5Arrows">
        <cfvo type="percent" val="0"/>
        <cfvo type="percent" val="20"/>
        <cfvo type="percent" val="40"/>
        <cfvo type="percent" val="60"/>
        <cfvo type="percent" val="80"/>
      </iconSet>
    </cfRule>
    <cfRule type="colorScale" priority="417">
      <colorScale>
        <cfvo type="min"/>
        <cfvo type="percentile" val="50"/>
        <cfvo type="max"/>
        <color rgb="FFF8696B"/>
        <color rgb="FFFFEB84"/>
        <color rgb="FF63BE7B"/>
      </colorScale>
    </cfRule>
  </conditionalFormatting>
  <conditionalFormatting sqref="H2:H1048576">
    <cfRule type="colorScale" priority="412">
      <colorScale>
        <cfvo type="min"/>
        <cfvo type="percentile" val="50"/>
        <cfvo type="max"/>
        <color rgb="FFF8696B"/>
        <color rgb="FFFFEB84"/>
        <color rgb="FF63BE7B"/>
      </colorScale>
    </cfRule>
  </conditionalFormatting>
  <conditionalFormatting sqref="H1">
    <cfRule type="colorScale" priority="411">
      <colorScale>
        <cfvo type="min"/>
        <cfvo type="percentile" val="50"/>
        <cfvo type="max"/>
        <color rgb="FFF8696B"/>
        <color rgb="FFFFEB84"/>
        <color rgb="FF63BE7B"/>
      </colorScale>
    </cfRule>
  </conditionalFormatting>
  <conditionalFormatting sqref="H1">
    <cfRule type="colorScale" priority="410">
      <colorScale>
        <cfvo type="min"/>
        <cfvo type="percentile" val="50"/>
        <cfvo type="max"/>
        <color rgb="FF63BE7B"/>
        <color rgb="FFFFEB84"/>
        <color rgb="FFF8696B"/>
      </colorScale>
    </cfRule>
  </conditionalFormatting>
  <conditionalFormatting sqref="H1:H1048576">
    <cfRule type="colorScale" priority="407">
      <colorScale>
        <cfvo type="min"/>
        <cfvo type="percentile" val="50"/>
        <cfvo type="max"/>
        <color rgb="FF63BE7B"/>
        <color rgb="FFFFEB84"/>
        <color rgb="FFF8696B"/>
      </colorScale>
    </cfRule>
  </conditionalFormatting>
  <conditionalFormatting sqref="AM1:AM1048576">
    <cfRule type="colorScale" priority="401">
      <colorScale>
        <cfvo type="min"/>
        <cfvo type="percentile" val="50"/>
        <cfvo type="max"/>
        <color rgb="FFF8696B"/>
        <color rgb="FFFFEB84"/>
        <color rgb="FF63BE7B"/>
      </colorScale>
    </cfRule>
  </conditionalFormatting>
  <conditionalFormatting sqref="AP1:AP1048576">
    <cfRule type="iconSet" priority="293">
      <iconSet iconSet="5Arrows">
        <cfvo type="percent" val="0"/>
        <cfvo type="percent" val="20"/>
        <cfvo type="percent" val="40"/>
        <cfvo type="percent" val="60"/>
        <cfvo type="percent" val="80"/>
      </iconSet>
    </cfRule>
    <cfRule type="colorScale" priority="395">
      <colorScale>
        <cfvo type="min"/>
        <cfvo type="percentile" val="50"/>
        <cfvo type="max"/>
        <color rgb="FFF8696B"/>
        <color rgb="FFFFEB84"/>
        <color rgb="FF63BE7B"/>
      </colorScale>
    </cfRule>
  </conditionalFormatting>
  <conditionalFormatting sqref="AQ1:AQ1048576">
    <cfRule type="iconSet" priority="277">
      <iconSet iconSet="5Arrows">
        <cfvo type="percent" val="0"/>
        <cfvo type="percent" val="20"/>
        <cfvo type="percent" val="40"/>
        <cfvo type="percent" val="60"/>
        <cfvo type="percent" val="80"/>
      </iconSet>
    </cfRule>
    <cfRule type="colorScale" priority="394">
      <colorScale>
        <cfvo type="min"/>
        <cfvo type="percentile" val="50"/>
        <cfvo type="max"/>
        <color rgb="FFF8696B"/>
        <color rgb="FFFFEB84"/>
        <color rgb="FF63BE7B"/>
      </colorScale>
    </cfRule>
  </conditionalFormatting>
  <conditionalFormatting sqref="AR1:AR1048576">
    <cfRule type="iconSet" priority="292">
      <iconSet iconSet="5Arrows">
        <cfvo type="percent" val="0"/>
        <cfvo type="percent" val="20"/>
        <cfvo type="percent" val="40"/>
        <cfvo type="percent" val="60"/>
        <cfvo type="percent" val="80"/>
      </iconSet>
    </cfRule>
    <cfRule type="colorScale" priority="391">
      <colorScale>
        <cfvo type="min"/>
        <cfvo type="percentile" val="50"/>
        <cfvo type="max"/>
        <color rgb="FFF8696B"/>
        <color rgb="FFFFEB84"/>
        <color rgb="FF63BE7B"/>
      </colorScale>
    </cfRule>
  </conditionalFormatting>
  <conditionalFormatting sqref="AS1:AS1048576">
    <cfRule type="iconSet" priority="278">
      <iconSet iconSet="5Arrows">
        <cfvo type="percent" val="0"/>
        <cfvo type="percent" val="20"/>
        <cfvo type="percent" val="40"/>
        <cfvo type="percent" val="60"/>
        <cfvo type="percent" val="80"/>
      </iconSet>
    </cfRule>
    <cfRule type="colorScale" priority="392">
      <colorScale>
        <cfvo type="min"/>
        <cfvo type="percentile" val="50"/>
        <cfvo type="max"/>
        <color rgb="FFF8696B"/>
        <color rgb="FFFFEB84"/>
        <color rgb="FF63BE7B"/>
      </colorScale>
    </cfRule>
  </conditionalFormatting>
  <conditionalFormatting sqref="DG1:DG1048576">
    <cfRule type="colorScale" priority="367">
      <colorScale>
        <cfvo type="num" val="6.6"/>
        <cfvo type="num" val="6.65"/>
        <cfvo type="num" val="7"/>
        <color rgb="FFF8696B"/>
        <color rgb="FFFFEB84"/>
        <color rgb="FF63BE7B"/>
      </colorScale>
    </cfRule>
    <cfRule type="iconSet" priority="375">
      <iconSet iconSet="3Arrows">
        <cfvo type="percent" val="0"/>
        <cfvo type="num" val="6.7"/>
        <cfvo type="num" val="7"/>
      </iconSet>
    </cfRule>
  </conditionalFormatting>
  <conditionalFormatting sqref="DG1:DG1048576">
    <cfRule type="colorScale" priority="384">
      <colorScale>
        <cfvo type="min"/>
        <cfvo type="percentile" val="50"/>
        <cfvo type="max"/>
        <color rgb="FF63BE7B"/>
        <color rgb="FFFFEB84"/>
        <color rgb="FFF8696B"/>
      </colorScale>
    </cfRule>
  </conditionalFormatting>
  <conditionalFormatting sqref="DG1">
    <cfRule type="colorScale" priority="379">
      <colorScale>
        <cfvo type="min"/>
        <cfvo type="percentile" val="50"/>
        <cfvo type="max"/>
        <color rgb="FFF8696B"/>
        <color rgb="FFFFEB84"/>
        <color rgb="FF63BE7B"/>
      </colorScale>
    </cfRule>
  </conditionalFormatting>
  <conditionalFormatting sqref="U1:AB1">
    <cfRule type="colorScale" priority="364">
      <colorScale>
        <cfvo type="min"/>
        <cfvo type="percentile" val="50"/>
        <cfvo type="max"/>
        <color rgb="FFF8696B"/>
        <color rgb="FFFFEB84"/>
        <color rgb="FF63BE7B"/>
      </colorScale>
    </cfRule>
  </conditionalFormatting>
  <conditionalFormatting sqref="U1:AB1">
    <cfRule type="colorScale" priority="363">
      <colorScale>
        <cfvo type="min"/>
        <cfvo type="percentile" val="50"/>
        <cfvo type="max"/>
        <color rgb="FFF8696B"/>
        <color rgb="FFFFEB84"/>
        <color rgb="FF63BE7B"/>
      </colorScale>
    </cfRule>
  </conditionalFormatting>
  <conditionalFormatting sqref="U1:AB1">
    <cfRule type="colorScale" priority="362">
      <colorScale>
        <cfvo type="min"/>
        <cfvo type="percentile" val="50"/>
        <cfvo type="max"/>
        <color rgb="FFF8696B"/>
        <color rgb="FFFFEB84"/>
        <color rgb="FF63BE7B"/>
      </colorScale>
    </cfRule>
  </conditionalFormatting>
  <conditionalFormatting sqref="U1:AB1">
    <cfRule type="colorScale" priority="361">
      <colorScale>
        <cfvo type="min"/>
        <cfvo type="percentile" val="50"/>
        <cfvo type="max"/>
        <color rgb="FF63BE7B"/>
        <color rgb="FFFFEB84"/>
        <color rgb="FFF8696B"/>
      </colorScale>
    </cfRule>
  </conditionalFormatting>
  <conditionalFormatting sqref="U1:AB1">
    <cfRule type="colorScale" priority="360">
      <colorScale>
        <cfvo type="min"/>
        <cfvo type="percentile" val="50"/>
        <cfvo type="max"/>
        <color rgb="FFF8696B"/>
        <color rgb="FFFFEB84"/>
        <color rgb="FF63BE7B"/>
      </colorScale>
    </cfRule>
  </conditionalFormatting>
  <conditionalFormatting sqref="AA1:AB1">
    <cfRule type="colorScale" priority="359">
      <colorScale>
        <cfvo type="min"/>
        <cfvo type="percentile" val="50"/>
        <cfvo type="max"/>
        <color rgb="FFF8696B"/>
        <color rgb="FFFFEB84"/>
        <color rgb="FF63BE7B"/>
      </colorScale>
    </cfRule>
  </conditionalFormatting>
  <conditionalFormatting sqref="Z1">
    <cfRule type="colorScale" priority="348">
      <colorScale>
        <cfvo type="min"/>
        <cfvo type="percentile" val="50"/>
        <cfvo type="max"/>
        <color rgb="FFF8696B"/>
        <color theme="4" tint="0.79998168889431442"/>
        <color rgb="FF00B0F0"/>
      </colorScale>
    </cfRule>
    <cfRule type="colorScale" priority="358">
      <colorScale>
        <cfvo type="min"/>
        <cfvo type="percentile" val="50"/>
        <cfvo type="max"/>
        <color rgb="FFF8696B"/>
        <color rgb="FFFFEB84"/>
        <color rgb="FF63BE7B"/>
      </colorScale>
    </cfRule>
  </conditionalFormatting>
  <conditionalFormatting sqref="AA1:AB1">
    <cfRule type="colorScale" priority="357">
      <colorScale>
        <cfvo type="min"/>
        <cfvo type="percentile" val="50"/>
        <cfvo type="max"/>
        <color rgb="FFF8696B"/>
        <color rgb="FFFFEB84"/>
        <color rgb="FF63BE7B"/>
      </colorScale>
    </cfRule>
  </conditionalFormatting>
  <conditionalFormatting sqref="AB1">
    <cfRule type="colorScale" priority="346">
      <colorScale>
        <cfvo type="min"/>
        <cfvo type="percentile" val="50"/>
        <cfvo type="max"/>
        <color rgb="FFF8696B"/>
        <color theme="4" tint="0.79998168889431442"/>
        <color rgb="FF00B0F0"/>
      </colorScale>
    </cfRule>
    <cfRule type="colorScale" priority="356">
      <colorScale>
        <cfvo type="min"/>
        <cfvo type="percentile" val="50"/>
        <cfvo type="max"/>
        <color rgb="FFF8696B"/>
        <color rgb="FFFFEB84"/>
        <color rgb="FF63BE7B"/>
      </colorScale>
    </cfRule>
  </conditionalFormatting>
  <conditionalFormatting sqref="U1">
    <cfRule type="colorScale" priority="353">
      <colorScale>
        <cfvo type="min"/>
        <cfvo type="percentile" val="50"/>
        <cfvo type="max"/>
        <color rgb="FFF8696B"/>
        <color theme="4" tint="0.79998168889431442"/>
        <color rgb="FF00B0F0"/>
      </colorScale>
    </cfRule>
    <cfRule type="colorScale" priority="355">
      <colorScale>
        <cfvo type="min"/>
        <cfvo type="percentile" val="50"/>
        <cfvo type="max"/>
        <color rgb="FFF8696B"/>
        <color rgb="FFFFEB84"/>
        <color rgb="FF63BE7B"/>
      </colorScale>
    </cfRule>
  </conditionalFormatting>
  <conditionalFormatting sqref="V1">
    <cfRule type="colorScale" priority="352">
      <colorScale>
        <cfvo type="min"/>
        <cfvo type="percentile" val="50"/>
        <cfvo type="max"/>
        <color rgb="FFF8696B"/>
        <color theme="4" tint="0.79998168889431442"/>
        <color rgb="FF00B0F0"/>
      </colorScale>
    </cfRule>
    <cfRule type="colorScale" priority="354">
      <colorScale>
        <cfvo type="min"/>
        <cfvo type="percentile" val="50"/>
        <cfvo type="max"/>
        <color rgb="FFF8696B"/>
        <color rgb="FFFFEB84"/>
        <color rgb="FF63BE7B"/>
      </colorScale>
    </cfRule>
  </conditionalFormatting>
  <conditionalFormatting sqref="W1">
    <cfRule type="colorScale" priority="351">
      <colorScale>
        <cfvo type="min"/>
        <cfvo type="percentile" val="50"/>
        <cfvo type="max"/>
        <color rgb="FFF8696B"/>
        <color theme="4" tint="0.79998168889431442"/>
        <color rgb="FF00B0F0"/>
      </colorScale>
    </cfRule>
  </conditionalFormatting>
  <conditionalFormatting sqref="X1">
    <cfRule type="colorScale" priority="350">
      <colorScale>
        <cfvo type="min"/>
        <cfvo type="percentile" val="50"/>
        <cfvo type="max"/>
        <color rgb="FFF8696B"/>
        <color theme="4" tint="0.79998168889431442"/>
        <color rgb="FF00B0F0"/>
      </colorScale>
    </cfRule>
  </conditionalFormatting>
  <conditionalFormatting sqref="Y1">
    <cfRule type="colorScale" priority="349">
      <colorScale>
        <cfvo type="min"/>
        <cfvo type="percentile" val="50"/>
        <cfvo type="max"/>
        <color rgb="FFF8696B"/>
        <color theme="4" tint="0.79998168889431442"/>
        <color rgb="FF00B0F0"/>
      </colorScale>
    </cfRule>
  </conditionalFormatting>
  <conditionalFormatting sqref="AA1">
    <cfRule type="colorScale" priority="347">
      <colorScale>
        <cfvo type="min"/>
        <cfvo type="percentile" val="50"/>
        <cfvo type="max"/>
        <color rgb="FFF8696B"/>
        <color theme="4" tint="0.79998168889431442"/>
        <color rgb="FF00B0F0"/>
      </colorScale>
    </cfRule>
  </conditionalFormatting>
  <conditionalFormatting sqref="AC1">
    <cfRule type="colorScale" priority="342">
      <colorScale>
        <cfvo type="min"/>
        <cfvo type="percentile" val="50"/>
        <cfvo type="max"/>
        <color rgb="FFF8696B"/>
        <color rgb="FFFFEB84"/>
        <color rgb="FF63BE7B"/>
      </colorScale>
    </cfRule>
  </conditionalFormatting>
  <conditionalFormatting sqref="AC1">
    <cfRule type="colorScale" priority="341">
      <colorScale>
        <cfvo type="min"/>
        <cfvo type="percentile" val="50"/>
        <cfvo type="max"/>
        <color rgb="FFF8696B"/>
        <color rgb="FFFFEB84"/>
        <color rgb="FF63BE7B"/>
      </colorScale>
    </cfRule>
  </conditionalFormatting>
  <conditionalFormatting sqref="AC1">
    <cfRule type="colorScale" priority="340">
      <colorScale>
        <cfvo type="min"/>
        <cfvo type="max"/>
        <color rgb="FFFFEF9C"/>
        <color rgb="FF63BE7B"/>
      </colorScale>
    </cfRule>
  </conditionalFormatting>
  <conditionalFormatting sqref="AC1:AC1048576">
    <cfRule type="colorScale" priority="310">
      <colorScale>
        <cfvo type="min"/>
        <cfvo type="percentile" val="50"/>
        <cfvo type="max"/>
        <color rgb="FFF8696B"/>
        <color rgb="FFFFEB84"/>
        <color rgb="FF63BE7B"/>
      </colorScale>
    </cfRule>
    <cfRule type="colorScale" priority="337">
      <colorScale>
        <cfvo type="min"/>
        <cfvo type="max"/>
        <color rgb="FFFFEF9C"/>
        <color rgb="FF63BE7B"/>
      </colorScale>
    </cfRule>
  </conditionalFormatting>
  <conditionalFormatting sqref="AD2:AF1048576">
    <cfRule type="colorScale" priority="334">
      <colorScale>
        <cfvo type="min"/>
        <cfvo type="percentile" val="50"/>
        <cfvo type="max"/>
        <color rgb="FFF8696B"/>
        <color rgb="FFFFEB84"/>
        <color rgb="FF63BE7B"/>
      </colorScale>
    </cfRule>
  </conditionalFormatting>
  <conditionalFormatting sqref="AD2:AF1048576">
    <cfRule type="colorScale" priority="333">
      <colorScale>
        <cfvo type="min"/>
        <cfvo type="max"/>
        <color rgb="FFFFEF9C"/>
        <color rgb="FF63BE7B"/>
      </colorScale>
    </cfRule>
  </conditionalFormatting>
  <conditionalFormatting sqref="AD1:AF1">
    <cfRule type="colorScale" priority="332">
      <colorScale>
        <cfvo type="min"/>
        <cfvo type="percentile" val="50"/>
        <cfvo type="max"/>
        <color rgb="FFF8696B"/>
        <color rgb="FFFFEB84"/>
        <color rgb="FF63BE7B"/>
      </colorScale>
    </cfRule>
  </conditionalFormatting>
  <conditionalFormatting sqref="AD1:AF1">
    <cfRule type="colorScale" priority="331">
      <colorScale>
        <cfvo type="min"/>
        <cfvo type="percentile" val="50"/>
        <cfvo type="max"/>
        <color rgb="FFF8696B"/>
        <color rgb="FFFFEB84"/>
        <color rgb="FF63BE7B"/>
      </colorScale>
    </cfRule>
  </conditionalFormatting>
  <conditionalFormatting sqref="AD1">
    <cfRule type="colorScale" priority="329">
      <colorScale>
        <cfvo type="min"/>
        <cfvo type="percentile" val="50"/>
        <cfvo type="max"/>
        <color rgb="FFF8696B"/>
        <color rgb="FFFFEB84"/>
        <color rgb="FF63BE7B"/>
      </colorScale>
    </cfRule>
    <cfRule type="colorScale" priority="330">
      <colorScale>
        <cfvo type="min"/>
        <cfvo type="max"/>
        <color rgb="FFFFEF9C"/>
        <color rgb="FF63BE7B"/>
      </colorScale>
    </cfRule>
  </conditionalFormatting>
  <conditionalFormatting sqref="AE1">
    <cfRule type="colorScale" priority="328">
      <colorScale>
        <cfvo type="min"/>
        <cfvo type="max"/>
        <color rgb="FFFCFCFF"/>
        <color rgb="FFF8696B"/>
      </colorScale>
    </cfRule>
  </conditionalFormatting>
  <conditionalFormatting sqref="AF1">
    <cfRule type="colorScale" priority="327">
      <colorScale>
        <cfvo type="min"/>
        <cfvo type="percentile" val="50"/>
        <cfvo type="max"/>
        <color rgb="FFF8696B"/>
        <color rgb="FFFFEB84"/>
        <color rgb="FF63BE7B"/>
      </colorScale>
    </cfRule>
  </conditionalFormatting>
  <conditionalFormatting sqref="AD1:AD1048576">
    <cfRule type="colorScale" priority="309">
      <colorScale>
        <cfvo type="min"/>
        <cfvo type="percentile" val="50"/>
        <cfvo type="max"/>
        <color rgb="FFF8696B"/>
        <color rgb="FFFFEB84"/>
        <color rgb="FF63BE7B"/>
      </colorScale>
    </cfRule>
  </conditionalFormatting>
  <conditionalFormatting sqref="AE1:AE1048576">
    <cfRule type="colorScale" priority="307">
      <colorScale>
        <cfvo type="min"/>
        <cfvo type="percentile" val="50"/>
        <cfvo type="max"/>
        <color rgb="FF63BE7B"/>
        <color rgb="FFFFEB84"/>
        <color rgb="FFF8696B"/>
      </colorScale>
    </cfRule>
    <cfRule type="colorScale" priority="325">
      <colorScale>
        <cfvo type="min"/>
        <cfvo type="max"/>
        <color rgb="FFFCFCFF"/>
        <color rgb="FFF8696B"/>
      </colorScale>
    </cfRule>
  </conditionalFormatting>
  <conditionalFormatting sqref="AF1:AF1048576">
    <cfRule type="colorScale" priority="306">
      <colorScale>
        <cfvo type="min"/>
        <cfvo type="percentile" val="50"/>
        <cfvo type="max"/>
        <color rgb="FFF8696B"/>
        <color rgb="FFFFEB84"/>
        <color rgb="FF63BE7B"/>
      </colorScale>
    </cfRule>
  </conditionalFormatting>
  <conditionalFormatting sqref="U1:U1048576">
    <cfRule type="dataBar" priority="263">
      <dataBar>
        <cfvo type="min"/>
        <cfvo type="max"/>
        <color rgb="FF008AEF"/>
      </dataBar>
      <extLst>
        <ext xmlns:x14="http://schemas.microsoft.com/office/spreadsheetml/2009/9/main" uri="{B025F937-C7B1-47D3-B67F-A62EFF666E3E}">
          <x14:id>{C9556B89-F02C-494E-8924-135F87758A8B}</x14:id>
        </ext>
      </extLst>
    </cfRule>
    <cfRule type="colorScale" priority="321">
      <colorScale>
        <cfvo type="min"/>
        <cfvo type="percentile" val="50"/>
        <cfvo type="max"/>
        <color rgb="FFF8696B"/>
        <color theme="4" tint="0.79998168889431442"/>
        <color rgb="FF00B0F0"/>
      </colorScale>
    </cfRule>
  </conditionalFormatting>
  <conditionalFormatting sqref="V1:V1048576">
    <cfRule type="dataBar" priority="264">
      <dataBar>
        <cfvo type="min"/>
        <cfvo type="max"/>
        <color rgb="FF008AEF"/>
      </dataBar>
      <extLst>
        <ext xmlns:x14="http://schemas.microsoft.com/office/spreadsheetml/2009/9/main" uri="{B025F937-C7B1-47D3-B67F-A62EFF666E3E}">
          <x14:id>{33F0FCFA-36D1-4279-B529-7B31F58C517D}</x14:id>
        </ext>
      </extLst>
    </cfRule>
    <cfRule type="colorScale" priority="320">
      <colorScale>
        <cfvo type="min"/>
        <cfvo type="percentile" val="50"/>
        <cfvo type="max"/>
        <color rgb="FFF8696B"/>
        <color theme="4" tint="0.79998168889431442"/>
        <color rgb="FF00B0F0"/>
      </colorScale>
    </cfRule>
  </conditionalFormatting>
  <conditionalFormatting sqref="W1:W1048576">
    <cfRule type="dataBar" priority="265">
      <dataBar>
        <cfvo type="min"/>
        <cfvo type="max"/>
        <color rgb="FF008AEF"/>
      </dataBar>
      <extLst>
        <ext xmlns:x14="http://schemas.microsoft.com/office/spreadsheetml/2009/9/main" uri="{B025F937-C7B1-47D3-B67F-A62EFF666E3E}">
          <x14:id>{953C22EF-0DA8-4FEF-8116-2565270667DC}</x14:id>
        </ext>
      </extLst>
    </cfRule>
    <cfRule type="colorScale" priority="319">
      <colorScale>
        <cfvo type="min"/>
        <cfvo type="percentile" val="50"/>
        <cfvo type="max"/>
        <color rgb="FFF8696B"/>
        <color theme="4" tint="0.79998168889431442"/>
        <color rgb="FF00B0F0"/>
      </colorScale>
    </cfRule>
  </conditionalFormatting>
  <conditionalFormatting sqref="X1:X1048576">
    <cfRule type="dataBar" priority="266">
      <dataBar>
        <cfvo type="min"/>
        <cfvo type="max"/>
        <color rgb="FF008AEF"/>
      </dataBar>
      <extLst>
        <ext xmlns:x14="http://schemas.microsoft.com/office/spreadsheetml/2009/9/main" uri="{B025F937-C7B1-47D3-B67F-A62EFF666E3E}">
          <x14:id>{3B384AA2-138D-4DBB-938B-E3D0EDF42314}</x14:id>
        </ext>
      </extLst>
    </cfRule>
    <cfRule type="colorScale" priority="318">
      <colorScale>
        <cfvo type="min"/>
        <cfvo type="percentile" val="50"/>
        <cfvo type="max"/>
        <color rgb="FFF8696B"/>
        <color theme="4" tint="0.79998168889431442"/>
        <color rgb="FF00B0F0"/>
      </colorScale>
    </cfRule>
  </conditionalFormatting>
  <conditionalFormatting sqref="Y1:Y1048576">
    <cfRule type="dataBar" priority="267">
      <dataBar>
        <cfvo type="min"/>
        <cfvo type="max"/>
        <color rgb="FF008AEF"/>
      </dataBar>
      <extLst>
        <ext xmlns:x14="http://schemas.microsoft.com/office/spreadsheetml/2009/9/main" uri="{B025F937-C7B1-47D3-B67F-A62EFF666E3E}">
          <x14:id>{864C00F7-7CF2-488B-A48D-7D7888BCE7F8}</x14:id>
        </ext>
      </extLst>
    </cfRule>
    <cfRule type="colorScale" priority="317">
      <colorScale>
        <cfvo type="min"/>
        <cfvo type="percentile" val="50"/>
        <cfvo type="max"/>
        <color rgb="FFF8696B"/>
        <color theme="4" tint="0.79998168889431442"/>
        <color rgb="FF00B0F0"/>
      </colorScale>
    </cfRule>
  </conditionalFormatting>
  <conditionalFormatting sqref="Z1:Z1048576">
    <cfRule type="dataBar" priority="268">
      <dataBar>
        <cfvo type="min"/>
        <cfvo type="max"/>
        <color rgb="FF008AEF"/>
      </dataBar>
      <extLst>
        <ext xmlns:x14="http://schemas.microsoft.com/office/spreadsheetml/2009/9/main" uri="{B025F937-C7B1-47D3-B67F-A62EFF666E3E}">
          <x14:id>{F6A0A220-5AE8-4657-92AA-0F2E4724DFF0}</x14:id>
        </ext>
      </extLst>
    </cfRule>
    <cfRule type="colorScale" priority="316">
      <colorScale>
        <cfvo type="min"/>
        <cfvo type="percentile" val="50"/>
        <cfvo type="max"/>
        <color rgb="FFF8696B"/>
        <color theme="4" tint="0.79998168889431442"/>
        <color rgb="FF00B0F0"/>
      </colorScale>
    </cfRule>
  </conditionalFormatting>
  <conditionalFormatting sqref="AA1:AA1048576">
    <cfRule type="dataBar" priority="269">
      <dataBar>
        <cfvo type="min"/>
        <cfvo type="max"/>
        <color rgb="FF008AEF"/>
      </dataBar>
      <extLst>
        <ext xmlns:x14="http://schemas.microsoft.com/office/spreadsheetml/2009/9/main" uri="{B025F937-C7B1-47D3-B67F-A62EFF666E3E}">
          <x14:id>{1F65FE95-19E7-45D1-8A6E-1BC9EC43E665}</x14:id>
        </ext>
      </extLst>
    </cfRule>
    <cfRule type="colorScale" priority="315">
      <colorScale>
        <cfvo type="min"/>
        <cfvo type="percentile" val="50"/>
        <cfvo type="max"/>
        <color rgb="FFF8696B"/>
        <color theme="4" tint="0.79998168889431442"/>
        <color rgb="FF00B0F0"/>
      </colorScale>
    </cfRule>
  </conditionalFormatting>
  <conditionalFormatting sqref="AB1:AB1048576">
    <cfRule type="dataBar" priority="270">
      <dataBar>
        <cfvo type="min"/>
        <cfvo type="max"/>
        <color rgb="FF008AEF"/>
      </dataBar>
      <extLst>
        <ext xmlns:x14="http://schemas.microsoft.com/office/spreadsheetml/2009/9/main" uri="{B025F937-C7B1-47D3-B67F-A62EFF666E3E}">
          <x14:id>{B76FC543-0DC4-420D-B2D3-20A769E744B2}</x14:id>
        </ext>
      </extLst>
    </cfRule>
    <cfRule type="colorScale" priority="314">
      <colorScale>
        <cfvo type="min"/>
        <cfvo type="percentile" val="50"/>
        <cfvo type="max"/>
        <color rgb="FFF8696B"/>
        <color theme="4" tint="0.79998168889431442"/>
        <color rgb="FF00B0F0"/>
      </colorScale>
    </cfRule>
  </conditionalFormatting>
  <conditionalFormatting sqref="G2:G11">
    <cfRule type="colorScale" priority="763265">
      <colorScale>
        <cfvo type="num" val="23"/>
        <cfvo type="num" val="28"/>
        <cfvo type="num" val="30"/>
        <color rgb="FF63BE7B"/>
        <color rgb="FFFFEB84"/>
        <color rgb="FFF8696B"/>
      </colorScale>
    </cfRule>
  </conditionalFormatting>
  <conditionalFormatting sqref="AK1:AK1048576">
    <cfRule type="colorScale" priority="259">
      <colorScale>
        <cfvo type="min"/>
        <cfvo type="max"/>
        <color rgb="FFFCFCFF"/>
        <color rgb="FFF8696B"/>
      </colorScale>
    </cfRule>
  </conditionalFormatting>
  <conditionalFormatting sqref="AL1:AL1048576">
    <cfRule type="colorScale" priority="258">
      <colorScale>
        <cfvo type="min"/>
        <cfvo type="max"/>
        <color rgb="FFFCFCFF"/>
        <color rgb="FFF8696B"/>
      </colorScale>
    </cfRule>
  </conditionalFormatting>
  <conditionalFormatting sqref="CY1:CY1048576">
    <cfRule type="colorScale" priority="254">
      <colorScale>
        <cfvo type="min"/>
        <cfvo type="percentile" val="50"/>
        <cfvo type="max"/>
        <color rgb="FFF8696B"/>
        <color theme="8" tint="0.79998168889431442"/>
        <color rgb="FF00B0F0"/>
      </colorScale>
    </cfRule>
    <cfRule type="iconSet" priority="255">
      <iconSet iconSet="5Arrows">
        <cfvo type="percent" val="0"/>
        <cfvo type="percent" val="20"/>
        <cfvo type="percent" val="40"/>
        <cfvo type="percent" val="60"/>
        <cfvo type="percent" val="80"/>
      </iconSet>
    </cfRule>
  </conditionalFormatting>
  <conditionalFormatting sqref="DD1:DD1048576">
    <cfRule type="iconSet" priority="240">
      <iconSet iconSet="5Arrows" reverse="1">
        <cfvo type="percent" val="0"/>
        <cfvo type="percent" val="20"/>
        <cfvo type="percent" val="40"/>
        <cfvo type="percent" val="60"/>
        <cfvo type="percent" val="80"/>
      </iconSet>
    </cfRule>
    <cfRule type="colorScale" priority="243">
      <colorScale>
        <cfvo type="min"/>
        <cfvo type="max"/>
        <color rgb="FFFCFCFF"/>
        <color rgb="FFF8696B"/>
      </colorScale>
    </cfRule>
  </conditionalFormatting>
  <conditionalFormatting sqref="DE1:DE1048576">
    <cfRule type="iconSet" priority="239">
      <iconSet iconSet="3Arrows" reverse="1">
        <cfvo type="percent" val="0"/>
        <cfvo type="percent" val="33"/>
        <cfvo type="percent" val="67"/>
      </iconSet>
    </cfRule>
    <cfRule type="colorScale" priority="242">
      <colorScale>
        <cfvo type="min"/>
        <cfvo type="max"/>
        <color rgb="FFFCFCFF"/>
        <color rgb="FFF8696B"/>
      </colorScale>
    </cfRule>
  </conditionalFormatting>
  <conditionalFormatting sqref="DF1:DF1048576">
    <cfRule type="iconSet" priority="238">
      <iconSet iconSet="5Arrows" reverse="1">
        <cfvo type="percent" val="0"/>
        <cfvo type="percent" val="20"/>
        <cfvo type="percent" val="40"/>
        <cfvo type="percent" val="60"/>
        <cfvo type="percent" val="80"/>
      </iconSet>
    </cfRule>
    <cfRule type="colorScale" priority="241">
      <colorScale>
        <cfvo type="min"/>
        <cfvo type="percentile" val="50"/>
        <cfvo type="max"/>
        <color rgb="FF63BE7B"/>
        <color rgb="FFFFEB84"/>
        <color rgb="FFF8696B"/>
      </colorScale>
    </cfRule>
  </conditionalFormatting>
  <conditionalFormatting sqref="S1:S1048576">
    <cfRule type="colorScale" priority="230">
      <colorScale>
        <cfvo type="min"/>
        <cfvo type="percentile" val="50"/>
        <cfvo type="max"/>
        <color theme="5" tint="0.79998168889431442"/>
        <color theme="5" tint="0.39997558519241921"/>
        <color theme="5" tint="-0.249977111117893"/>
      </colorScale>
    </cfRule>
    <cfRule type="iconSet" priority="232">
      <iconSet iconSet="3ArrowsGray">
        <cfvo type="percent" val="0"/>
        <cfvo type="percent" val="33"/>
        <cfvo type="percent" val="67"/>
      </iconSet>
    </cfRule>
  </conditionalFormatting>
  <conditionalFormatting sqref="T1:T1048576">
    <cfRule type="colorScale" priority="229">
      <colorScale>
        <cfvo type="min"/>
        <cfvo type="percentile" val="50"/>
        <cfvo type="max"/>
        <color theme="5" tint="0.79998168889431442"/>
        <color theme="5" tint="0.39997558519241921"/>
        <color theme="5" tint="-0.249977111117893"/>
      </colorScale>
    </cfRule>
    <cfRule type="iconSet" priority="231">
      <iconSet iconSet="3ArrowsGray">
        <cfvo type="percent" val="0"/>
        <cfvo type="percent" val="33"/>
        <cfvo type="percent" val="67"/>
      </iconSet>
    </cfRule>
  </conditionalFormatting>
  <conditionalFormatting sqref="BQ1:BQ1048576">
    <cfRule type="colorScale" priority="216">
      <colorScale>
        <cfvo type="min"/>
        <cfvo type="percentile" val="50"/>
        <cfvo type="max"/>
        <color rgb="FFF8696B"/>
        <color theme="4" tint="0.79998168889431442"/>
        <color rgb="FF00B0F0"/>
      </colorScale>
    </cfRule>
    <cfRule type="dataBar" priority="217">
      <dataBar>
        <cfvo type="min"/>
        <cfvo type="max"/>
        <color rgb="FF638EC6"/>
      </dataBar>
      <extLst>
        <ext xmlns:x14="http://schemas.microsoft.com/office/spreadsheetml/2009/9/main" uri="{B025F937-C7B1-47D3-B67F-A62EFF666E3E}">
          <x14:id>{828E7614-D558-4A4A-BE37-DFA7F077EC1A}</x14:id>
        </ext>
      </extLst>
    </cfRule>
  </conditionalFormatting>
  <conditionalFormatting sqref="I1:I1048576">
    <cfRule type="containsText" dxfId="4" priority="215" operator="containsText" text="Desconhecido">
      <formula>NOT(ISERROR(SEARCH("Desconhecido",I1)))</formula>
    </cfRule>
  </conditionalFormatting>
  <conditionalFormatting sqref="DC1:DC1048576">
    <cfRule type="colorScale" priority="209">
      <colorScale>
        <cfvo type="min"/>
        <cfvo type="percentile" val="50"/>
        <cfvo type="max"/>
        <color rgb="FFF8696B"/>
        <color rgb="FFFFEB84"/>
        <color rgb="FF63BE7B"/>
      </colorScale>
    </cfRule>
  </conditionalFormatting>
  <conditionalFormatting sqref="K1:K1048576">
    <cfRule type="colorScale" priority="203">
      <colorScale>
        <cfvo type="min"/>
        <cfvo type="max"/>
        <color rgb="FFFFEF9C"/>
        <color rgb="FF63BE7B"/>
      </colorScale>
    </cfRule>
  </conditionalFormatting>
  <conditionalFormatting sqref="L1:L1048576">
    <cfRule type="colorScale" priority="200">
      <colorScale>
        <cfvo type="min"/>
        <cfvo type="percentile" val="50"/>
        <cfvo type="max"/>
        <color rgb="FFF8696B"/>
        <color rgb="FFFFEB84"/>
        <color rgb="FF63BE7B"/>
      </colorScale>
    </cfRule>
  </conditionalFormatting>
  <conditionalFormatting sqref="M1:M1048576">
    <cfRule type="colorScale" priority="199">
      <colorScale>
        <cfvo type="min"/>
        <cfvo type="num" val="75"/>
        <cfvo type="num" val="90"/>
        <color rgb="FFF8696B"/>
        <color rgb="FFFFEB84"/>
        <color rgb="FF63BE7B"/>
      </colorScale>
    </cfRule>
  </conditionalFormatting>
  <conditionalFormatting sqref="N1:N1048576">
    <cfRule type="dataBar" priority="197">
      <dataBar>
        <cfvo type="min"/>
        <cfvo type="max"/>
        <color rgb="FF008AEF"/>
      </dataBar>
      <extLst>
        <ext xmlns:x14="http://schemas.microsoft.com/office/spreadsheetml/2009/9/main" uri="{B025F937-C7B1-47D3-B67F-A62EFF666E3E}">
          <x14:id>{E900F056-9E90-40A6-9CAC-59D7BCC49E47}</x14:id>
        </ext>
      </extLst>
    </cfRule>
    <cfRule type="colorScale" priority="198">
      <colorScale>
        <cfvo type="min"/>
        <cfvo type="percentile" val="50"/>
        <cfvo type="max"/>
        <color rgb="FFF8696B"/>
        <color rgb="FFFFEB84"/>
        <color rgb="FF63BE7B"/>
      </colorScale>
    </cfRule>
  </conditionalFormatting>
  <conditionalFormatting sqref="F2:F11">
    <cfRule type="colorScale" priority="195">
      <colorScale>
        <cfvo type="num" val="0"/>
        <cfvo type="num" val="1.75"/>
        <cfvo type="num" val="1.84"/>
        <color rgb="FFF8696B"/>
        <color rgb="FFFFEB84"/>
        <color rgb="FF63BE7B"/>
      </colorScale>
    </cfRule>
  </conditionalFormatting>
  <conditionalFormatting sqref="AZ1:AZ1048576">
    <cfRule type="colorScale" priority="194">
      <colorScale>
        <cfvo type="min"/>
        <cfvo type="max"/>
        <color rgb="FFFFAFAF"/>
        <color rgb="FFF8696B"/>
      </colorScale>
    </cfRule>
  </conditionalFormatting>
  <conditionalFormatting sqref="CA1:CA1048576">
    <cfRule type="iconSet" priority="175">
      <iconSet iconSet="5Arrows">
        <cfvo type="percent" val="0"/>
        <cfvo type="percent" val="20"/>
        <cfvo type="percent" val="40"/>
        <cfvo type="percent" val="60"/>
        <cfvo type="percent" val="80"/>
      </iconSet>
    </cfRule>
    <cfRule type="colorScale" priority="176">
      <colorScale>
        <cfvo type="min"/>
        <cfvo type="max"/>
        <color rgb="FFFFEF9C"/>
        <color rgb="FF63BE7B"/>
      </colorScale>
    </cfRule>
  </conditionalFormatting>
  <conditionalFormatting sqref="CB1:CB1048576">
    <cfRule type="iconSet" priority="173">
      <iconSet iconSet="3Arrows">
        <cfvo type="percent" val="0"/>
        <cfvo type="percent" val="33"/>
        <cfvo type="percent" val="67"/>
      </iconSet>
    </cfRule>
    <cfRule type="colorScale" priority="174">
      <colorScale>
        <cfvo type="min"/>
        <cfvo type="percentile" val="50"/>
        <cfvo type="max"/>
        <color rgb="FFF8696B"/>
        <color rgb="FFFFEB84"/>
        <color rgb="FF63BE7B"/>
      </colorScale>
    </cfRule>
  </conditionalFormatting>
  <conditionalFormatting sqref="CC1:CC1048576">
    <cfRule type="iconSet" priority="169">
      <iconSet iconSet="3ArrowsGray">
        <cfvo type="percent" val="0"/>
        <cfvo type="percent" val="33"/>
        <cfvo type="percent" val="67"/>
      </iconSet>
    </cfRule>
    <cfRule type="colorScale" priority="172">
      <colorScale>
        <cfvo type="min"/>
        <cfvo type="max"/>
        <color rgb="FFFFEF9C"/>
        <color rgb="FF63BE7B"/>
      </colorScale>
    </cfRule>
  </conditionalFormatting>
  <conditionalFormatting sqref="CE1:CE1048576">
    <cfRule type="iconSet" priority="168">
      <iconSet iconSet="3ArrowsGray">
        <cfvo type="percent" val="0"/>
        <cfvo type="percent" val="33"/>
        <cfvo type="percent" val="67"/>
      </iconSet>
    </cfRule>
    <cfRule type="colorScale" priority="171">
      <colorScale>
        <cfvo type="min"/>
        <cfvo type="max"/>
        <color rgb="FFFFEF9C"/>
        <color rgb="FF63BE7B"/>
      </colorScale>
    </cfRule>
  </conditionalFormatting>
  <conditionalFormatting sqref="CG1:CG1048576">
    <cfRule type="iconSet" priority="156">
      <iconSet iconSet="5Arrows">
        <cfvo type="percent" val="0"/>
        <cfvo type="percent" val="20"/>
        <cfvo type="percent" val="40"/>
        <cfvo type="percent" val="60"/>
        <cfvo type="percent" val="80"/>
      </iconSet>
    </cfRule>
    <cfRule type="colorScale" priority="157">
      <colorScale>
        <cfvo type="min"/>
        <cfvo type="percentile" val="50"/>
        <cfvo type="max"/>
        <color rgb="FFF8696B"/>
        <color rgb="FFFFEB84"/>
        <color rgb="FF63BE7B"/>
      </colorScale>
    </cfRule>
  </conditionalFormatting>
  <conditionalFormatting sqref="BN1:BN1048576">
    <cfRule type="iconSet" priority="152">
      <iconSet iconSet="5Arrows">
        <cfvo type="percent" val="0"/>
        <cfvo type="percent" val="20"/>
        <cfvo type="percent" val="40"/>
        <cfvo type="percent" val="60"/>
        <cfvo type="percent" val="80"/>
      </iconSet>
    </cfRule>
    <cfRule type="colorScale" priority="153">
      <colorScale>
        <cfvo type="min"/>
        <cfvo type="percentile" val="50"/>
        <cfvo type="max"/>
        <color rgb="FFF8696B"/>
        <color theme="4" tint="0.59999389629810485"/>
        <color rgb="FF00B0F0"/>
      </colorScale>
    </cfRule>
  </conditionalFormatting>
  <conditionalFormatting sqref="BO1:BO1048576">
    <cfRule type="colorScale" priority="150">
      <colorScale>
        <cfvo type="min"/>
        <cfvo type="percentile" val="50"/>
        <cfvo type="max"/>
        <color rgb="FF63BE7B"/>
        <color rgb="FFFFEB84"/>
        <color rgb="FFF8696B"/>
      </colorScale>
    </cfRule>
  </conditionalFormatting>
  <conditionalFormatting sqref="BP1:BP1048576">
    <cfRule type="colorScale" priority="149">
      <colorScale>
        <cfvo type="min"/>
        <cfvo type="percentile" val="50"/>
        <cfvo type="max"/>
        <color rgb="FF63BE7B"/>
        <color rgb="FFFFEB84"/>
        <color rgb="FFF8696B"/>
      </colorScale>
    </cfRule>
  </conditionalFormatting>
  <conditionalFormatting sqref="BW1:BW1048576">
    <cfRule type="iconSet" priority="138">
      <iconSet iconSet="5Arrows">
        <cfvo type="percent" val="0"/>
        <cfvo type="percent" val="20"/>
        <cfvo type="percent" val="40"/>
        <cfvo type="percent" val="60"/>
        <cfvo type="percent" val="80"/>
      </iconSet>
    </cfRule>
    <cfRule type="colorScale" priority="144">
      <colorScale>
        <cfvo type="min"/>
        <cfvo type="percentile" val="50"/>
        <cfvo type="max"/>
        <color rgb="FFF8696B"/>
        <color rgb="FFFFEB84"/>
        <color rgb="FF63BE7B"/>
      </colorScale>
    </cfRule>
  </conditionalFormatting>
  <conditionalFormatting sqref="BX1:BX1048576">
    <cfRule type="iconSet" priority="137">
      <iconSet iconSet="5Arrows">
        <cfvo type="percent" val="0"/>
        <cfvo type="percent" val="20"/>
        <cfvo type="percent" val="40"/>
        <cfvo type="percent" val="60"/>
        <cfvo type="percent" val="80"/>
      </iconSet>
    </cfRule>
    <cfRule type="colorScale" priority="143">
      <colorScale>
        <cfvo type="min"/>
        <cfvo type="percentile" val="50"/>
        <cfvo type="max"/>
        <color rgb="FFF8696B"/>
        <color rgb="FFFFEB84"/>
        <color rgb="FF63BE7B"/>
      </colorScale>
    </cfRule>
  </conditionalFormatting>
  <conditionalFormatting sqref="CZ1:CZ1048576">
    <cfRule type="colorScale" priority="135">
      <colorScale>
        <cfvo type="min"/>
        <cfvo type="percentile" val="50"/>
        <cfvo type="max"/>
        <color rgb="FFF8696B"/>
        <color theme="4" tint="0.79998168889431442"/>
        <color rgb="FF00B0F0"/>
      </colorScale>
    </cfRule>
  </conditionalFormatting>
  <conditionalFormatting sqref="DB1:DB1048576">
    <cfRule type="colorScale" priority="134">
      <colorScale>
        <cfvo type="min"/>
        <cfvo type="percentile" val="50"/>
        <cfvo type="max"/>
        <color rgb="FFF8696B"/>
        <color rgb="FFFFEB84"/>
        <color rgb="FF63BE7B"/>
      </colorScale>
    </cfRule>
  </conditionalFormatting>
  <conditionalFormatting sqref="CQ1:CQ1048576">
    <cfRule type="iconSet" priority="101">
      <iconSet iconSet="3ArrowsGray">
        <cfvo type="percent" val="0"/>
        <cfvo type="percent" val="33"/>
        <cfvo type="percent" val="67"/>
      </iconSet>
    </cfRule>
    <cfRule type="colorScale" priority="102">
      <colorScale>
        <cfvo type="min"/>
        <cfvo type="percentile" val="50"/>
        <cfvo type="max"/>
        <color rgb="FFF4B084"/>
        <color rgb="FFF08E52"/>
        <color rgb="FFEC7328"/>
      </colorScale>
    </cfRule>
  </conditionalFormatting>
  <conditionalFormatting sqref="CS1:CS1048576">
    <cfRule type="iconSet" priority="112">
      <iconSet iconSet="5Arrows">
        <cfvo type="percent" val="0"/>
        <cfvo type="percent" val="20"/>
        <cfvo type="percent" val="40"/>
        <cfvo type="percent" val="60"/>
        <cfvo type="percent" val="80"/>
      </iconSet>
    </cfRule>
    <cfRule type="colorScale" priority="113">
      <colorScale>
        <cfvo type="min"/>
        <cfvo type="percentile" val="50"/>
        <cfvo type="max"/>
        <color rgb="FFF8696B"/>
        <color rgb="FFFFEB84"/>
        <color rgb="FF63BE7B"/>
      </colorScale>
    </cfRule>
  </conditionalFormatting>
  <conditionalFormatting sqref="CT1:CT1048576">
    <cfRule type="iconSet" priority="110">
      <iconSet iconSet="5Arrows">
        <cfvo type="percent" val="0"/>
        <cfvo type="percent" val="20"/>
        <cfvo type="percent" val="40"/>
        <cfvo type="percent" val="60"/>
        <cfvo type="percent" val="80"/>
      </iconSet>
    </cfRule>
    <cfRule type="colorScale" priority="111">
      <colorScale>
        <cfvo type="min"/>
        <cfvo type="percentile" val="50"/>
        <cfvo type="max"/>
        <color rgb="FFF8696B"/>
        <color rgb="FFFFEB84"/>
        <color rgb="FF63BE7B"/>
      </colorScale>
    </cfRule>
  </conditionalFormatting>
  <conditionalFormatting sqref="CU1:CU1048576">
    <cfRule type="dataBar" priority="30">
      <dataBar>
        <cfvo type="min"/>
        <cfvo type="max"/>
        <color rgb="FFFF555A"/>
      </dataBar>
      <extLst>
        <ext xmlns:x14="http://schemas.microsoft.com/office/spreadsheetml/2009/9/main" uri="{B025F937-C7B1-47D3-B67F-A62EFF666E3E}">
          <x14:id>{AB6A3896-9054-41C5-B4D3-CED4049B13F6}</x14:id>
        </ext>
      </extLst>
    </cfRule>
    <cfRule type="iconSet" priority="106">
      <iconSet iconSet="3ArrowsGray" reverse="1">
        <cfvo type="percent" val="0"/>
        <cfvo type="percent" val="33"/>
        <cfvo type="percent" val="67"/>
      </iconSet>
    </cfRule>
    <cfRule type="colorScale" priority="108">
      <colorScale>
        <cfvo type="min"/>
        <cfvo type="max"/>
        <color rgb="FFFCFCFF"/>
        <color rgb="FFF8696B"/>
      </colorScale>
    </cfRule>
  </conditionalFormatting>
  <conditionalFormatting sqref="CV1:CV1048576">
    <cfRule type="dataBar" priority="29">
      <dataBar>
        <cfvo type="min"/>
        <cfvo type="max"/>
        <color rgb="FFFF555A"/>
      </dataBar>
      <extLst>
        <ext xmlns:x14="http://schemas.microsoft.com/office/spreadsheetml/2009/9/main" uri="{B025F937-C7B1-47D3-B67F-A62EFF666E3E}">
          <x14:id>{ACF1B960-8F63-428D-A700-25AEB66F934D}</x14:id>
        </ext>
      </extLst>
    </cfRule>
    <cfRule type="iconSet" priority="105">
      <iconSet iconSet="3ArrowsGray" reverse="1">
        <cfvo type="percent" val="0"/>
        <cfvo type="percent" val="33"/>
        <cfvo type="percent" val="67"/>
      </iconSet>
    </cfRule>
    <cfRule type="colorScale" priority="107">
      <colorScale>
        <cfvo type="min"/>
        <cfvo type="max"/>
        <color rgb="FFFCFCFF"/>
        <color rgb="FFF8696B"/>
      </colorScale>
    </cfRule>
  </conditionalFormatting>
  <conditionalFormatting sqref="CW1:CW1048576">
    <cfRule type="iconSet" priority="103">
      <iconSet iconSet="3Arrows">
        <cfvo type="percent" val="0"/>
        <cfvo type="percent" val="33"/>
        <cfvo type="percent" val="67"/>
      </iconSet>
    </cfRule>
    <cfRule type="colorScale" priority="104">
      <colorScale>
        <cfvo type="min"/>
        <cfvo type="percentile" val="50"/>
        <cfvo type="max"/>
        <color rgb="FFF8696B"/>
        <color rgb="FFFFEB84"/>
        <color rgb="FF63BE7B"/>
      </colorScale>
    </cfRule>
  </conditionalFormatting>
  <conditionalFormatting sqref="CR1:CR1048576">
    <cfRule type="iconSet" priority="99">
      <iconSet iconSet="3ArrowsGray">
        <cfvo type="percent" val="0"/>
        <cfvo type="percent" val="33"/>
        <cfvo type="percent" val="67"/>
      </iconSet>
    </cfRule>
    <cfRule type="colorScale" priority="100">
      <colorScale>
        <cfvo type="min"/>
        <cfvo type="percentile" val="50"/>
        <cfvo type="max"/>
        <color rgb="FFF4B084"/>
        <color rgb="FFF08E52"/>
        <color rgb="FFEC7328"/>
      </colorScale>
    </cfRule>
  </conditionalFormatting>
  <conditionalFormatting sqref="CH1:CH1048576">
    <cfRule type="iconSet" priority="92">
      <iconSet iconSet="3Arrows">
        <cfvo type="percent" val="0"/>
        <cfvo type="percent" val="33"/>
        <cfvo type="percent" val="67"/>
      </iconSet>
    </cfRule>
    <cfRule type="colorScale" priority="94">
      <colorScale>
        <cfvo type="min"/>
        <cfvo type="percentile" val="50"/>
        <cfvo type="max"/>
        <color rgb="FFF8696B"/>
        <color rgb="FFFFEB84"/>
        <color rgb="FF63BE7B"/>
      </colorScale>
    </cfRule>
  </conditionalFormatting>
  <conditionalFormatting sqref="CI1:CI1048576">
    <cfRule type="iconSet" priority="91">
      <iconSet iconSet="3Arrows">
        <cfvo type="percent" val="0"/>
        <cfvo type="percent" val="33"/>
        <cfvo type="percent" val="67"/>
      </iconSet>
    </cfRule>
    <cfRule type="colorScale" priority="93">
      <colorScale>
        <cfvo type="min"/>
        <cfvo type="percentile" val="50"/>
        <cfvo type="max"/>
        <color rgb="FFF8696B"/>
        <color rgb="FFFFEB84"/>
        <color rgb="FF63BE7B"/>
      </colorScale>
    </cfRule>
  </conditionalFormatting>
  <conditionalFormatting sqref="AU1:AU1048576">
    <cfRule type="iconSet" priority="81">
      <iconSet iconSet="5Arrows">
        <cfvo type="percent" val="0"/>
        <cfvo type="percent" val="20"/>
        <cfvo type="percent" val="40"/>
        <cfvo type="percent" val="60"/>
        <cfvo type="percent" val="80"/>
      </iconSet>
    </cfRule>
    <cfRule type="colorScale" priority="90">
      <colorScale>
        <cfvo type="min"/>
        <cfvo type="max"/>
        <color rgb="FFFFEF9C"/>
        <color rgb="FF63BE7B"/>
      </colorScale>
    </cfRule>
  </conditionalFormatting>
  <conditionalFormatting sqref="AV1:AV1048576">
    <cfRule type="iconSet" priority="82">
      <iconSet iconSet="5Arrows">
        <cfvo type="percent" val="0"/>
        <cfvo type="percent" val="20"/>
        <cfvo type="percent" val="40"/>
        <cfvo type="percent" val="60"/>
        <cfvo type="percent" val="80"/>
      </iconSet>
    </cfRule>
    <cfRule type="colorScale" priority="89">
      <colorScale>
        <cfvo type="min"/>
        <cfvo type="max"/>
        <color rgb="FFFFEF9C"/>
        <color rgb="FF63BE7B"/>
      </colorScale>
    </cfRule>
  </conditionalFormatting>
  <conditionalFormatting sqref="AW1:AW1048576">
    <cfRule type="iconSet" priority="83">
      <iconSet iconSet="5Arrows">
        <cfvo type="percent" val="0"/>
        <cfvo type="percent" val="20"/>
        <cfvo type="percent" val="40"/>
        <cfvo type="percent" val="60"/>
        <cfvo type="percent" val="80"/>
      </iconSet>
    </cfRule>
    <cfRule type="colorScale" priority="88">
      <colorScale>
        <cfvo type="min"/>
        <cfvo type="percentile" val="50"/>
        <cfvo type="max"/>
        <color rgb="FFF8696B"/>
        <color rgb="FFFFEB84"/>
        <color rgb="FF63BE7B"/>
      </colorScale>
    </cfRule>
  </conditionalFormatting>
  <conditionalFormatting sqref="AX1:AX1048576">
    <cfRule type="iconSet" priority="84">
      <iconSet iconSet="5Arrows">
        <cfvo type="percent" val="0"/>
        <cfvo type="percent" val="20"/>
        <cfvo type="percent" val="40"/>
        <cfvo type="percent" val="60"/>
        <cfvo type="percent" val="80"/>
      </iconSet>
    </cfRule>
    <cfRule type="colorScale" priority="87">
      <colorScale>
        <cfvo type="min"/>
        <cfvo type="percentile" val="50"/>
        <cfvo type="max"/>
        <color rgb="FFF8696B"/>
        <color rgb="FFFFEB84"/>
        <color rgb="FF63BE7B"/>
      </colorScale>
    </cfRule>
  </conditionalFormatting>
  <conditionalFormatting sqref="AY1:AY1048576">
    <cfRule type="iconSet" priority="85">
      <iconSet iconSet="5Arrows">
        <cfvo type="percent" val="0"/>
        <cfvo type="percent" val="20"/>
        <cfvo type="percent" val="40"/>
        <cfvo type="percent" val="60"/>
        <cfvo type="percent" val="80"/>
      </iconSet>
    </cfRule>
    <cfRule type="colorScale" priority="86">
      <colorScale>
        <cfvo type="min"/>
        <cfvo type="percentile" val="50"/>
        <cfvo type="max"/>
        <color rgb="FFF8696B"/>
        <color rgb="FFFFEB84"/>
        <color rgb="FF63BE7B"/>
      </colorScale>
    </cfRule>
  </conditionalFormatting>
  <conditionalFormatting sqref="AH1:AH1048576">
    <cfRule type="colorScale" priority="80">
      <colorScale>
        <cfvo type="min"/>
        <cfvo type="percentile" val="50"/>
        <cfvo type="max"/>
        <color rgb="FFF8696B"/>
        <color rgb="FFFFEB84"/>
        <color rgb="FF63BE7B"/>
      </colorScale>
    </cfRule>
  </conditionalFormatting>
  <conditionalFormatting sqref="AP1:AT1048576 AJ1:AJ1048576">
    <cfRule type="colorScale" priority="2362993">
      <colorScale>
        <cfvo type="min"/>
        <cfvo type="percentile" val="50"/>
        <cfvo type="max"/>
        <color rgb="FFF8696B"/>
        <color rgb="FFFFEB84"/>
        <color rgb="FF63BE7B"/>
      </colorScale>
    </cfRule>
  </conditionalFormatting>
  <conditionalFormatting sqref="CD1:CD1048576">
    <cfRule type="iconSet" priority="65">
      <iconSet iconSet="5Arrows">
        <cfvo type="percent" val="0"/>
        <cfvo type="percent" val="20"/>
        <cfvo type="percent" val="40"/>
        <cfvo type="percent" val="60"/>
        <cfvo type="percent" val="80"/>
      </iconSet>
    </cfRule>
    <cfRule type="colorScale" priority="67">
      <colorScale>
        <cfvo type="min"/>
        <cfvo type="max"/>
        <color rgb="FFFFEF9C"/>
        <color rgb="FF63BE7B"/>
      </colorScale>
    </cfRule>
  </conditionalFormatting>
  <conditionalFormatting sqref="CF1:CF1048576">
    <cfRule type="iconSet" priority="64">
      <iconSet iconSet="5Arrows">
        <cfvo type="percent" val="0"/>
        <cfvo type="percent" val="20"/>
        <cfvo type="percent" val="40"/>
        <cfvo type="percent" val="60"/>
        <cfvo type="percent" val="80"/>
      </iconSet>
    </cfRule>
    <cfRule type="colorScale" priority="66">
      <colorScale>
        <cfvo type="min"/>
        <cfvo type="max"/>
        <color rgb="FFFFEF9C"/>
        <color rgb="FF63BE7B"/>
      </colorScale>
    </cfRule>
  </conditionalFormatting>
  <conditionalFormatting sqref="BC1:BC1048576">
    <cfRule type="colorScale" priority="55">
      <colorScale>
        <cfvo type="min"/>
        <cfvo type="percentile" val="50"/>
        <cfvo type="max"/>
        <color rgb="FFF8696B"/>
        <color rgb="FFFFEB84"/>
        <color rgb="FF63BE7B"/>
      </colorScale>
    </cfRule>
  </conditionalFormatting>
  <conditionalFormatting sqref="BD1:BD1048576">
    <cfRule type="iconSet" priority="53">
      <iconSet iconSet="5Arrows">
        <cfvo type="percent" val="0"/>
        <cfvo type="percent" val="20"/>
        <cfvo type="percent" val="40"/>
        <cfvo type="percent" val="60"/>
        <cfvo type="percent" val="80"/>
      </iconSet>
    </cfRule>
    <cfRule type="colorScale" priority="54">
      <colorScale>
        <cfvo type="min"/>
        <cfvo type="percentile" val="50"/>
        <cfvo type="max"/>
        <color rgb="FFF8696B"/>
        <color rgb="FFFFEB84"/>
        <color rgb="FF63BE7B"/>
      </colorScale>
    </cfRule>
  </conditionalFormatting>
  <conditionalFormatting sqref="BE1:BE1048576">
    <cfRule type="iconSet" priority="51">
      <iconSet iconSet="5Arrows">
        <cfvo type="percent" val="0"/>
        <cfvo type="percent" val="20"/>
        <cfvo type="percent" val="40"/>
        <cfvo type="percent" val="60"/>
        <cfvo type="percent" val="80"/>
      </iconSet>
    </cfRule>
    <cfRule type="colorScale" priority="52">
      <colorScale>
        <cfvo type="min"/>
        <cfvo type="percentile" val="50"/>
        <cfvo type="max"/>
        <color rgb="FFF8696B"/>
        <color theme="6" tint="0.79998168889431442"/>
        <color rgb="FF00B0F0"/>
      </colorScale>
    </cfRule>
  </conditionalFormatting>
  <conditionalFormatting sqref="BF1:BF1048576">
    <cfRule type="iconSet" priority="49">
      <iconSet iconSet="5Arrows">
        <cfvo type="percent" val="0"/>
        <cfvo type="percent" val="20"/>
        <cfvo type="percent" val="40"/>
        <cfvo type="percent" val="60"/>
        <cfvo type="percent" val="80"/>
      </iconSet>
    </cfRule>
    <cfRule type="colorScale" priority="50">
      <colorScale>
        <cfvo type="min"/>
        <cfvo type="percentile" val="50"/>
        <cfvo type="max"/>
        <color rgb="FFF8696B"/>
        <color theme="4" tint="0.79998168889431442"/>
        <color rgb="FF00B0F0"/>
      </colorScale>
    </cfRule>
  </conditionalFormatting>
  <conditionalFormatting sqref="BG1:BG1048576">
    <cfRule type="dataBar" priority="47">
      <dataBar>
        <cfvo type="min"/>
        <cfvo type="max"/>
        <color rgb="FF008AEF"/>
      </dataBar>
      <extLst>
        <ext xmlns:x14="http://schemas.microsoft.com/office/spreadsheetml/2009/9/main" uri="{B025F937-C7B1-47D3-B67F-A62EFF666E3E}">
          <x14:id>{8D722F36-64F3-441C-8517-CA38EE422AE9}</x14:id>
        </ext>
      </extLst>
    </cfRule>
  </conditionalFormatting>
  <conditionalFormatting sqref="BR1:BR1048576">
    <cfRule type="iconSet" priority="45">
      <iconSet iconSet="5Arrows">
        <cfvo type="percent" val="0"/>
        <cfvo type="percent" val="20"/>
        <cfvo type="percent" val="40"/>
        <cfvo type="percent" val="60"/>
        <cfvo type="percent" val="80"/>
      </iconSet>
    </cfRule>
    <cfRule type="colorScale" priority="46">
      <colorScale>
        <cfvo type="num" val="-9.9999999999999991E-22"/>
        <cfvo type="num" val="0"/>
        <cfvo type="num" val="1"/>
        <color rgb="FFF8696B"/>
        <color theme="4" tint="0.79998168889431442"/>
        <color rgb="FF00B0F0"/>
      </colorScale>
    </cfRule>
  </conditionalFormatting>
  <conditionalFormatting sqref="BS1:BS1048576">
    <cfRule type="dataBar" priority="44">
      <dataBar>
        <cfvo type="min"/>
        <cfvo type="max"/>
        <color rgb="FF399357"/>
      </dataBar>
      <extLst>
        <ext xmlns:x14="http://schemas.microsoft.com/office/spreadsheetml/2009/9/main" uri="{B025F937-C7B1-47D3-B67F-A62EFF666E3E}">
          <x14:id>{D13C0685-632B-4089-929A-700BF6AC574C}</x14:id>
        </ext>
      </extLst>
    </cfRule>
  </conditionalFormatting>
  <conditionalFormatting sqref="BT1:BT1048576">
    <cfRule type="dataBar" priority="43">
      <dataBar>
        <cfvo type="min"/>
        <cfvo type="max"/>
        <color rgb="FF399357"/>
      </dataBar>
      <extLst>
        <ext xmlns:x14="http://schemas.microsoft.com/office/spreadsheetml/2009/9/main" uri="{B025F937-C7B1-47D3-B67F-A62EFF666E3E}">
          <x14:id>{962866D0-D2AA-4C61-914D-7BFF31599013}</x14:id>
        </ext>
      </extLst>
    </cfRule>
  </conditionalFormatting>
  <conditionalFormatting sqref="BY1:BY1048576">
    <cfRule type="dataBar" priority="38">
      <dataBar>
        <cfvo type="min"/>
        <cfvo type="max"/>
        <color rgb="FF9A0000"/>
      </dataBar>
      <extLst>
        <ext xmlns:x14="http://schemas.microsoft.com/office/spreadsheetml/2009/9/main" uri="{B025F937-C7B1-47D3-B67F-A62EFF666E3E}">
          <x14:id>{42050A4E-B1A9-4C5E-9947-0A1D78E02C28}</x14:id>
        </ext>
      </extLst>
    </cfRule>
  </conditionalFormatting>
  <conditionalFormatting sqref="BZ1:BZ1048576">
    <cfRule type="dataBar" priority="37">
      <dataBar>
        <cfvo type="min"/>
        <cfvo type="max"/>
        <color rgb="FF9A0000"/>
      </dataBar>
      <extLst>
        <ext xmlns:x14="http://schemas.microsoft.com/office/spreadsheetml/2009/9/main" uri="{B025F937-C7B1-47D3-B67F-A62EFF666E3E}">
          <x14:id>{7E6A37C6-6FD7-4467-9B21-3F07A0185A98}</x14:id>
        </ext>
      </extLst>
    </cfRule>
  </conditionalFormatting>
  <conditionalFormatting sqref="BU1:BU1048576">
    <cfRule type="colorScale" priority="34">
      <colorScale>
        <cfvo type="min"/>
        <cfvo type="percentile" val="50"/>
        <cfvo type="max"/>
        <color rgb="FFF8696B"/>
        <color rgb="FFFFEB84"/>
        <color rgb="FF63BE7B"/>
      </colorScale>
    </cfRule>
    <cfRule type="iconSet" priority="36">
      <iconSet iconSet="5Arrows">
        <cfvo type="percent" val="0"/>
        <cfvo type="percent" val="20"/>
        <cfvo type="percent" val="40"/>
        <cfvo type="percent" val="60"/>
        <cfvo type="percent" val="80"/>
      </iconSet>
    </cfRule>
  </conditionalFormatting>
  <conditionalFormatting sqref="BV1:BV1048576">
    <cfRule type="colorScale" priority="33">
      <colorScale>
        <cfvo type="min"/>
        <cfvo type="percentile" val="50"/>
        <cfvo type="max"/>
        <color rgb="FFF8696B"/>
        <color rgb="FFFFEB84"/>
        <color rgb="FF63BE7B"/>
      </colorScale>
    </cfRule>
    <cfRule type="iconSet" priority="35">
      <iconSet iconSet="5Arrows">
        <cfvo type="percent" val="0"/>
        <cfvo type="percent" val="20"/>
        <cfvo type="percent" val="40"/>
        <cfvo type="percent" val="60"/>
        <cfvo type="percent" val="80"/>
      </iconSet>
    </cfRule>
  </conditionalFormatting>
  <conditionalFormatting sqref="CJ1:CJ1048576">
    <cfRule type="dataBar" priority="32">
      <dataBar>
        <cfvo type="min"/>
        <cfvo type="max"/>
        <color rgb="FF399357"/>
      </dataBar>
      <extLst>
        <ext xmlns:x14="http://schemas.microsoft.com/office/spreadsheetml/2009/9/main" uri="{B025F937-C7B1-47D3-B67F-A62EFF666E3E}">
          <x14:id>{CA99C9C1-0EFA-4E15-B951-5BAC2A0DB9F2}</x14:id>
        </ext>
      </extLst>
    </cfRule>
  </conditionalFormatting>
  <conditionalFormatting sqref="CK1:CK1048576">
    <cfRule type="dataBar" priority="31">
      <dataBar>
        <cfvo type="min"/>
        <cfvo type="max"/>
        <color rgb="FF399357"/>
      </dataBar>
      <extLst>
        <ext xmlns:x14="http://schemas.microsoft.com/office/spreadsheetml/2009/9/main" uri="{B025F937-C7B1-47D3-B67F-A62EFF666E3E}">
          <x14:id>{849200F5-9D75-4C2C-805D-EF45B98E4C81}</x14:id>
        </ext>
      </extLst>
    </cfRule>
  </conditionalFormatting>
  <conditionalFormatting sqref="DA1:DA1048576">
    <cfRule type="dataBar" priority="22">
      <dataBar>
        <cfvo type="min"/>
        <cfvo type="max"/>
        <color theme="4" tint="-0.249977111117893"/>
      </dataBar>
      <extLst>
        <ext xmlns:x14="http://schemas.microsoft.com/office/spreadsheetml/2009/9/main" uri="{B025F937-C7B1-47D3-B67F-A62EFF666E3E}">
          <x14:id>{B3DFCC0B-F4BE-477E-9EED-FB9D94CBB0B8}</x14:id>
        </ext>
      </extLst>
    </cfRule>
    <cfRule type="iconSet" priority="23">
      <iconSet iconSet="5Arrows">
        <cfvo type="percent" val="0"/>
        <cfvo type="percent" val="20"/>
        <cfvo type="percent" val="40"/>
        <cfvo type="percent" val="60"/>
        <cfvo type="percent" val="80"/>
      </iconSet>
    </cfRule>
  </conditionalFormatting>
  <conditionalFormatting sqref="BH1:BH1048576">
    <cfRule type="colorScale" priority="16">
      <colorScale>
        <cfvo type="min"/>
        <cfvo type="percentile" val="50"/>
        <cfvo type="max"/>
        <color rgb="FFF8696B"/>
        <color rgb="FFFFEB84"/>
        <color rgb="FF63BE7B"/>
      </colorScale>
    </cfRule>
    <cfRule type="iconSet" priority="21">
      <iconSet iconSet="5Arrows">
        <cfvo type="percent" val="0"/>
        <cfvo type="percent" val="20"/>
        <cfvo type="percent" val="40"/>
        <cfvo type="percent" val="60"/>
        <cfvo type="percent" val="80"/>
      </iconSet>
    </cfRule>
  </conditionalFormatting>
  <conditionalFormatting sqref="BI1:BI1048576">
    <cfRule type="colorScale" priority="15">
      <colorScale>
        <cfvo type="min"/>
        <cfvo type="percentile" val="50"/>
        <cfvo type="max"/>
        <color rgb="FFF8696B"/>
        <color rgb="FFFFEB84"/>
        <color rgb="FF63BE7B"/>
      </colorScale>
    </cfRule>
    <cfRule type="iconSet" priority="20">
      <iconSet iconSet="5Arrows">
        <cfvo type="percent" val="0"/>
        <cfvo type="percent" val="20"/>
        <cfvo type="percent" val="40"/>
        <cfvo type="percent" val="60"/>
        <cfvo type="percent" val="80"/>
      </iconSet>
    </cfRule>
  </conditionalFormatting>
  <conditionalFormatting sqref="BJ1:BJ1048576">
    <cfRule type="colorScale" priority="14">
      <colorScale>
        <cfvo type="min"/>
        <cfvo type="percentile" val="50"/>
        <cfvo type="max"/>
        <color rgb="FFF8696B"/>
        <color rgb="FFFFEB84"/>
        <color rgb="FF63BE7B"/>
      </colorScale>
    </cfRule>
    <cfRule type="iconSet" priority="19">
      <iconSet iconSet="5Arrows">
        <cfvo type="percent" val="0"/>
        <cfvo type="percent" val="20"/>
        <cfvo type="percent" val="40"/>
        <cfvo type="percent" val="60"/>
        <cfvo type="percent" val="80"/>
      </iconSet>
    </cfRule>
  </conditionalFormatting>
  <conditionalFormatting sqref="BK1:BK1048576">
    <cfRule type="colorScale" priority="13">
      <colorScale>
        <cfvo type="min"/>
        <cfvo type="percentile" val="50"/>
        <cfvo type="max"/>
        <color rgb="FFF8696B"/>
        <color rgb="FFFFEB84"/>
        <color rgb="FF63BE7B"/>
      </colorScale>
    </cfRule>
    <cfRule type="iconSet" priority="18">
      <iconSet iconSet="5Arrows">
        <cfvo type="percent" val="0"/>
        <cfvo type="percent" val="20"/>
        <cfvo type="percent" val="40"/>
        <cfvo type="percent" val="60"/>
        <cfvo type="percent" val="80"/>
      </iconSet>
    </cfRule>
  </conditionalFormatting>
  <conditionalFormatting sqref="BL1:BL1048576">
    <cfRule type="dataBar" priority="17">
      <dataBar>
        <cfvo type="min"/>
        <cfvo type="max"/>
        <color rgb="FF29693E"/>
      </dataBar>
      <extLst>
        <ext xmlns:x14="http://schemas.microsoft.com/office/spreadsheetml/2009/9/main" uri="{B025F937-C7B1-47D3-B67F-A62EFF666E3E}">
          <x14:id>{F637298C-F5EB-4924-B001-7E23E2DAEFD4}</x14:id>
        </ext>
      </extLst>
    </cfRule>
  </conditionalFormatting>
  <conditionalFormatting sqref="BB1:BB1048576">
    <cfRule type="iconSet" priority="11">
      <iconSet iconSet="5Arrows">
        <cfvo type="percent" val="0"/>
        <cfvo type="percent" val="20"/>
        <cfvo type="percent" val="40"/>
        <cfvo type="percent" val="60"/>
        <cfvo type="percent" val="80"/>
      </iconSet>
    </cfRule>
    <cfRule type="colorScale" priority="12">
      <colorScale>
        <cfvo type="min"/>
        <cfvo type="percentile" val="50"/>
        <cfvo type="max"/>
        <color rgb="FFF8696B"/>
        <color rgb="FFFFEB84"/>
        <color rgb="FF63BE7B"/>
      </colorScale>
    </cfRule>
  </conditionalFormatting>
  <conditionalFormatting sqref="AN1:AN1048576">
    <cfRule type="iconSet" priority="8">
      <iconSet iconSet="5ArrowsGray" reverse="1">
        <cfvo type="percent" val="0"/>
        <cfvo type="percent" val="20"/>
        <cfvo type="percent" val="40"/>
        <cfvo type="percent" val="60"/>
        <cfvo type="percent" val="80"/>
      </iconSet>
    </cfRule>
    <cfRule type="colorScale" priority="10">
      <colorScale>
        <cfvo type="min"/>
        <cfvo type="max"/>
        <color rgb="FFFBABAD"/>
        <color rgb="FFF4181D"/>
      </colorScale>
    </cfRule>
  </conditionalFormatting>
  <conditionalFormatting sqref="AO1:AO1048576">
    <cfRule type="iconSet" priority="7">
      <iconSet iconSet="5ArrowsGray" reverse="1">
        <cfvo type="percent" val="0"/>
        <cfvo type="percent" val="20"/>
        <cfvo type="percent" val="40"/>
        <cfvo type="percent" val="60"/>
        <cfvo type="percent" val="80"/>
      </iconSet>
    </cfRule>
    <cfRule type="colorScale" priority="9">
      <colorScale>
        <cfvo type="min"/>
        <cfvo type="max"/>
        <color rgb="FFFBABAD"/>
        <color rgb="FFF4181D"/>
      </colorScale>
    </cfRule>
  </conditionalFormatting>
  <conditionalFormatting sqref="CM1:CM1048576">
    <cfRule type="iconSet" priority="5">
      <iconSet iconSet="5Arrows">
        <cfvo type="percent" val="0"/>
        <cfvo type="percent" val="20"/>
        <cfvo type="percent" val="40"/>
        <cfvo type="percent" val="60"/>
        <cfvo type="percent" val="80"/>
      </iconSet>
    </cfRule>
    <cfRule type="colorScale" priority="6">
      <colorScale>
        <cfvo type="min"/>
        <cfvo type="percentile" val="50"/>
        <cfvo type="max"/>
        <color rgb="FFF8696B"/>
        <color rgb="FFFFEB84"/>
        <color rgb="FF63BE7B"/>
      </colorScale>
    </cfRule>
  </conditionalFormatting>
  <conditionalFormatting sqref="O1:O1048576">
    <cfRule type="dataBar" priority="4">
      <dataBar>
        <cfvo type="min"/>
        <cfvo type="max"/>
        <color rgb="FF008AEF"/>
      </dataBar>
      <extLst>
        <ext xmlns:x14="http://schemas.microsoft.com/office/spreadsheetml/2009/9/main" uri="{B025F937-C7B1-47D3-B67F-A62EFF666E3E}">
          <x14:id>{13B069C8-1514-4BFA-B981-C79D5CB6BABF}</x14:id>
        </ext>
      </extLst>
    </cfRule>
  </conditionalFormatting>
  <conditionalFormatting sqref="P1:P1048576">
    <cfRule type="dataBar" priority="3">
      <dataBar>
        <cfvo type="min"/>
        <cfvo type="max"/>
        <color rgb="FF008AEF"/>
      </dataBar>
      <extLst>
        <ext xmlns:x14="http://schemas.microsoft.com/office/spreadsheetml/2009/9/main" uri="{B025F937-C7B1-47D3-B67F-A62EFF666E3E}">
          <x14:id>{670E0294-437E-481E-AFDD-40199ECA221C}</x14:id>
        </ext>
      </extLst>
    </cfRule>
  </conditionalFormatting>
  <conditionalFormatting sqref="Q1:Q1048576">
    <cfRule type="dataBar" priority="2">
      <dataBar>
        <cfvo type="min"/>
        <cfvo type="max"/>
        <color rgb="FF008AEF"/>
      </dataBar>
      <extLst>
        <ext xmlns:x14="http://schemas.microsoft.com/office/spreadsheetml/2009/9/main" uri="{B025F937-C7B1-47D3-B67F-A62EFF666E3E}">
          <x14:id>{403AF959-12BC-439B-85A6-028A19AA7CAB}</x14:id>
        </ext>
      </extLst>
    </cfRule>
  </conditionalFormatting>
  <conditionalFormatting sqref="R1:R1048576">
    <cfRule type="dataBar" priority="1">
      <dataBar>
        <cfvo type="min"/>
        <cfvo type="max"/>
        <color rgb="FF008AEF"/>
      </dataBar>
      <extLst>
        <ext xmlns:x14="http://schemas.microsoft.com/office/spreadsheetml/2009/9/main" uri="{B025F937-C7B1-47D3-B67F-A62EFF666E3E}">
          <x14:id>{2582FDD9-95CC-4955-835A-322AD639639D}</x14:id>
        </ext>
      </extLst>
    </cfRule>
  </conditionalFormatting>
  <conditionalFormatting sqref="DG12:DG1048576 DG1">
    <cfRule type="colorScale" priority="2833328">
      <colorScale>
        <cfvo type="min"/>
        <cfvo type="percentile" val="50"/>
        <cfvo type="max"/>
        <color rgb="FF63BE7B"/>
        <color rgb="FFFFEB84"/>
        <color rgb="FFF8696B"/>
      </colorScale>
    </cfRule>
  </conditionalFormatting>
  <conditionalFormatting sqref="AI2:AI11">
    <cfRule type="colorScale" priority="2833331">
      <colorScale>
        <cfvo type="min"/>
        <cfvo type="percentile" val="50"/>
        <cfvo type="max"/>
        <color rgb="FFF8696B"/>
        <color rgb="FFFFEB84"/>
        <color rgb="FF63BE7B"/>
      </colorScale>
    </cfRule>
  </conditionalFormatting>
  <conditionalFormatting sqref="AM1:AM11">
    <cfRule type="colorScale" priority="2833332">
      <colorScale>
        <cfvo type="min"/>
        <cfvo type="percentile" val="50"/>
        <cfvo type="max"/>
        <color rgb="FFF8696B"/>
        <color rgb="FFFFEB84"/>
        <color rgb="FF63BE7B"/>
      </colorScale>
    </cfRule>
  </conditionalFormatting>
  <conditionalFormatting sqref="DG2:DG11">
    <cfRule type="colorScale" priority="2833333">
      <colorScale>
        <cfvo type="min"/>
        <cfvo type="percentile" val="50"/>
        <cfvo type="max"/>
        <color rgb="FFF8696B"/>
        <color rgb="FFFFEB84"/>
        <color rgb="FF63BE7B"/>
      </colorScale>
    </cfRule>
  </conditionalFormatting>
  <conditionalFormatting sqref="DG2:DG11">
    <cfRule type="colorScale" priority="2833334">
      <colorScale>
        <cfvo type="min"/>
        <cfvo type="percentile" val="50"/>
        <cfvo type="max"/>
        <color rgb="FF63BE7B"/>
        <color rgb="FFFFEB84"/>
        <color rgb="FFF8696B"/>
      </colorScale>
    </cfRule>
  </conditionalFormatting>
  <conditionalFormatting sqref="AD2:AF11">
    <cfRule type="colorScale" priority="2833335">
      <colorScale>
        <cfvo type="min"/>
        <cfvo type="percentile" val="50"/>
        <cfvo type="max"/>
        <color rgb="FFF8696B"/>
        <color rgb="FFFFEB84"/>
        <color rgb="FF63BE7B"/>
      </colorScale>
    </cfRule>
  </conditionalFormatting>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C9556B89-F02C-494E-8924-135F87758A8B}">
            <x14:dataBar minLength="0" maxLength="100" border="1" negativeBarBorderColorSameAsPositive="0">
              <x14:cfvo type="autoMin"/>
              <x14:cfvo type="autoMax"/>
              <x14:borderColor rgb="FF008AEF"/>
              <x14:negativeFillColor rgb="FFFF0000"/>
              <x14:negativeBorderColor rgb="FFFF0000"/>
              <x14:axisColor rgb="FF000000"/>
            </x14:dataBar>
          </x14:cfRule>
          <xm:sqref>U1:U1048576</xm:sqref>
        </x14:conditionalFormatting>
        <x14:conditionalFormatting xmlns:xm="http://schemas.microsoft.com/office/excel/2006/main">
          <x14:cfRule type="dataBar" id="{33F0FCFA-36D1-4279-B529-7B31F58C517D}">
            <x14:dataBar minLength="0" maxLength="100" border="1" negativeBarBorderColorSameAsPositive="0">
              <x14:cfvo type="autoMin"/>
              <x14:cfvo type="autoMax"/>
              <x14:borderColor rgb="FF008AEF"/>
              <x14:negativeFillColor rgb="FFFF0000"/>
              <x14:negativeBorderColor rgb="FFFF0000"/>
              <x14:axisColor rgb="FF000000"/>
            </x14:dataBar>
          </x14:cfRule>
          <xm:sqref>V1:V1048576</xm:sqref>
        </x14:conditionalFormatting>
        <x14:conditionalFormatting xmlns:xm="http://schemas.microsoft.com/office/excel/2006/main">
          <x14:cfRule type="dataBar" id="{953C22EF-0DA8-4FEF-8116-2565270667DC}">
            <x14:dataBar minLength="0" maxLength="100" border="1" negativeBarBorderColorSameAsPositive="0">
              <x14:cfvo type="autoMin"/>
              <x14:cfvo type="autoMax"/>
              <x14:borderColor rgb="FF008AEF"/>
              <x14:negativeFillColor rgb="FFFF0000"/>
              <x14:negativeBorderColor rgb="FFFF0000"/>
              <x14:axisColor rgb="FF000000"/>
            </x14:dataBar>
          </x14:cfRule>
          <xm:sqref>W1:W1048576</xm:sqref>
        </x14:conditionalFormatting>
        <x14:conditionalFormatting xmlns:xm="http://schemas.microsoft.com/office/excel/2006/main">
          <x14:cfRule type="dataBar" id="{3B384AA2-138D-4DBB-938B-E3D0EDF42314}">
            <x14:dataBar minLength="0" maxLength="100" border="1" negativeBarBorderColorSameAsPositive="0">
              <x14:cfvo type="autoMin"/>
              <x14:cfvo type="autoMax"/>
              <x14:borderColor rgb="FF008AEF"/>
              <x14:negativeFillColor rgb="FFFF0000"/>
              <x14:negativeBorderColor rgb="FFFF0000"/>
              <x14:axisColor rgb="FF000000"/>
            </x14:dataBar>
          </x14:cfRule>
          <xm:sqref>X1:X1048576</xm:sqref>
        </x14:conditionalFormatting>
        <x14:conditionalFormatting xmlns:xm="http://schemas.microsoft.com/office/excel/2006/main">
          <x14:cfRule type="dataBar" id="{864C00F7-7CF2-488B-A48D-7D7888BCE7F8}">
            <x14:dataBar minLength="0" maxLength="100" border="1" negativeBarBorderColorSameAsPositive="0">
              <x14:cfvo type="autoMin"/>
              <x14:cfvo type="autoMax"/>
              <x14:borderColor rgb="FF008AEF"/>
              <x14:negativeFillColor rgb="FFFF0000"/>
              <x14:negativeBorderColor rgb="FFFF0000"/>
              <x14:axisColor rgb="FF000000"/>
            </x14:dataBar>
          </x14:cfRule>
          <xm:sqref>Y1:Y1048576</xm:sqref>
        </x14:conditionalFormatting>
        <x14:conditionalFormatting xmlns:xm="http://schemas.microsoft.com/office/excel/2006/main">
          <x14:cfRule type="dataBar" id="{F6A0A220-5AE8-4657-92AA-0F2E4724DFF0}">
            <x14:dataBar minLength="0" maxLength="100" border="1" negativeBarBorderColorSameAsPositive="0">
              <x14:cfvo type="autoMin"/>
              <x14:cfvo type="autoMax"/>
              <x14:borderColor rgb="FF008AEF"/>
              <x14:negativeFillColor rgb="FFFF0000"/>
              <x14:negativeBorderColor rgb="FFFF0000"/>
              <x14:axisColor rgb="FF000000"/>
            </x14:dataBar>
          </x14:cfRule>
          <xm:sqref>Z1:Z1048576</xm:sqref>
        </x14:conditionalFormatting>
        <x14:conditionalFormatting xmlns:xm="http://schemas.microsoft.com/office/excel/2006/main">
          <x14:cfRule type="dataBar" id="{1F65FE95-19E7-45D1-8A6E-1BC9EC43E665}">
            <x14:dataBar minLength="0" maxLength="100" border="1" negativeBarBorderColorSameAsPositive="0">
              <x14:cfvo type="autoMin"/>
              <x14:cfvo type="autoMax"/>
              <x14:borderColor rgb="FF008AEF"/>
              <x14:negativeFillColor rgb="FFFF0000"/>
              <x14:negativeBorderColor rgb="FFFF0000"/>
              <x14:axisColor rgb="FF000000"/>
            </x14:dataBar>
          </x14:cfRule>
          <xm:sqref>AA1:AA1048576</xm:sqref>
        </x14:conditionalFormatting>
        <x14:conditionalFormatting xmlns:xm="http://schemas.microsoft.com/office/excel/2006/main">
          <x14:cfRule type="dataBar" id="{B76FC543-0DC4-420D-B2D3-20A769E744B2}">
            <x14:dataBar minLength="0" maxLength="100" border="1" negativeBarBorderColorSameAsPositive="0">
              <x14:cfvo type="autoMin"/>
              <x14:cfvo type="autoMax"/>
              <x14:borderColor rgb="FF008AEF"/>
              <x14:negativeFillColor rgb="FFFF0000"/>
              <x14:negativeBorderColor rgb="FFFF0000"/>
              <x14:axisColor rgb="FF000000"/>
            </x14:dataBar>
          </x14:cfRule>
          <xm:sqref>AB1:AB1048576</xm:sqref>
        </x14:conditionalFormatting>
        <x14:conditionalFormatting xmlns:xm="http://schemas.microsoft.com/office/excel/2006/main">
          <x14:cfRule type="dataBar" id="{828E7614-D558-4A4A-BE37-DFA7F077EC1A}">
            <x14:dataBar minLength="0" maxLength="100" border="1" negativeBarBorderColorSameAsPositive="0">
              <x14:cfvo type="autoMin"/>
              <x14:cfvo type="autoMax"/>
              <x14:borderColor rgb="FF638EC6"/>
              <x14:negativeFillColor rgb="FFFF0000"/>
              <x14:negativeBorderColor rgb="FFFF0000"/>
              <x14:axisColor rgb="FF000000"/>
            </x14:dataBar>
          </x14:cfRule>
          <xm:sqref>BQ1:BQ1048576</xm:sqref>
        </x14:conditionalFormatting>
        <x14:conditionalFormatting xmlns:xm="http://schemas.microsoft.com/office/excel/2006/main">
          <x14:cfRule type="dataBar" id="{E900F056-9E90-40A6-9CAC-59D7BCC49E47}">
            <x14:dataBar minLength="0" maxLength="100" border="1" negativeBarBorderColorSameAsPositive="0">
              <x14:cfvo type="autoMin"/>
              <x14:cfvo type="autoMax"/>
              <x14:borderColor rgb="FF008AEF"/>
              <x14:negativeFillColor rgb="FFFF0000"/>
              <x14:negativeBorderColor rgb="FFFF0000"/>
              <x14:axisColor rgb="FF000000"/>
            </x14:dataBar>
          </x14:cfRule>
          <xm:sqref>N1:N1048576</xm:sqref>
        </x14:conditionalFormatting>
        <x14:conditionalFormatting xmlns:xm="http://schemas.microsoft.com/office/excel/2006/main">
          <x14:cfRule type="dataBar" id="{AB6A3896-9054-41C5-B4D3-CED4049B13F6}">
            <x14:dataBar minLength="0" maxLength="100" gradient="0">
              <x14:cfvo type="autoMin"/>
              <x14:cfvo type="autoMax"/>
              <x14:negativeFillColor rgb="FFFF0000"/>
              <x14:axisColor rgb="FF000000"/>
            </x14:dataBar>
          </x14:cfRule>
          <xm:sqref>CU1:CU1048576</xm:sqref>
        </x14:conditionalFormatting>
        <x14:conditionalFormatting xmlns:xm="http://schemas.microsoft.com/office/excel/2006/main">
          <x14:cfRule type="dataBar" id="{ACF1B960-8F63-428D-A700-25AEB66F934D}">
            <x14:dataBar minLength="0" maxLength="100" gradient="0">
              <x14:cfvo type="autoMin"/>
              <x14:cfvo type="autoMax"/>
              <x14:negativeFillColor rgb="FFFF0000"/>
              <x14:axisColor rgb="FF000000"/>
            </x14:dataBar>
          </x14:cfRule>
          <xm:sqref>CV1:CV1048576</xm:sqref>
        </x14:conditionalFormatting>
        <x14:conditionalFormatting xmlns:xm="http://schemas.microsoft.com/office/excel/2006/main">
          <x14:cfRule type="dataBar" id="{8D722F36-64F3-441C-8517-CA38EE422AE9}">
            <x14:dataBar minLength="0" maxLength="100" gradient="0">
              <x14:cfvo type="autoMin"/>
              <x14:cfvo type="autoMax"/>
              <x14:negativeFillColor rgb="FFFF0000"/>
              <x14:axisColor rgb="FF000000"/>
            </x14:dataBar>
          </x14:cfRule>
          <xm:sqref>BG1:BG1048576</xm:sqref>
        </x14:conditionalFormatting>
        <x14:conditionalFormatting xmlns:xm="http://schemas.microsoft.com/office/excel/2006/main">
          <x14:cfRule type="dataBar" id="{D13C0685-632B-4089-929A-700BF6AC574C}">
            <x14:dataBar minLength="0" maxLength="100" gradient="0">
              <x14:cfvo type="autoMin"/>
              <x14:cfvo type="autoMax"/>
              <x14:negativeFillColor rgb="FFFF0000"/>
              <x14:axisColor rgb="FF000000"/>
            </x14:dataBar>
          </x14:cfRule>
          <xm:sqref>BS1:BS1048576</xm:sqref>
        </x14:conditionalFormatting>
        <x14:conditionalFormatting xmlns:xm="http://schemas.microsoft.com/office/excel/2006/main">
          <x14:cfRule type="dataBar" id="{962866D0-D2AA-4C61-914D-7BFF31599013}">
            <x14:dataBar minLength="0" maxLength="100" gradient="0">
              <x14:cfvo type="autoMin"/>
              <x14:cfvo type="autoMax"/>
              <x14:negativeFillColor rgb="FFFF0000"/>
              <x14:axisColor rgb="FF000000"/>
            </x14:dataBar>
          </x14:cfRule>
          <xm:sqref>BT1:BT1048576</xm:sqref>
        </x14:conditionalFormatting>
        <x14:conditionalFormatting xmlns:xm="http://schemas.microsoft.com/office/excel/2006/main">
          <x14:cfRule type="dataBar" id="{42050A4E-B1A9-4C5E-9947-0A1D78E02C28}">
            <x14:dataBar minLength="0" maxLength="100" gradient="0">
              <x14:cfvo type="autoMin"/>
              <x14:cfvo type="autoMax"/>
              <x14:negativeFillColor rgb="FFFF0000"/>
              <x14:axisColor rgb="FF000000"/>
            </x14:dataBar>
          </x14:cfRule>
          <xm:sqref>BY1:BY1048576</xm:sqref>
        </x14:conditionalFormatting>
        <x14:conditionalFormatting xmlns:xm="http://schemas.microsoft.com/office/excel/2006/main">
          <x14:cfRule type="dataBar" id="{7E6A37C6-6FD7-4467-9B21-3F07A0185A98}">
            <x14:dataBar minLength="0" maxLength="100" gradient="0">
              <x14:cfvo type="autoMin"/>
              <x14:cfvo type="autoMax"/>
              <x14:negativeFillColor rgb="FFFF0000"/>
              <x14:axisColor rgb="FF000000"/>
            </x14:dataBar>
          </x14:cfRule>
          <xm:sqref>BZ1:BZ1048576</xm:sqref>
        </x14:conditionalFormatting>
        <x14:conditionalFormatting xmlns:xm="http://schemas.microsoft.com/office/excel/2006/main">
          <x14:cfRule type="dataBar" id="{CA99C9C1-0EFA-4E15-B951-5BAC2A0DB9F2}">
            <x14:dataBar minLength="0" maxLength="100" gradient="0">
              <x14:cfvo type="autoMin"/>
              <x14:cfvo type="autoMax"/>
              <x14:negativeFillColor rgb="FFFF0000"/>
              <x14:axisColor rgb="FF000000"/>
            </x14:dataBar>
          </x14:cfRule>
          <xm:sqref>CJ1:CJ1048576</xm:sqref>
        </x14:conditionalFormatting>
        <x14:conditionalFormatting xmlns:xm="http://schemas.microsoft.com/office/excel/2006/main">
          <x14:cfRule type="dataBar" id="{849200F5-9D75-4C2C-805D-EF45B98E4C81}">
            <x14:dataBar minLength="0" maxLength="100" gradient="0">
              <x14:cfvo type="autoMin"/>
              <x14:cfvo type="autoMax"/>
              <x14:negativeFillColor rgb="FFFF0000"/>
              <x14:axisColor rgb="FF000000"/>
            </x14:dataBar>
          </x14:cfRule>
          <xm:sqref>CK1:CK1048576</xm:sqref>
        </x14:conditionalFormatting>
        <x14:conditionalFormatting xmlns:xm="http://schemas.microsoft.com/office/excel/2006/main">
          <x14:cfRule type="dataBar" id="{B3DFCC0B-F4BE-477E-9EED-FB9D94CBB0B8}">
            <x14:dataBar minLength="0" maxLength="100" gradient="0">
              <x14:cfvo type="autoMin"/>
              <x14:cfvo type="autoMax"/>
              <x14:negativeFillColor rgb="FFFF0000"/>
              <x14:axisColor rgb="FF000000"/>
            </x14:dataBar>
          </x14:cfRule>
          <xm:sqref>DA1:DA1048576</xm:sqref>
        </x14:conditionalFormatting>
        <x14:conditionalFormatting xmlns:xm="http://schemas.microsoft.com/office/excel/2006/main">
          <x14:cfRule type="dataBar" id="{F637298C-F5EB-4924-B001-7E23E2DAEFD4}">
            <x14:dataBar minLength="0" maxLength="100" gradient="0">
              <x14:cfvo type="autoMin"/>
              <x14:cfvo type="autoMax"/>
              <x14:negativeFillColor rgb="FFFF0000"/>
              <x14:axisColor rgb="FF000000"/>
            </x14:dataBar>
          </x14:cfRule>
          <xm:sqref>BL1:BL1048576</xm:sqref>
        </x14:conditionalFormatting>
        <x14:conditionalFormatting xmlns:xm="http://schemas.microsoft.com/office/excel/2006/main">
          <x14:cfRule type="dataBar" id="{13B069C8-1514-4BFA-B981-C79D5CB6BABF}">
            <x14:dataBar minLength="0" maxLength="100" gradient="0">
              <x14:cfvo type="autoMin"/>
              <x14:cfvo type="autoMax"/>
              <x14:negativeFillColor rgb="FFFF0000"/>
              <x14:axisColor rgb="FF000000"/>
            </x14:dataBar>
          </x14:cfRule>
          <xm:sqref>O1:O1048576</xm:sqref>
        </x14:conditionalFormatting>
        <x14:conditionalFormatting xmlns:xm="http://schemas.microsoft.com/office/excel/2006/main">
          <x14:cfRule type="dataBar" id="{670E0294-437E-481E-AFDD-40199ECA221C}">
            <x14:dataBar minLength="0" maxLength="100" gradient="0">
              <x14:cfvo type="autoMin"/>
              <x14:cfvo type="autoMax"/>
              <x14:negativeFillColor rgb="FFFF0000"/>
              <x14:axisColor rgb="FF000000"/>
            </x14:dataBar>
          </x14:cfRule>
          <xm:sqref>P1:P1048576</xm:sqref>
        </x14:conditionalFormatting>
        <x14:conditionalFormatting xmlns:xm="http://schemas.microsoft.com/office/excel/2006/main">
          <x14:cfRule type="dataBar" id="{403AF959-12BC-439B-85A6-028A19AA7CAB}">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2582FDD9-95CC-4955-835A-322AD639639D}">
            <x14:dataBar minLength="0" maxLength="100" gradient="0">
              <x14:cfvo type="autoMin"/>
              <x14:cfvo type="autoMax"/>
              <x14:negativeFillColor rgb="FFFF0000"/>
              <x14:axisColor rgb="FF000000"/>
            </x14:dataBar>
          </x14:cfRule>
          <xm:sqref>R1:R1048576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tabColor theme="9" tint="-0.499984740745262"/>
  </sheetPr>
  <dimension ref="A1:EZ1001"/>
  <sheetViews>
    <sheetView zoomScale="90" zoomScaleNormal="90" workbookViewId="0">
      <pane xSplit="4" ySplit="1" topLeftCell="E2" activePane="bottomRight" state="frozen"/>
      <selection pane="topRight" activeCell="E1" sqref="E1"/>
      <selection pane="bottomLeft" activeCell="A2" sqref="A2"/>
      <selection pane="bottomRight"/>
    </sheetView>
  </sheetViews>
  <sheetFormatPr defaultRowHeight="15" x14ac:dyDescent="0.25"/>
  <cols>
    <col min="2" max="2" width="30.7109375" customWidth="1"/>
    <col min="3" max="3" width="12.5703125" customWidth="1"/>
    <col min="4" max="4" width="23" bestFit="1" customWidth="1"/>
    <col min="5" max="5" width="20.7109375" customWidth="1"/>
    <col min="6" max="6" width="14.7109375" customWidth="1"/>
    <col min="7" max="7" width="15.7109375" customWidth="1"/>
    <col min="8" max="8" width="15.140625" customWidth="1"/>
    <col min="9" max="9" width="13.42578125" customWidth="1"/>
    <col min="10" max="10" width="17.28515625" bestFit="1" customWidth="1"/>
    <col min="11" max="11" width="15.7109375" customWidth="1"/>
    <col min="12" max="12" width="15.7109375" style="13" customWidth="1"/>
    <col min="13" max="15" width="18.7109375" style="13" customWidth="1"/>
    <col min="16" max="18" width="18.7109375" customWidth="1"/>
    <col min="19" max="20" width="18.7109375" style="13" customWidth="1"/>
    <col min="21" max="82" width="18.7109375" customWidth="1"/>
    <col min="83" max="83" width="13.140625" hidden="1" customWidth="1"/>
    <col min="84" max="88" width="18.7109375" customWidth="1"/>
    <col min="89" max="95" width="18.7109375" style="11" customWidth="1"/>
    <col min="96" max="96" width="18.7109375" style="323" customWidth="1"/>
    <col min="97" max="100" width="18.7109375" style="11" customWidth="1"/>
    <col min="101" max="102" width="18.7109375" customWidth="1"/>
    <col min="103" max="105" width="19.7109375" customWidth="1"/>
    <col min="106" max="109" width="18.7109375" customWidth="1"/>
    <col min="110" max="110" width="8.7109375" customWidth="1"/>
    <col min="111" max="111" width="10.7109375" style="1" customWidth="1"/>
    <col min="112" max="112" width="11.140625" style="1" customWidth="1"/>
    <col min="113" max="118" width="10.7109375" style="1" customWidth="1"/>
    <col min="119" max="119" width="11.5703125" style="1" customWidth="1"/>
    <col min="120" max="156" width="10.7109375" style="1" customWidth="1"/>
  </cols>
  <sheetData>
    <row r="1" spans="1:156" ht="50.1" customHeight="1" thickBot="1" x14ac:dyDescent="0.3">
      <c r="A1" s="103"/>
      <c r="B1" s="4" t="s">
        <v>20</v>
      </c>
      <c r="C1" s="4" t="s">
        <v>201</v>
      </c>
      <c r="D1" s="4" t="s">
        <v>28</v>
      </c>
      <c r="E1" s="87" t="s">
        <v>217</v>
      </c>
      <c r="F1" s="4" t="s">
        <v>29</v>
      </c>
      <c r="G1" s="4" t="s">
        <v>1</v>
      </c>
      <c r="H1" s="82" t="s">
        <v>3</v>
      </c>
      <c r="I1" s="4" t="s">
        <v>112</v>
      </c>
      <c r="J1" s="4" t="s">
        <v>21</v>
      </c>
      <c r="K1" s="4" t="s">
        <v>216</v>
      </c>
      <c r="L1" s="4" t="s">
        <v>119</v>
      </c>
      <c r="M1" s="30" t="s">
        <v>401</v>
      </c>
      <c r="N1" s="30" t="s">
        <v>402</v>
      </c>
      <c r="O1" s="30" t="s">
        <v>405</v>
      </c>
      <c r="P1" s="207" t="s">
        <v>22</v>
      </c>
      <c r="Q1" s="207" t="s">
        <v>59</v>
      </c>
      <c r="R1" s="207" t="s">
        <v>60</v>
      </c>
      <c r="S1" s="90" t="s">
        <v>35</v>
      </c>
      <c r="T1" s="90" t="s">
        <v>397</v>
      </c>
      <c r="U1" s="96" t="s">
        <v>226</v>
      </c>
      <c r="V1" s="96" t="s">
        <v>223</v>
      </c>
      <c r="W1" s="97" t="s">
        <v>224</v>
      </c>
      <c r="X1" s="96" t="s">
        <v>225</v>
      </c>
      <c r="Y1" s="320" t="s">
        <v>63</v>
      </c>
      <c r="Z1" s="320" t="s">
        <v>472</v>
      </c>
      <c r="AA1" s="352" t="s">
        <v>61</v>
      </c>
      <c r="AB1" s="353" t="s">
        <v>58</v>
      </c>
      <c r="AC1" s="355" t="s">
        <v>62</v>
      </c>
      <c r="AD1" s="354" t="s">
        <v>691</v>
      </c>
      <c r="AE1" s="131" t="s">
        <v>699</v>
      </c>
      <c r="AF1" s="131" t="s">
        <v>698</v>
      </c>
      <c r="AG1" s="131" t="s">
        <v>90</v>
      </c>
      <c r="AH1" s="131" t="s">
        <v>94</v>
      </c>
      <c r="AI1" s="88" t="s">
        <v>211</v>
      </c>
      <c r="AJ1" s="88" t="s">
        <v>212</v>
      </c>
      <c r="AK1" s="88" t="s">
        <v>213</v>
      </c>
      <c r="AL1" s="88" t="s">
        <v>214</v>
      </c>
      <c r="AM1" s="88" t="s">
        <v>215</v>
      </c>
      <c r="AN1" s="161" t="s">
        <v>259</v>
      </c>
      <c r="AO1" s="161" t="s">
        <v>383</v>
      </c>
      <c r="AP1" s="161" t="s">
        <v>384</v>
      </c>
      <c r="AQ1" s="161" t="s">
        <v>256</v>
      </c>
      <c r="AR1" s="161" t="s">
        <v>421</v>
      </c>
      <c r="AS1" s="162" t="s">
        <v>90</v>
      </c>
      <c r="AT1" s="162" t="s">
        <v>385</v>
      </c>
      <c r="AU1" s="4" t="s">
        <v>71</v>
      </c>
      <c r="AV1" s="4" t="s">
        <v>43</v>
      </c>
      <c r="AW1" s="4" t="s">
        <v>144</v>
      </c>
      <c r="AX1" s="4" t="s">
        <v>72</v>
      </c>
      <c r="AY1" s="152" t="s">
        <v>27</v>
      </c>
      <c r="AZ1" s="152" t="s">
        <v>41</v>
      </c>
      <c r="BA1" s="4" t="s">
        <v>70</v>
      </c>
      <c r="BB1" s="38" t="s">
        <v>271</v>
      </c>
      <c r="BC1" s="38" t="s">
        <v>300</v>
      </c>
      <c r="BD1" s="38" t="s">
        <v>542</v>
      </c>
      <c r="BE1" s="38" t="s">
        <v>269</v>
      </c>
      <c r="BF1" s="77" t="s">
        <v>268</v>
      </c>
      <c r="BG1" s="16" t="s">
        <v>65</v>
      </c>
      <c r="BH1" s="16" t="s">
        <v>147</v>
      </c>
      <c r="BI1" s="16" t="s">
        <v>66</v>
      </c>
      <c r="BJ1" s="16" t="s">
        <v>543</v>
      </c>
      <c r="BK1" s="16" t="s">
        <v>283</v>
      </c>
      <c r="BL1" s="296" t="s">
        <v>67</v>
      </c>
      <c r="BM1" s="296" t="s">
        <v>544</v>
      </c>
      <c r="BN1" s="200" t="s">
        <v>443</v>
      </c>
      <c r="BO1" s="200" t="s">
        <v>444</v>
      </c>
      <c r="BP1" s="16" t="s">
        <v>54</v>
      </c>
      <c r="BQ1" s="39" t="s">
        <v>169</v>
      </c>
      <c r="BR1" s="39" t="s">
        <v>381</v>
      </c>
      <c r="BS1" s="39" t="s">
        <v>40</v>
      </c>
      <c r="BT1" s="39" t="s">
        <v>382</v>
      </c>
      <c r="BU1" s="132" t="s">
        <v>232</v>
      </c>
      <c r="BV1" s="132" t="s">
        <v>363</v>
      </c>
      <c r="BW1" s="39" t="s">
        <v>64</v>
      </c>
      <c r="BX1" s="51" t="s">
        <v>445</v>
      </c>
      <c r="BY1" s="51" t="s">
        <v>446</v>
      </c>
      <c r="BZ1" s="4" t="s">
        <v>69</v>
      </c>
      <c r="CA1" s="4" t="s">
        <v>73</v>
      </c>
      <c r="CB1" s="42" t="s">
        <v>360</v>
      </c>
      <c r="CC1" s="42" t="s">
        <v>222</v>
      </c>
      <c r="CD1" s="43" t="s">
        <v>120</v>
      </c>
      <c r="CE1" s="102" t="s">
        <v>458</v>
      </c>
      <c r="CF1" s="42" t="s">
        <v>459</v>
      </c>
      <c r="CG1" s="358" t="s">
        <v>263</v>
      </c>
      <c r="CH1" s="358" t="s">
        <v>295</v>
      </c>
      <c r="CI1" s="359" t="s">
        <v>294</v>
      </c>
      <c r="CJ1" s="359" t="s">
        <v>260</v>
      </c>
      <c r="CK1" s="361" t="s">
        <v>151</v>
      </c>
      <c r="CL1" s="110" t="s">
        <v>130</v>
      </c>
      <c r="CM1" s="109" t="s">
        <v>133</v>
      </c>
      <c r="CN1" s="109" t="s">
        <v>131</v>
      </c>
      <c r="CO1" s="109" t="s">
        <v>134</v>
      </c>
      <c r="CP1" s="291" t="s">
        <v>431</v>
      </c>
      <c r="CQ1" s="291" t="s">
        <v>432</v>
      </c>
      <c r="CR1" s="321" t="s">
        <v>132</v>
      </c>
      <c r="CS1" s="46" t="s">
        <v>156</v>
      </c>
      <c r="CT1" s="46" t="s">
        <v>437</v>
      </c>
      <c r="CU1" s="159" t="s">
        <v>378</v>
      </c>
      <c r="CV1" s="159" t="s">
        <v>120</v>
      </c>
      <c r="CW1" s="44" t="s">
        <v>330</v>
      </c>
      <c r="CX1" s="44" t="s">
        <v>331</v>
      </c>
      <c r="CY1" s="294" t="s">
        <v>411</v>
      </c>
      <c r="CZ1" s="365" t="s">
        <v>700</v>
      </c>
      <c r="DA1" s="365" t="s">
        <v>701</v>
      </c>
      <c r="DB1" s="43" t="s">
        <v>395</v>
      </c>
      <c r="DC1" s="43" t="s">
        <v>396</v>
      </c>
      <c r="DD1" s="43" t="s">
        <v>167</v>
      </c>
      <c r="DE1" s="108" t="s">
        <v>25</v>
      </c>
      <c r="DF1" s="261" t="s">
        <v>14</v>
      </c>
      <c r="DG1" s="262" t="s">
        <v>566</v>
      </c>
      <c r="DH1" s="262" t="s">
        <v>20</v>
      </c>
      <c r="DI1" s="262" t="s">
        <v>1</v>
      </c>
      <c r="DJ1" s="262" t="s">
        <v>0</v>
      </c>
      <c r="DK1" s="262" t="s">
        <v>29</v>
      </c>
      <c r="DL1" s="262" t="s">
        <v>37</v>
      </c>
      <c r="DM1" s="262" t="s">
        <v>2</v>
      </c>
      <c r="DN1" s="262" t="s">
        <v>3</v>
      </c>
      <c r="DO1" s="262" t="s">
        <v>81</v>
      </c>
      <c r="DP1" s="262" t="s">
        <v>567</v>
      </c>
      <c r="DQ1" s="262" t="s">
        <v>580</v>
      </c>
      <c r="DR1" s="262" t="s">
        <v>720</v>
      </c>
      <c r="DS1" s="262" t="s">
        <v>726</v>
      </c>
      <c r="DT1" s="262" t="s">
        <v>581</v>
      </c>
      <c r="DU1" s="262" t="s">
        <v>582</v>
      </c>
      <c r="DV1" s="262" t="s">
        <v>342</v>
      </c>
      <c r="DW1" s="262" t="s">
        <v>249</v>
      </c>
      <c r="DX1" s="262" t="s">
        <v>735</v>
      </c>
      <c r="DY1" s="262" t="s">
        <v>725</v>
      </c>
      <c r="DZ1" s="262" t="s">
        <v>153</v>
      </c>
      <c r="EA1" s="262" t="s">
        <v>575</v>
      </c>
      <c r="EB1" s="262" t="s">
        <v>732</v>
      </c>
      <c r="EC1" s="262" t="s">
        <v>731</v>
      </c>
      <c r="ED1" s="262" t="s">
        <v>733</v>
      </c>
      <c r="EE1" s="262" t="s">
        <v>71</v>
      </c>
      <c r="EF1" s="262" t="s">
        <v>520</v>
      </c>
      <c r="EG1" s="262" t="s">
        <v>414</v>
      </c>
      <c r="EH1" s="262" t="s">
        <v>577</v>
      </c>
      <c r="EI1" s="262" t="s">
        <v>8</v>
      </c>
      <c r="EJ1" s="262" t="s">
        <v>736</v>
      </c>
      <c r="EK1" s="262" t="s">
        <v>176</v>
      </c>
      <c r="EL1" s="262" t="s">
        <v>177</v>
      </c>
      <c r="EM1" s="262" t="s">
        <v>727</v>
      </c>
      <c r="EN1" s="262" t="s">
        <v>728</v>
      </c>
      <c r="EO1" s="262" t="s">
        <v>445</v>
      </c>
      <c r="EP1" s="262" t="s">
        <v>238</v>
      </c>
      <c r="EQ1" s="262" t="s">
        <v>734</v>
      </c>
      <c r="ER1" s="262" t="s">
        <v>221</v>
      </c>
      <c r="ES1" s="262" t="s">
        <v>46</v>
      </c>
      <c r="ET1" s="262" t="s">
        <v>576</v>
      </c>
      <c r="EU1" s="262" t="s">
        <v>724</v>
      </c>
      <c r="EV1" s="262" t="s">
        <v>583</v>
      </c>
      <c r="EW1" s="262" t="s">
        <v>737</v>
      </c>
      <c r="EX1" s="262" t="s">
        <v>738</v>
      </c>
      <c r="EY1" s="262" t="s">
        <v>18</v>
      </c>
      <c r="EZ1" s="263" t="s">
        <v>572</v>
      </c>
    </row>
    <row r="2" spans="1:156" ht="24.95" customHeight="1" thickBot="1" x14ac:dyDescent="0.3">
      <c r="A2" s="29" t="str">
        <f t="shared" ref="A2:A11" si="0">ROW()-1 &amp; "º"</f>
        <v>1º</v>
      </c>
      <c r="B2" s="67" t="str">
        <f t="shared" ref="B2:B11" si="1">DH2</f>
        <v>Danilo Cataldi</v>
      </c>
      <c r="C2" s="83" t="str">
        <f t="shared" ref="C2:C11" si="2">DG2</f>
        <v>ITA</v>
      </c>
      <c r="D2" s="28" t="str">
        <f t="shared" ref="D2:D11" si="3">DJ2</f>
        <v>Lazio</v>
      </c>
      <c r="E2" s="91" t="str">
        <f t="shared" ref="E2:E11" si="4">DL2</f>
        <v>Pé Direito</v>
      </c>
      <c r="F2" s="155">
        <f t="shared" ref="F2:F11" si="5">IFERROR(SUBSTITUTE(DK2," cm","")/100,0)</f>
        <v>1.8</v>
      </c>
      <c r="G2" s="36">
        <f t="shared" ref="G2:G11" si="6">DI2</f>
        <v>31</v>
      </c>
      <c r="H2" s="288" t="str">
        <f t="shared" ref="H2:H11" si="7">DN2</f>
        <v>€233m p/m</v>
      </c>
      <c r="I2" s="35">
        <f t="shared" ref="I2:I11" si="8">IF(DO2="-", "Sem Data Final", DO2)</f>
        <v>46568</v>
      </c>
      <c r="J2" s="188" t="str">
        <f t="shared" ref="J2:J11" si="9">DM2</f>
        <v>Não está à venda</v>
      </c>
      <c r="K2" s="89">
        <f t="shared" ref="K2:K11" si="10">AVERAGE(L:L)</f>
        <v>16.49111111111111</v>
      </c>
      <c r="L2" s="134">
        <f t="shared" ref="L2:L11" si="11">DP2/90</f>
        <v>15.744444444444444</v>
      </c>
      <c r="M2" s="134">
        <f t="shared" ref="M2:M11" si="12">IF(ISERROR(FIND("(",DQ2)), VALUE(DQ2), VALUE(LEFT(DQ2,FIND("(",DQ2)-2)) + VALUE(MID(DQ2,FIND("(",DQ2)+1,FIND(")",DQ2)-FIND("(",DQ2)-1)))</f>
        <v>17</v>
      </c>
      <c r="N2" s="134">
        <f t="shared" ref="N2:N11" si="13">IFERROR(DP2/M2,0)</f>
        <v>83.352941176470594</v>
      </c>
      <c r="O2" s="173">
        <f t="shared" ref="O2:O11" si="14">IFERROR(IF(ISERROR(FIND("(",DQ2)), "100%", TEXT(VALUE(LEFT(DQ2,FIND("(",DQ2)-2)) / (VALUE(LEFT(DQ2,FIND("(",DQ2)-2)) + VALUE(MID(DQ2,FIND("(",DQ2)+1,FIND(")",DQ2)-FIND("(",DQ2)-1))),"0%")),0)*1</f>
        <v>1</v>
      </c>
      <c r="P2" s="402">
        <f t="shared" ref="P2:P11" si="15">DT2</f>
        <v>0</v>
      </c>
      <c r="Q2" s="402">
        <f t="shared" ref="Q2:Q11" si="16">DU2</f>
        <v>6</v>
      </c>
      <c r="R2" s="402">
        <f t="shared" ref="R2:R11" si="17">IFERROR(P2+Q2,0)</f>
        <v>6</v>
      </c>
      <c r="S2" s="6">
        <f t="shared" ref="S2:S11" si="18">DR2</f>
        <v>1</v>
      </c>
      <c r="T2" s="21">
        <f t="shared" ref="T2:T11" si="19">IFERROR((S2*1)/L2,0)</f>
        <v>6.3514467184191958E-2</v>
      </c>
      <c r="U2" s="55">
        <f t="shared" ref="U2:U11" si="20">EW2</f>
        <v>0</v>
      </c>
      <c r="V2" s="55">
        <f t="shared" ref="V2:V11" si="21">EX2</f>
        <v>0</v>
      </c>
      <c r="W2" s="55">
        <f t="shared" ref="W2:W11" si="22">IFERROR(U2-V2,0)</f>
        <v>0</v>
      </c>
      <c r="X2" s="58">
        <f t="shared" ref="X2:X11" si="23">IFERROR((V2*1)/U2,0.0000001)</f>
        <v>9.9999999999999995E-8</v>
      </c>
      <c r="Y2" s="310">
        <f t="shared" ref="Y2:Y11" si="24">EA2</f>
        <v>15</v>
      </c>
      <c r="Z2" s="287">
        <f t="shared" ref="Z2:Z11" si="25">IFERROR(Y2/L2,0)</f>
        <v>0.95271700776287938</v>
      </c>
      <c r="AA2" s="2">
        <f t="shared" ref="AA2:AA11" si="26">DV2</f>
        <v>1</v>
      </c>
      <c r="AB2" s="2">
        <f t="shared" ref="AB2:AB11" si="27">DW2</f>
        <v>0</v>
      </c>
      <c r="AC2" s="2">
        <f t="shared" ref="AC2:AC11" si="28">IFERROR(DV2+DW2,0)</f>
        <v>1</v>
      </c>
      <c r="AD2" s="5">
        <f t="shared" ref="AD2:AD11" si="29">AC2/L2</f>
        <v>6.3514467184191958E-2</v>
      </c>
      <c r="AE2" s="364">
        <f t="shared" ref="AE2:AE11" si="30">IFERROR(EA2/(DV2),50)</f>
        <v>15</v>
      </c>
      <c r="AF2" s="364">
        <f t="shared" ref="AF2:AF11" si="31">IFERROR(EA2/(DV2+DW2),50)</f>
        <v>15</v>
      </c>
      <c r="AG2" s="2">
        <f t="shared" ref="AG2:AG11" si="32">Y2-(AA2+AB2)</f>
        <v>14</v>
      </c>
      <c r="AH2" s="21">
        <f t="shared" ref="AH2:AH11" si="33">IFERROR((AC2*1)/Y2,0)</f>
        <v>6.6666666666666666E-2</v>
      </c>
      <c r="AI2" s="195">
        <f t="shared" ref="AI2:AI11" si="34">EK2</f>
        <v>99</v>
      </c>
      <c r="AJ2" s="185">
        <f t="shared" ref="AJ2:AJ11" si="35">IFERROR(AI2/L2,0)</f>
        <v>6.287932251235004</v>
      </c>
      <c r="AK2" s="195">
        <f t="shared" ref="AK2:AK11" si="36">EL2</f>
        <v>34</v>
      </c>
      <c r="AL2" s="185">
        <f t="shared" ref="AL2:AL11" si="37">IFERROR(AK2/L2,0)</f>
        <v>2.1594918842625264</v>
      </c>
      <c r="AM2" s="21">
        <f t="shared" ref="AM2:AM11" si="38">IFERROR(AK2/AI2,0)</f>
        <v>0.34343434343434343</v>
      </c>
      <c r="AN2" s="6">
        <f t="shared" ref="AN2:AN11" si="39">IFERROR(EB2+EM2+EA2,0)</f>
        <v>55</v>
      </c>
      <c r="AO2" s="5">
        <f t="shared" ref="AO2:AO11" si="40">IFERROR(AN2/L2,0)</f>
        <v>3.4932956951305578</v>
      </c>
      <c r="AP2" s="6">
        <f t="shared" ref="AP2:AP11" si="41">IFERROR(EC2+EN2+EO2,0)</f>
        <v>23</v>
      </c>
      <c r="AQ2" s="5">
        <f t="shared" ref="AQ2:AQ11" si="42">IFERROR(AP2/L2,0)</f>
        <v>1.4608327452364149</v>
      </c>
      <c r="AR2" s="21">
        <f t="shared" ref="AR2:AR11" si="43">IFERROR((AP2*1)/AN2,0)</f>
        <v>0.41818181818181815</v>
      </c>
      <c r="AS2" s="2">
        <f t="shared" ref="AS2:AS11" si="44">IFERROR(EA2-DV2-DW2,0)</f>
        <v>14</v>
      </c>
      <c r="AT2" s="21">
        <f t="shared" ref="AT2:AT11" si="45">IFERROR((AS2*1)/EA2,0)</f>
        <v>0.93333333333333335</v>
      </c>
      <c r="AU2" s="6">
        <f t="shared" ref="AU2:AU11" si="46">EE2</f>
        <v>930</v>
      </c>
      <c r="AV2" s="6">
        <f t="shared" ref="AV2:AV11" si="47">EF2</f>
        <v>873</v>
      </c>
      <c r="AW2" s="5">
        <f t="shared" ref="AW2:AW11" si="48">IFERROR((AV2/L2),0)</f>
        <v>55.448129851799578</v>
      </c>
      <c r="AX2" s="5">
        <f t="shared" ref="AX2:AX11" si="49">IFERROR((AV2-AY2)/(DP2/90),0)</f>
        <v>51.82780522230064</v>
      </c>
      <c r="AY2" s="6">
        <f t="shared" ref="AY2:AY11" si="50">AU2-AV2</f>
        <v>57</v>
      </c>
      <c r="AZ2" s="5">
        <f t="shared" ref="AZ2:AZ11" si="51">IFERROR(AY2/L2,0)</f>
        <v>3.6203246294989415</v>
      </c>
      <c r="BA2" s="20">
        <f t="shared" ref="BA2:BA11" si="52">IFERROR((EF2*1)/EE2,0)</f>
        <v>0.93870967741935485</v>
      </c>
      <c r="BB2" s="289">
        <f t="shared" ref="BB2:BB11" si="53">(EE2-EH2)</f>
        <v>822</v>
      </c>
      <c r="BC2" s="5">
        <f t="shared" ref="BC2:BC11" si="54">IFERROR(BB2/L2,0)</f>
        <v>52.208892025405788</v>
      </c>
      <c r="BD2" s="6">
        <f t="shared" ref="BD2:BD11" si="55">EH2</f>
        <v>108</v>
      </c>
      <c r="BE2" s="5">
        <f t="shared" ref="BE2:BE11" si="56">IFERROR(BD2/L2,0)</f>
        <v>6.8595624558927311</v>
      </c>
      <c r="BF2" s="21">
        <f t="shared" ref="BF2:BF11" si="57">IFERROR((BD2*1)/BB2,0)</f>
        <v>0.13138686131386862</v>
      </c>
      <c r="BG2" s="6">
        <f t="shared" ref="BG2:BG11" si="58">EB2</f>
        <v>19</v>
      </c>
      <c r="BH2" s="5">
        <f t="shared" ref="BH2:BH11" si="59">IFERROR(BG2/L2,0)</f>
        <v>1.2067748764996471</v>
      </c>
      <c r="BI2" s="6">
        <f t="shared" ref="BI2:BI11" si="60">EC2</f>
        <v>6</v>
      </c>
      <c r="BJ2" s="5">
        <f t="shared" ref="BJ2:BJ11" si="61">IFERROR(BI2/L2,0)</f>
        <v>0.38108680310515175</v>
      </c>
      <c r="BK2" s="21">
        <f t="shared" ref="BK2:BK11" si="62">IFERROR(EC2/EB2,0)</f>
        <v>0.31578947368421051</v>
      </c>
      <c r="BL2" s="6">
        <f t="shared" ref="BL2:BL11" si="63">EB2-EC2</f>
        <v>13</v>
      </c>
      <c r="BM2" s="5">
        <f t="shared" ref="BM2:BM11" si="64">IFERROR(BL2/L2,0)</f>
        <v>0.82568807339449546</v>
      </c>
      <c r="BN2" s="6">
        <f t="shared" ref="BN2:BN11" si="65">IFERROR((BO2*L2),0)</f>
        <v>0</v>
      </c>
      <c r="BO2" s="5">
        <f t="shared" ref="BO2:BO11" si="66">ED2</f>
        <v>0</v>
      </c>
      <c r="BP2" s="21">
        <f t="shared" ref="BP2:BP11" si="67">IFERROR((BI2*1)/BG2,0)</f>
        <v>0.31578947368421051</v>
      </c>
      <c r="BQ2" s="6">
        <f t="shared" ref="BQ2:BQ11" si="68">EM2+EA2</f>
        <v>36</v>
      </c>
      <c r="BR2" s="5">
        <f t="shared" ref="BR2:BR11" si="69">IFERROR(BQ2/L2,0)</f>
        <v>2.2865208186309105</v>
      </c>
      <c r="BS2" s="6">
        <f t="shared" ref="BS2:BS11" si="70">EN2</f>
        <v>15</v>
      </c>
      <c r="BT2" s="5">
        <f t="shared" ref="BT2:BT11" si="71">IFERROR(BS2/L2,0)</f>
        <v>0.95271700776287938</v>
      </c>
      <c r="BU2" s="6">
        <f t="shared" ref="BU2:BU11" si="72">EM2-EN2</f>
        <v>6</v>
      </c>
      <c r="BV2" s="5">
        <f t="shared" ref="BV2:BV11" si="73">IFERROR(BU2/L2,0)</f>
        <v>0.38108680310515175</v>
      </c>
      <c r="BW2" s="21">
        <f t="shared" ref="BW2:BW11" si="74">IFERROR((BS2*1)/BQ2,0)</f>
        <v>0.41666666666666669</v>
      </c>
      <c r="BX2" s="6">
        <f t="shared" ref="BX2:BX11" si="75">EO2</f>
        <v>2</v>
      </c>
      <c r="BY2" s="5">
        <f t="shared" ref="BY2:BY11" si="76">IFERROR(BX2/L2,0)</f>
        <v>0.12702893436838392</v>
      </c>
      <c r="BZ2" s="2">
        <f t="shared" ref="BZ2:BZ11" si="77">EG2</f>
        <v>18</v>
      </c>
      <c r="CA2" s="5">
        <f t="shared" ref="CA2:CA11" si="78">IFERROR(BZ2/L2,0)</f>
        <v>1.1432604093154553</v>
      </c>
      <c r="CB2" s="6">
        <f t="shared" ref="CB2:CB11" si="79">IFERROR(EQ2+EP2+ER2+EO2+(EU2*L2),0)</f>
        <v>262.27333333333331</v>
      </c>
      <c r="CC2" s="5">
        <f t="shared" ref="CC2:CC11" si="80">IFERROR(CB2/L2,0)</f>
        <v>16.658151023288639</v>
      </c>
      <c r="CD2" s="5">
        <f t="shared" ref="CD2:CD11" si="81">IFERROR((DX2+EG2+DU2)/L2,0)</f>
        <v>1.6513761467889909</v>
      </c>
      <c r="CE2" s="6">
        <f t="shared" ref="CE2:CE11" si="82">SUM(EN:EN)</f>
        <v>173</v>
      </c>
      <c r="CF2" s="362">
        <f t="shared" ref="CF2:CF11" si="83">IFERROR((EN2*1)/CE2,0)</f>
        <v>8.6705202312138727E-2</v>
      </c>
      <c r="CG2" s="356">
        <f t="shared" ref="CG2:CG11" si="84">ER2+EQ2+ES2+EP2</f>
        <v>51</v>
      </c>
      <c r="CH2" s="357">
        <f t="shared" ref="CH2:CH11" si="85">IFERROR(CG2/L2,0)</f>
        <v>3.23923782639379</v>
      </c>
      <c r="CI2" s="356">
        <f t="shared" ref="CI2:CI11" si="86">EL2+EN2+(EO2*0.5)</f>
        <v>50</v>
      </c>
      <c r="CJ2" s="357">
        <f t="shared" ref="CJ2:CJ11" si="87">IFERROR(CI2/L2,0)</f>
        <v>3.1757233592095977</v>
      </c>
      <c r="CK2" s="360">
        <f t="shared" ref="CK2:CK11" si="88">EU2</f>
        <v>13.8</v>
      </c>
      <c r="CL2" s="59">
        <f t="shared" ref="CL2:CL11" si="89">IFERROR((DS2*3)+(DV2*1.5)+(DW2*2)+EM2+EQ2+ES2+EP2+ER2+EA2+(BN2*0.5),0)</f>
        <v>88.5</v>
      </c>
      <c r="CM2" s="60">
        <f t="shared" ref="CM2:CM11" si="90">IFERROR(CL2/L2,0)</f>
        <v>5.621030345800988</v>
      </c>
      <c r="CN2" s="59">
        <f t="shared" ref="CN2:CN11" si="91">IFERROR(EN2+EQ2+EO2+ES2+EP2+ER2+(BN2*0.5),0)</f>
        <v>68</v>
      </c>
      <c r="CO2" s="60">
        <f t="shared" ref="CO2:CO11" si="92">IFERROR(CN2/L2,0)</f>
        <v>4.3189837685250527</v>
      </c>
      <c r="CP2" s="292">
        <f t="shared" ref="CP2:CP11" si="93">IFERROR((DS2*3)+(DV2*1.25)+(DW2*2)+EA2+AY2,0)</f>
        <v>73.25</v>
      </c>
      <c r="CQ2" s="293">
        <f t="shared" ref="CQ2:CQ11" si="94">CP2/L2</f>
        <v>4.6524347212420611</v>
      </c>
      <c r="CR2" s="322">
        <f t="shared" ref="CR2:CR11" si="95">IFERROR(CN2/CL2,0)</f>
        <v>0.76836158192090398</v>
      </c>
      <c r="CS2" s="180">
        <f t="shared" ref="CS2:CS11" si="96">IFERROR(SUBSTITUTE(DZ2,".","," ),0)*1</f>
        <v>3.64</v>
      </c>
      <c r="CT2" s="180">
        <f t="shared" ref="CT2:CT11" si="97">IFERROR(CS2/EG2,0)</f>
        <v>0.20222222222222222</v>
      </c>
      <c r="CU2" s="6">
        <f t="shared" ref="CU2:CU11" si="98">IFERROR(EG2+DX2,0)</f>
        <v>20</v>
      </c>
      <c r="CV2" s="60">
        <f t="shared" ref="CV2:CV11" si="99">IFERROR(CU2/L2,0)</f>
        <v>1.2702893436838392</v>
      </c>
      <c r="CW2" s="5">
        <f t="shared" ref="CW2:CW11" si="100">IFERROR(VALUE(SUBSTITUTE(EY2, " km", "")),0)</f>
        <v>185.5</v>
      </c>
      <c r="CX2" s="5">
        <f t="shared" ref="CX2:CX11" si="101">IFERROR(CW2/L2,0)</f>
        <v>11.781933662667608</v>
      </c>
      <c r="CY2" s="295">
        <f t="shared" ref="CY2:CY11" si="102">IFERROR((((CW2*1000)/(DP2*60))*3600)/1000,0)</f>
        <v>7.8546224417784059</v>
      </c>
      <c r="CZ2" s="386">
        <f t="shared" ref="CZ2:CZ11" si="103">CW2/(EN2+EL2+EQ2+EP2+(EO2*1.5))</f>
        <v>1.9526315789473685</v>
      </c>
      <c r="DA2" s="387">
        <f t="shared" ref="DA2:DA11" si="104">(EC2+EN2)/CW2</f>
        <v>0.11320754716981132</v>
      </c>
      <c r="DB2" s="169">
        <f t="shared" ref="DB2:DB11" si="105">IFERROR((EE2-EF2)+(EB2-EC2)+(EI2-EJ2),0)</f>
        <v>72</v>
      </c>
      <c r="DC2" s="107">
        <f t="shared" ref="DC2:DC11" si="106">IFERROR(DB2/L2,0)</f>
        <v>4.573041637261821</v>
      </c>
      <c r="DD2" s="107">
        <f t="shared" ref="DD2:DD11" si="107">DY2</f>
        <v>5.6</v>
      </c>
      <c r="DE2" s="107">
        <f t="shared" ref="DE2:DE11" si="108">IFERROR(VALUE(SUBSTITUTE(EZ2, ".", ",")),0)</f>
        <v>7.06</v>
      </c>
      <c r="DF2" s="270"/>
      <c r="DG2" s="266" t="s">
        <v>614</v>
      </c>
      <c r="DH2" s="266" t="s">
        <v>775</v>
      </c>
      <c r="DI2" s="266">
        <v>31</v>
      </c>
      <c r="DJ2" s="266" t="s">
        <v>753</v>
      </c>
      <c r="DK2" s="266" t="s">
        <v>711</v>
      </c>
      <c r="DL2" s="266" t="s">
        <v>573</v>
      </c>
      <c r="DM2" s="266" t="s">
        <v>394</v>
      </c>
      <c r="DN2" s="266" t="s">
        <v>756</v>
      </c>
      <c r="DO2" s="267">
        <v>46568</v>
      </c>
      <c r="DP2" s="266">
        <v>1417</v>
      </c>
      <c r="DQ2" s="266">
        <v>17</v>
      </c>
      <c r="DR2" s="266">
        <v>1</v>
      </c>
      <c r="DS2" s="266">
        <v>0</v>
      </c>
      <c r="DT2" s="266">
        <v>0</v>
      </c>
      <c r="DU2" s="266">
        <v>6</v>
      </c>
      <c r="DV2" s="266">
        <v>1</v>
      </c>
      <c r="DW2" s="266">
        <v>0</v>
      </c>
      <c r="DX2" s="266">
        <v>2</v>
      </c>
      <c r="DY2" s="266">
        <v>5.6</v>
      </c>
      <c r="DZ2" s="266" t="s">
        <v>1069</v>
      </c>
      <c r="EA2" s="266">
        <v>15</v>
      </c>
      <c r="EB2" s="266">
        <v>19</v>
      </c>
      <c r="EC2" s="266">
        <v>6</v>
      </c>
      <c r="ED2" s="266">
        <v>0</v>
      </c>
      <c r="EE2" s="266">
        <v>930</v>
      </c>
      <c r="EF2" s="266">
        <v>873</v>
      </c>
      <c r="EG2" s="266">
        <v>18</v>
      </c>
      <c r="EH2" s="266">
        <v>108</v>
      </c>
      <c r="EI2" s="266">
        <v>3</v>
      </c>
      <c r="EJ2" s="266">
        <v>1</v>
      </c>
      <c r="EK2" s="266">
        <v>99</v>
      </c>
      <c r="EL2" s="266">
        <v>34</v>
      </c>
      <c r="EM2" s="266">
        <v>21</v>
      </c>
      <c r="EN2" s="266">
        <v>15</v>
      </c>
      <c r="EO2" s="266">
        <v>2</v>
      </c>
      <c r="EP2" s="266">
        <v>9</v>
      </c>
      <c r="EQ2" s="266">
        <v>34</v>
      </c>
      <c r="ER2" s="266">
        <v>0</v>
      </c>
      <c r="ES2" s="266">
        <v>8</v>
      </c>
      <c r="ET2" s="266">
        <v>9</v>
      </c>
      <c r="EU2" s="266">
        <v>13.8</v>
      </c>
      <c r="EV2" s="266">
        <v>0</v>
      </c>
      <c r="EW2" s="266">
        <v>0</v>
      </c>
      <c r="EX2" s="266">
        <v>0</v>
      </c>
      <c r="EY2" s="266" t="s">
        <v>776</v>
      </c>
      <c r="EZ2" s="271">
        <v>7.06</v>
      </c>
    </row>
    <row r="3" spans="1:156" ht="24.95" customHeight="1" thickBot="1" x14ac:dyDescent="0.3">
      <c r="A3" s="29" t="str">
        <f t="shared" si="0"/>
        <v>2º</v>
      </c>
      <c r="B3" s="67" t="str">
        <f t="shared" si="1"/>
        <v>Gabriele Piccinini</v>
      </c>
      <c r="C3" s="83" t="str">
        <f t="shared" si="2"/>
        <v>ITA</v>
      </c>
      <c r="D3" s="28" t="str">
        <f t="shared" si="3"/>
        <v>Pisa</v>
      </c>
      <c r="E3" s="91" t="str">
        <f t="shared" si="4"/>
        <v>Pé Direito</v>
      </c>
      <c r="F3" s="155">
        <f t="shared" si="5"/>
        <v>1.84</v>
      </c>
      <c r="G3" s="36">
        <f t="shared" si="6"/>
        <v>24</v>
      </c>
      <c r="H3" s="288" t="str">
        <f t="shared" si="7"/>
        <v>€23,5m p/m</v>
      </c>
      <c r="I3" s="35">
        <f t="shared" si="8"/>
        <v>46203</v>
      </c>
      <c r="J3" s="188" t="str">
        <f t="shared" si="9"/>
        <v>€1,4M - €3M</v>
      </c>
      <c r="K3" s="89">
        <f t="shared" si="10"/>
        <v>16.49111111111111</v>
      </c>
      <c r="L3" s="134">
        <f t="shared" si="11"/>
        <v>15.733333333333333</v>
      </c>
      <c r="M3" s="134">
        <f t="shared" si="12"/>
        <v>17</v>
      </c>
      <c r="N3" s="134">
        <f t="shared" si="13"/>
        <v>83.294117647058826</v>
      </c>
      <c r="O3" s="173">
        <f t="shared" si="14"/>
        <v>0.94</v>
      </c>
      <c r="P3" s="402">
        <f t="shared" si="15"/>
        <v>0</v>
      </c>
      <c r="Q3" s="402">
        <f t="shared" si="16"/>
        <v>2</v>
      </c>
      <c r="R3" s="402">
        <f t="shared" si="17"/>
        <v>2</v>
      </c>
      <c r="S3" s="6">
        <f t="shared" si="18"/>
        <v>0</v>
      </c>
      <c r="T3" s="21">
        <f t="shared" si="19"/>
        <v>0</v>
      </c>
      <c r="U3" s="55">
        <f t="shared" si="20"/>
        <v>0</v>
      </c>
      <c r="V3" s="55">
        <f t="shared" si="21"/>
        <v>0</v>
      </c>
      <c r="W3" s="55">
        <f t="shared" si="22"/>
        <v>0</v>
      </c>
      <c r="X3" s="58">
        <f t="shared" si="23"/>
        <v>9.9999999999999995E-8</v>
      </c>
      <c r="Y3" s="310">
        <f t="shared" si="24"/>
        <v>6</v>
      </c>
      <c r="Z3" s="287">
        <f t="shared" si="25"/>
        <v>0.38135593220338987</v>
      </c>
      <c r="AA3" s="2">
        <f t="shared" si="26"/>
        <v>0</v>
      </c>
      <c r="AB3" s="2">
        <f t="shared" si="27"/>
        <v>0</v>
      </c>
      <c r="AC3" s="2">
        <f t="shared" si="28"/>
        <v>0</v>
      </c>
      <c r="AD3" s="5">
        <f t="shared" si="29"/>
        <v>0</v>
      </c>
      <c r="AE3" s="364">
        <f t="shared" si="30"/>
        <v>50</v>
      </c>
      <c r="AF3" s="364">
        <f t="shared" si="31"/>
        <v>50</v>
      </c>
      <c r="AG3" s="2">
        <f t="shared" si="32"/>
        <v>6</v>
      </c>
      <c r="AH3" s="21">
        <f t="shared" si="33"/>
        <v>0</v>
      </c>
      <c r="AI3" s="195">
        <f t="shared" si="34"/>
        <v>91</v>
      </c>
      <c r="AJ3" s="185">
        <f t="shared" si="35"/>
        <v>5.7838983050847457</v>
      </c>
      <c r="AK3" s="195">
        <f t="shared" si="36"/>
        <v>23</v>
      </c>
      <c r="AL3" s="185">
        <f t="shared" si="37"/>
        <v>1.4618644067796611</v>
      </c>
      <c r="AM3" s="21">
        <f t="shared" si="38"/>
        <v>0.25274725274725274</v>
      </c>
      <c r="AN3" s="6">
        <f t="shared" si="39"/>
        <v>45</v>
      </c>
      <c r="AO3" s="5">
        <f t="shared" si="40"/>
        <v>2.8601694915254239</v>
      </c>
      <c r="AP3" s="6">
        <f t="shared" si="41"/>
        <v>26</v>
      </c>
      <c r="AQ3" s="5">
        <f t="shared" si="42"/>
        <v>1.652542372881356</v>
      </c>
      <c r="AR3" s="21">
        <f t="shared" si="43"/>
        <v>0.57777777777777772</v>
      </c>
      <c r="AS3" s="2">
        <f t="shared" si="44"/>
        <v>6</v>
      </c>
      <c r="AT3" s="21">
        <f t="shared" si="45"/>
        <v>1</v>
      </c>
      <c r="AU3" s="6">
        <f t="shared" si="46"/>
        <v>837</v>
      </c>
      <c r="AV3" s="6">
        <f t="shared" si="47"/>
        <v>773</v>
      </c>
      <c r="AW3" s="5">
        <f t="shared" si="48"/>
        <v>49.131355932203391</v>
      </c>
      <c r="AX3" s="5">
        <f t="shared" si="49"/>
        <v>45.063559322033903</v>
      </c>
      <c r="AY3" s="6">
        <f t="shared" si="50"/>
        <v>64</v>
      </c>
      <c r="AZ3" s="5">
        <f t="shared" si="51"/>
        <v>4.0677966101694913</v>
      </c>
      <c r="BA3" s="20">
        <f t="shared" si="52"/>
        <v>0.92353643966547194</v>
      </c>
      <c r="BB3" s="289">
        <f t="shared" si="53"/>
        <v>736</v>
      </c>
      <c r="BC3" s="5">
        <f t="shared" si="54"/>
        <v>46.779661016949156</v>
      </c>
      <c r="BD3" s="6">
        <f t="shared" si="55"/>
        <v>101</v>
      </c>
      <c r="BE3" s="5">
        <f t="shared" si="56"/>
        <v>6.4194915254237293</v>
      </c>
      <c r="BF3" s="21">
        <f t="shared" si="57"/>
        <v>0.13722826086956522</v>
      </c>
      <c r="BG3" s="6">
        <f t="shared" si="58"/>
        <v>22</v>
      </c>
      <c r="BH3" s="5">
        <f t="shared" si="59"/>
        <v>1.3983050847457628</v>
      </c>
      <c r="BI3" s="6">
        <f t="shared" si="60"/>
        <v>17</v>
      </c>
      <c r="BJ3" s="5">
        <f t="shared" si="61"/>
        <v>1.0805084745762712</v>
      </c>
      <c r="BK3" s="21">
        <f t="shared" si="62"/>
        <v>0.77272727272727271</v>
      </c>
      <c r="BL3" s="6">
        <f t="shared" si="63"/>
        <v>5</v>
      </c>
      <c r="BM3" s="5">
        <f t="shared" si="64"/>
        <v>0.31779661016949157</v>
      </c>
      <c r="BN3" s="6">
        <f t="shared" si="65"/>
        <v>1.5733333333333333</v>
      </c>
      <c r="BO3" s="5">
        <f t="shared" si="66"/>
        <v>0.1</v>
      </c>
      <c r="BP3" s="21">
        <f t="shared" si="67"/>
        <v>0.77272727272727271</v>
      </c>
      <c r="BQ3" s="6">
        <f t="shared" si="68"/>
        <v>23</v>
      </c>
      <c r="BR3" s="5">
        <f t="shared" si="69"/>
        <v>1.4618644067796611</v>
      </c>
      <c r="BS3" s="6">
        <f t="shared" si="70"/>
        <v>8</v>
      </c>
      <c r="BT3" s="5">
        <f t="shared" si="71"/>
        <v>0.50847457627118642</v>
      </c>
      <c r="BU3" s="6">
        <f t="shared" si="72"/>
        <v>9</v>
      </c>
      <c r="BV3" s="5">
        <f t="shared" si="73"/>
        <v>0.57203389830508478</v>
      </c>
      <c r="BW3" s="21">
        <f t="shared" si="74"/>
        <v>0.34782608695652173</v>
      </c>
      <c r="BX3" s="6">
        <f t="shared" si="75"/>
        <v>1</v>
      </c>
      <c r="BY3" s="5">
        <f t="shared" si="76"/>
        <v>6.3559322033898302E-2</v>
      </c>
      <c r="BZ3" s="2">
        <f t="shared" si="77"/>
        <v>9</v>
      </c>
      <c r="CA3" s="5">
        <f t="shared" si="78"/>
        <v>0.57203389830508478</v>
      </c>
      <c r="CB3" s="6">
        <f t="shared" si="79"/>
        <v>252.23999999999998</v>
      </c>
      <c r="CC3" s="5">
        <f t="shared" si="80"/>
        <v>16.032203389830507</v>
      </c>
      <c r="CD3" s="5">
        <f t="shared" si="81"/>
        <v>1.0169491525423728</v>
      </c>
      <c r="CE3" s="6">
        <f t="shared" si="82"/>
        <v>173</v>
      </c>
      <c r="CF3" s="362">
        <f t="shared" si="83"/>
        <v>4.6242774566473986E-2</v>
      </c>
      <c r="CG3" s="356">
        <f t="shared" si="84"/>
        <v>65</v>
      </c>
      <c r="CH3" s="357">
        <f t="shared" si="85"/>
        <v>4.1313559322033901</v>
      </c>
      <c r="CI3" s="356">
        <f t="shared" si="86"/>
        <v>31.5</v>
      </c>
      <c r="CJ3" s="357">
        <f t="shared" si="87"/>
        <v>2.0021186440677967</v>
      </c>
      <c r="CK3" s="360">
        <f t="shared" si="88"/>
        <v>12.6</v>
      </c>
      <c r="CL3" s="59">
        <f t="shared" si="89"/>
        <v>88.786666666666662</v>
      </c>
      <c r="CM3" s="60">
        <f t="shared" si="90"/>
        <v>5.6432203389830509</v>
      </c>
      <c r="CN3" s="59">
        <f t="shared" si="91"/>
        <v>74.786666666666662</v>
      </c>
      <c r="CO3" s="60">
        <f t="shared" si="92"/>
        <v>4.7533898305084747</v>
      </c>
      <c r="CP3" s="292">
        <f t="shared" si="93"/>
        <v>70</v>
      </c>
      <c r="CQ3" s="293">
        <f t="shared" si="94"/>
        <v>4.4491525423728815</v>
      </c>
      <c r="CR3" s="322">
        <f t="shared" si="95"/>
        <v>0.84231866646643638</v>
      </c>
      <c r="CS3" s="180">
        <f t="shared" si="96"/>
        <v>3.98</v>
      </c>
      <c r="CT3" s="180">
        <f t="shared" si="97"/>
        <v>0.44222222222222224</v>
      </c>
      <c r="CU3" s="6">
        <f t="shared" si="98"/>
        <v>14</v>
      </c>
      <c r="CV3" s="60">
        <f t="shared" si="99"/>
        <v>0.88983050847457634</v>
      </c>
      <c r="CW3" s="5">
        <f t="shared" si="100"/>
        <v>180.9</v>
      </c>
      <c r="CX3" s="5">
        <f t="shared" si="101"/>
        <v>11.497881355932204</v>
      </c>
      <c r="CY3" s="295">
        <f t="shared" si="102"/>
        <v>7.6652542372881358</v>
      </c>
      <c r="CZ3" s="386">
        <f t="shared" si="103"/>
        <v>2.2196319018404909</v>
      </c>
      <c r="DA3" s="387">
        <f t="shared" si="104"/>
        <v>0.13819789939192925</v>
      </c>
      <c r="DB3" s="169">
        <f t="shared" si="105"/>
        <v>77</v>
      </c>
      <c r="DC3" s="107">
        <f t="shared" si="106"/>
        <v>4.8940677966101696</v>
      </c>
      <c r="DD3" s="107">
        <f t="shared" si="107"/>
        <v>7.1</v>
      </c>
      <c r="DE3" s="107">
        <f t="shared" si="108"/>
        <v>6.94</v>
      </c>
      <c r="DF3" s="268" t="s">
        <v>19</v>
      </c>
      <c r="DG3" s="264" t="s">
        <v>614</v>
      </c>
      <c r="DH3" s="264" t="s">
        <v>777</v>
      </c>
      <c r="DI3" s="264">
        <v>24</v>
      </c>
      <c r="DJ3" s="264" t="s">
        <v>718</v>
      </c>
      <c r="DK3" s="264" t="s">
        <v>540</v>
      </c>
      <c r="DL3" s="264" t="s">
        <v>573</v>
      </c>
      <c r="DM3" s="264" t="s">
        <v>778</v>
      </c>
      <c r="DN3" s="264" t="s">
        <v>716</v>
      </c>
      <c r="DO3" s="265">
        <v>46203</v>
      </c>
      <c r="DP3" s="264">
        <v>1416</v>
      </c>
      <c r="DQ3" s="264" t="s">
        <v>758</v>
      </c>
      <c r="DR3" s="264">
        <v>0</v>
      </c>
      <c r="DS3" s="264">
        <v>0</v>
      </c>
      <c r="DT3" s="264">
        <v>0</v>
      </c>
      <c r="DU3" s="264">
        <v>2</v>
      </c>
      <c r="DV3" s="264">
        <v>0</v>
      </c>
      <c r="DW3" s="264">
        <v>0</v>
      </c>
      <c r="DX3" s="264">
        <v>5</v>
      </c>
      <c r="DY3" s="264">
        <v>7.1</v>
      </c>
      <c r="DZ3" s="264" t="s">
        <v>1070</v>
      </c>
      <c r="EA3" s="264">
        <v>6</v>
      </c>
      <c r="EB3" s="264">
        <v>22</v>
      </c>
      <c r="EC3" s="264">
        <v>17</v>
      </c>
      <c r="ED3" s="264">
        <v>0.1</v>
      </c>
      <c r="EE3" s="264">
        <v>837</v>
      </c>
      <c r="EF3" s="264">
        <v>773</v>
      </c>
      <c r="EG3" s="264">
        <v>9</v>
      </c>
      <c r="EH3" s="264">
        <v>101</v>
      </c>
      <c r="EI3" s="264">
        <v>8</v>
      </c>
      <c r="EJ3" s="264">
        <v>0</v>
      </c>
      <c r="EK3" s="264">
        <v>91</v>
      </c>
      <c r="EL3" s="264">
        <v>23</v>
      </c>
      <c r="EM3" s="264">
        <v>17</v>
      </c>
      <c r="EN3" s="264">
        <v>8</v>
      </c>
      <c r="EO3" s="264">
        <v>1</v>
      </c>
      <c r="EP3" s="264">
        <v>9</v>
      </c>
      <c r="EQ3" s="264">
        <v>40</v>
      </c>
      <c r="ER3" s="264">
        <v>4</v>
      </c>
      <c r="ES3" s="264">
        <v>12</v>
      </c>
      <c r="ET3" s="264">
        <v>6</v>
      </c>
      <c r="EU3" s="264">
        <v>12.6</v>
      </c>
      <c r="EV3" s="264">
        <v>0</v>
      </c>
      <c r="EW3" s="264">
        <v>0</v>
      </c>
      <c r="EX3" s="264">
        <v>0</v>
      </c>
      <c r="EY3" s="264" t="s">
        <v>779</v>
      </c>
      <c r="EZ3" s="269">
        <v>6.94</v>
      </c>
    </row>
    <row r="4" spans="1:156" ht="24.95" customHeight="1" thickBot="1" x14ac:dyDescent="0.3">
      <c r="A4" s="29" t="str">
        <f t="shared" si="0"/>
        <v>3º</v>
      </c>
      <c r="B4" s="67" t="str">
        <f t="shared" si="1"/>
        <v>Manuel Locatelli</v>
      </c>
      <c r="C4" s="83" t="str">
        <f t="shared" si="2"/>
        <v>ITA</v>
      </c>
      <c r="D4" s="28" t="str">
        <f t="shared" si="3"/>
        <v>Juventus</v>
      </c>
      <c r="E4" s="91" t="str">
        <f t="shared" si="4"/>
        <v>Pé Direito</v>
      </c>
      <c r="F4" s="155">
        <f t="shared" si="5"/>
        <v>1.84</v>
      </c>
      <c r="G4" s="36">
        <f t="shared" si="6"/>
        <v>27</v>
      </c>
      <c r="H4" s="288" t="str">
        <f t="shared" si="7"/>
        <v>€637m p/m</v>
      </c>
      <c r="I4" s="35">
        <f t="shared" si="8"/>
        <v>47664</v>
      </c>
      <c r="J4" s="188" t="str">
        <f t="shared" si="9"/>
        <v>€85M - €127M</v>
      </c>
      <c r="K4" s="89">
        <f t="shared" si="10"/>
        <v>16.49111111111111</v>
      </c>
      <c r="L4" s="134">
        <f t="shared" si="11"/>
        <v>21.766666666666666</v>
      </c>
      <c r="M4" s="134">
        <f t="shared" si="12"/>
        <v>23</v>
      </c>
      <c r="N4" s="134">
        <f t="shared" si="13"/>
        <v>85.173913043478265</v>
      </c>
      <c r="O4" s="173">
        <f t="shared" si="14"/>
        <v>1</v>
      </c>
      <c r="P4" s="402">
        <f t="shared" si="15"/>
        <v>0</v>
      </c>
      <c r="Q4" s="402">
        <f t="shared" si="16"/>
        <v>3</v>
      </c>
      <c r="R4" s="402">
        <f t="shared" si="17"/>
        <v>3</v>
      </c>
      <c r="S4" s="6">
        <f t="shared" si="18"/>
        <v>1</v>
      </c>
      <c r="T4" s="21">
        <f t="shared" si="19"/>
        <v>4.5941807044410414E-2</v>
      </c>
      <c r="U4" s="55">
        <f t="shared" si="20"/>
        <v>0</v>
      </c>
      <c r="V4" s="55">
        <f t="shared" si="21"/>
        <v>0</v>
      </c>
      <c r="W4" s="55">
        <f t="shared" si="22"/>
        <v>0</v>
      </c>
      <c r="X4" s="58">
        <f t="shared" si="23"/>
        <v>9.9999999999999995E-8</v>
      </c>
      <c r="Y4" s="310">
        <f t="shared" si="24"/>
        <v>26</v>
      </c>
      <c r="Z4" s="287">
        <f t="shared" si="25"/>
        <v>1.1944869831546707</v>
      </c>
      <c r="AA4" s="2">
        <f t="shared" si="26"/>
        <v>4</v>
      </c>
      <c r="AB4" s="2">
        <f t="shared" si="27"/>
        <v>0</v>
      </c>
      <c r="AC4" s="2">
        <f t="shared" si="28"/>
        <v>4</v>
      </c>
      <c r="AD4" s="5">
        <f t="shared" si="29"/>
        <v>0.18376722817764166</v>
      </c>
      <c r="AE4" s="364">
        <f t="shared" si="30"/>
        <v>6.5</v>
      </c>
      <c r="AF4" s="364">
        <f t="shared" si="31"/>
        <v>6.5</v>
      </c>
      <c r="AG4" s="2">
        <f t="shared" si="32"/>
        <v>22</v>
      </c>
      <c r="AH4" s="21">
        <f t="shared" si="33"/>
        <v>0.15384615384615385</v>
      </c>
      <c r="AI4" s="195">
        <f t="shared" si="34"/>
        <v>97</v>
      </c>
      <c r="AJ4" s="185">
        <f t="shared" si="35"/>
        <v>4.4563552833078104</v>
      </c>
      <c r="AK4" s="195">
        <f t="shared" si="36"/>
        <v>28</v>
      </c>
      <c r="AL4" s="185">
        <f t="shared" si="37"/>
        <v>1.2863705972434916</v>
      </c>
      <c r="AM4" s="21">
        <f t="shared" si="38"/>
        <v>0.28865979381443296</v>
      </c>
      <c r="AN4" s="6">
        <f t="shared" si="39"/>
        <v>114</v>
      </c>
      <c r="AO4" s="5">
        <f t="shared" si="40"/>
        <v>5.2373660030627871</v>
      </c>
      <c r="AP4" s="6">
        <f t="shared" si="41"/>
        <v>63</v>
      </c>
      <c r="AQ4" s="5">
        <f t="shared" si="42"/>
        <v>2.8943338437978561</v>
      </c>
      <c r="AR4" s="21">
        <f t="shared" si="43"/>
        <v>0.55263157894736847</v>
      </c>
      <c r="AS4" s="2">
        <f t="shared" si="44"/>
        <v>22</v>
      </c>
      <c r="AT4" s="21">
        <f t="shared" si="45"/>
        <v>0.84615384615384615</v>
      </c>
      <c r="AU4" s="6">
        <f t="shared" si="46"/>
        <v>1450</v>
      </c>
      <c r="AV4" s="6">
        <f t="shared" si="47"/>
        <v>1364</v>
      </c>
      <c r="AW4" s="5">
        <f t="shared" si="48"/>
        <v>62.664624808575809</v>
      </c>
      <c r="AX4" s="5">
        <f t="shared" si="49"/>
        <v>58.71362940275651</v>
      </c>
      <c r="AY4" s="6">
        <f t="shared" si="50"/>
        <v>86</v>
      </c>
      <c r="AZ4" s="5">
        <f t="shared" si="51"/>
        <v>3.9509954058192958</v>
      </c>
      <c r="BA4" s="20">
        <f t="shared" si="52"/>
        <v>0.94068965517241376</v>
      </c>
      <c r="BB4" s="289">
        <f t="shared" si="53"/>
        <v>1282</v>
      </c>
      <c r="BC4" s="5">
        <f t="shared" si="54"/>
        <v>58.897396630934153</v>
      </c>
      <c r="BD4" s="6">
        <f t="shared" si="55"/>
        <v>168</v>
      </c>
      <c r="BE4" s="5">
        <f t="shared" si="56"/>
        <v>7.7182235834609498</v>
      </c>
      <c r="BF4" s="21">
        <f t="shared" si="57"/>
        <v>0.13104524180967239</v>
      </c>
      <c r="BG4" s="6">
        <f t="shared" si="58"/>
        <v>55</v>
      </c>
      <c r="BH4" s="5">
        <f t="shared" si="59"/>
        <v>2.5267993874425727</v>
      </c>
      <c r="BI4" s="6">
        <f t="shared" si="60"/>
        <v>38</v>
      </c>
      <c r="BJ4" s="5">
        <f t="shared" si="61"/>
        <v>1.7457886676875958</v>
      </c>
      <c r="BK4" s="21">
        <f t="shared" si="62"/>
        <v>0.69090909090909092</v>
      </c>
      <c r="BL4" s="6">
        <f t="shared" si="63"/>
        <v>17</v>
      </c>
      <c r="BM4" s="5">
        <f t="shared" si="64"/>
        <v>0.78101071975497705</v>
      </c>
      <c r="BN4" s="6">
        <f t="shared" si="65"/>
        <v>2.1766666666666667</v>
      </c>
      <c r="BO4" s="5">
        <f t="shared" si="66"/>
        <v>0.1</v>
      </c>
      <c r="BP4" s="21">
        <f t="shared" si="67"/>
        <v>0.69090909090909092</v>
      </c>
      <c r="BQ4" s="6">
        <f t="shared" si="68"/>
        <v>59</v>
      </c>
      <c r="BR4" s="5">
        <f t="shared" si="69"/>
        <v>2.7105666156202144</v>
      </c>
      <c r="BS4" s="6">
        <f t="shared" si="70"/>
        <v>23</v>
      </c>
      <c r="BT4" s="5">
        <f t="shared" si="71"/>
        <v>1.0566615620214395</v>
      </c>
      <c r="BU4" s="6">
        <f t="shared" si="72"/>
        <v>10</v>
      </c>
      <c r="BV4" s="5">
        <f t="shared" si="73"/>
        <v>0.45941807044410415</v>
      </c>
      <c r="BW4" s="21">
        <f t="shared" si="74"/>
        <v>0.38983050847457629</v>
      </c>
      <c r="BX4" s="6">
        <f t="shared" si="75"/>
        <v>2</v>
      </c>
      <c r="BY4" s="5">
        <f t="shared" si="76"/>
        <v>9.1883614088820828E-2</v>
      </c>
      <c r="BZ4" s="2">
        <f t="shared" si="77"/>
        <v>14</v>
      </c>
      <c r="CA4" s="5">
        <f t="shared" si="78"/>
        <v>0.64318529862174578</v>
      </c>
      <c r="CB4" s="6">
        <f t="shared" si="79"/>
        <v>460.73999999999995</v>
      </c>
      <c r="CC4" s="5">
        <f t="shared" si="80"/>
        <v>21.167228177641654</v>
      </c>
      <c r="CD4" s="5">
        <f t="shared" si="81"/>
        <v>1.1485451761102603</v>
      </c>
      <c r="CE4" s="6">
        <f t="shared" si="82"/>
        <v>173</v>
      </c>
      <c r="CF4" s="362">
        <f t="shared" si="83"/>
        <v>0.13294797687861271</v>
      </c>
      <c r="CG4" s="356">
        <f t="shared" si="84"/>
        <v>94</v>
      </c>
      <c r="CH4" s="357">
        <f t="shared" si="85"/>
        <v>4.3185298621745787</v>
      </c>
      <c r="CI4" s="356">
        <f t="shared" si="86"/>
        <v>52</v>
      </c>
      <c r="CJ4" s="357">
        <f t="shared" si="87"/>
        <v>2.3889739663093414</v>
      </c>
      <c r="CK4" s="360">
        <f t="shared" si="88"/>
        <v>17.399999999999999</v>
      </c>
      <c r="CL4" s="59">
        <f t="shared" si="89"/>
        <v>160.08833333333334</v>
      </c>
      <c r="CM4" s="60">
        <f t="shared" si="90"/>
        <v>7.3547473200612563</v>
      </c>
      <c r="CN4" s="59">
        <f t="shared" si="91"/>
        <v>120.08833333333334</v>
      </c>
      <c r="CO4" s="60">
        <f t="shared" si="92"/>
        <v>5.5170750382848395</v>
      </c>
      <c r="CP4" s="292">
        <f t="shared" si="93"/>
        <v>117</v>
      </c>
      <c r="CQ4" s="293">
        <f t="shared" si="94"/>
        <v>5.3751914241960188</v>
      </c>
      <c r="CR4" s="322">
        <f t="shared" si="95"/>
        <v>0.75013794467637662</v>
      </c>
      <c r="CS4" s="180">
        <f t="shared" si="96"/>
        <v>5.6</v>
      </c>
      <c r="CT4" s="180">
        <f t="shared" si="97"/>
        <v>0.39999999999999997</v>
      </c>
      <c r="CU4" s="6">
        <f t="shared" si="98"/>
        <v>22</v>
      </c>
      <c r="CV4" s="60">
        <f t="shared" si="99"/>
        <v>1.010719754977029</v>
      </c>
      <c r="CW4" s="5">
        <f t="shared" si="100"/>
        <v>244.2</v>
      </c>
      <c r="CX4" s="5">
        <f t="shared" si="101"/>
        <v>11.218989280245022</v>
      </c>
      <c r="CY4" s="295">
        <f t="shared" si="102"/>
        <v>7.4793261868300158</v>
      </c>
      <c r="CZ4" s="386">
        <f t="shared" si="103"/>
        <v>1.86412213740458</v>
      </c>
      <c r="DA4" s="387">
        <f t="shared" si="104"/>
        <v>0.24979524979524981</v>
      </c>
      <c r="DB4" s="169">
        <f t="shared" si="105"/>
        <v>108</v>
      </c>
      <c r="DC4" s="107">
        <f t="shared" si="106"/>
        <v>4.9617151607963246</v>
      </c>
      <c r="DD4" s="107">
        <f t="shared" si="107"/>
        <v>4.5999999999999996</v>
      </c>
      <c r="DE4" s="107">
        <f t="shared" si="108"/>
        <v>6.96</v>
      </c>
      <c r="DF4" s="268"/>
      <c r="DG4" s="264" t="s">
        <v>614</v>
      </c>
      <c r="DH4" s="264" t="s">
        <v>760</v>
      </c>
      <c r="DI4" s="264">
        <v>27</v>
      </c>
      <c r="DJ4" s="264" t="s">
        <v>622</v>
      </c>
      <c r="DK4" s="264" t="s">
        <v>540</v>
      </c>
      <c r="DL4" s="264" t="s">
        <v>573</v>
      </c>
      <c r="DM4" s="264" t="s">
        <v>761</v>
      </c>
      <c r="DN4" s="264" t="s">
        <v>762</v>
      </c>
      <c r="DO4" s="265">
        <v>47664</v>
      </c>
      <c r="DP4" s="264">
        <v>1959</v>
      </c>
      <c r="DQ4" s="264">
        <v>23</v>
      </c>
      <c r="DR4" s="264">
        <v>1</v>
      </c>
      <c r="DS4" s="264">
        <v>0</v>
      </c>
      <c r="DT4" s="264">
        <v>0</v>
      </c>
      <c r="DU4" s="264">
        <v>3</v>
      </c>
      <c r="DV4" s="264">
        <v>4</v>
      </c>
      <c r="DW4" s="264">
        <v>0</v>
      </c>
      <c r="DX4" s="264">
        <v>8</v>
      </c>
      <c r="DY4" s="264">
        <v>4.5999999999999996</v>
      </c>
      <c r="DZ4" s="264" t="s">
        <v>1071</v>
      </c>
      <c r="EA4" s="264">
        <v>26</v>
      </c>
      <c r="EB4" s="264">
        <v>55</v>
      </c>
      <c r="EC4" s="264">
        <v>38</v>
      </c>
      <c r="ED4" s="264">
        <v>0.1</v>
      </c>
      <c r="EE4" s="264">
        <v>1450</v>
      </c>
      <c r="EF4" s="264">
        <v>1364</v>
      </c>
      <c r="EG4" s="264">
        <v>14</v>
      </c>
      <c r="EH4" s="264">
        <v>168</v>
      </c>
      <c r="EI4" s="264">
        <v>6</v>
      </c>
      <c r="EJ4" s="264">
        <v>1</v>
      </c>
      <c r="EK4" s="264">
        <v>97</v>
      </c>
      <c r="EL4" s="264">
        <v>28</v>
      </c>
      <c r="EM4" s="264">
        <v>33</v>
      </c>
      <c r="EN4" s="264">
        <v>23</v>
      </c>
      <c r="EO4" s="264">
        <v>2</v>
      </c>
      <c r="EP4" s="264">
        <v>10</v>
      </c>
      <c r="EQ4" s="264">
        <v>67</v>
      </c>
      <c r="ER4" s="264">
        <v>3</v>
      </c>
      <c r="ES4" s="264">
        <v>14</v>
      </c>
      <c r="ET4" s="264">
        <v>10</v>
      </c>
      <c r="EU4" s="264">
        <v>17.399999999999999</v>
      </c>
      <c r="EV4" s="264">
        <v>0</v>
      </c>
      <c r="EW4" s="264">
        <v>0</v>
      </c>
      <c r="EX4" s="264">
        <v>0</v>
      </c>
      <c r="EY4" s="264" t="s">
        <v>763</v>
      </c>
      <c r="EZ4" s="269">
        <v>6.96</v>
      </c>
    </row>
    <row r="5" spans="1:156" ht="24.95" customHeight="1" thickBot="1" x14ac:dyDescent="0.3">
      <c r="A5" s="29" t="str">
        <f t="shared" si="0"/>
        <v>4º</v>
      </c>
      <c r="B5" s="67" t="str">
        <f t="shared" si="1"/>
        <v>Máximo Perrone</v>
      </c>
      <c r="C5" s="83" t="str">
        <f t="shared" si="2"/>
        <v>ARG</v>
      </c>
      <c r="D5" s="28" t="str">
        <f t="shared" si="3"/>
        <v>Como 1907</v>
      </c>
      <c r="E5" s="91" t="str">
        <f t="shared" si="4"/>
        <v>Pé Esquerdo</v>
      </c>
      <c r="F5" s="155">
        <f t="shared" si="5"/>
        <v>1.78</v>
      </c>
      <c r="G5" s="36">
        <f t="shared" si="6"/>
        <v>22</v>
      </c>
      <c r="H5" s="288" t="str">
        <f t="shared" si="7"/>
        <v>€155m p/m</v>
      </c>
      <c r="I5" s="35">
        <f t="shared" si="8"/>
        <v>47299</v>
      </c>
      <c r="J5" s="188" t="str">
        <f t="shared" si="9"/>
        <v>€59M - €90M</v>
      </c>
      <c r="K5" s="89">
        <f t="shared" si="10"/>
        <v>16.49111111111111</v>
      </c>
      <c r="L5" s="134">
        <f t="shared" si="11"/>
        <v>14.866666666666667</v>
      </c>
      <c r="M5" s="134">
        <f t="shared" si="12"/>
        <v>16</v>
      </c>
      <c r="N5" s="134">
        <f t="shared" si="13"/>
        <v>83.625</v>
      </c>
      <c r="O5" s="173">
        <f t="shared" si="14"/>
        <v>1</v>
      </c>
      <c r="P5" s="402">
        <f t="shared" si="15"/>
        <v>0</v>
      </c>
      <c r="Q5" s="402">
        <f t="shared" si="16"/>
        <v>2</v>
      </c>
      <c r="R5" s="402">
        <f t="shared" si="17"/>
        <v>2</v>
      </c>
      <c r="S5" s="6">
        <f t="shared" si="18"/>
        <v>1</v>
      </c>
      <c r="T5" s="21">
        <f t="shared" si="19"/>
        <v>6.726457399103139E-2</v>
      </c>
      <c r="U5" s="55">
        <f t="shared" si="20"/>
        <v>0</v>
      </c>
      <c r="V5" s="55">
        <f t="shared" si="21"/>
        <v>0</v>
      </c>
      <c r="W5" s="55">
        <f t="shared" si="22"/>
        <v>0</v>
      </c>
      <c r="X5" s="58">
        <f t="shared" si="23"/>
        <v>9.9999999999999995E-8</v>
      </c>
      <c r="Y5" s="310">
        <f t="shared" si="24"/>
        <v>10</v>
      </c>
      <c r="Z5" s="287">
        <f t="shared" si="25"/>
        <v>0.67264573991031384</v>
      </c>
      <c r="AA5" s="2">
        <f t="shared" si="26"/>
        <v>1</v>
      </c>
      <c r="AB5" s="2">
        <f t="shared" si="27"/>
        <v>0</v>
      </c>
      <c r="AC5" s="2">
        <f t="shared" si="28"/>
        <v>1</v>
      </c>
      <c r="AD5" s="5">
        <f t="shared" si="29"/>
        <v>6.726457399103139E-2</v>
      </c>
      <c r="AE5" s="364">
        <f t="shared" si="30"/>
        <v>10</v>
      </c>
      <c r="AF5" s="364">
        <f t="shared" si="31"/>
        <v>10</v>
      </c>
      <c r="AG5" s="2">
        <f t="shared" si="32"/>
        <v>9</v>
      </c>
      <c r="AH5" s="21">
        <f t="shared" si="33"/>
        <v>0.1</v>
      </c>
      <c r="AI5" s="195">
        <f t="shared" si="34"/>
        <v>74</v>
      </c>
      <c r="AJ5" s="185">
        <f t="shared" si="35"/>
        <v>4.9775784753363226</v>
      </c>
      <c r="AK5" s="195">
        <f t="shared" si="36"/>
        <v>22</v>
      </c>
      <c r="AL5" s="185">
        <f t="shared" si="37"/>
        <v>1.4798206278026906</v>
      </c>
      <c r="AM5" s="21">
        <f t="shared" si="38"/>
        <v>0.29729729729729731</v>
      </c>
      <c r="AN5" s="6">
        <f t="shared" si="39"/>
        <v>54</v>
      </c>
      <c r="AO5" s="5">
        <f t="shared" si="40"/>
        <v>3.6322869955156949</v>
      </c>
      <c r="AP5" s="6">
        <f t="shared" si="41"/>
        <v>28</v>
      </c>
      <c r="AQ5" s="5">
        <f t="shared" si="42"/>
        <v>1.8834080717488788</v>
      </c>
      <c r="AR5" s="21">
        <f t="shared" si="43"/>
        <v>0.51851851851851849</v>
      </c>
      <c r="AS5" s="2">
        <f t="shared" si="44"/>
        <v>9</v>
      </c>
      <c r="AT5" s="21">
        <f t="shared" si="45"/>
        <v>0.9</v>
      </c>
      <c r="AU5" s="6">
        <f t="shared" si="46"/>
        <v>881</v>
      </c>
      <c r="AV5" s="6">
        <f t="shared" si="47"/>
        <v>826</v>
      </c>
      <c r="AW5" s="5">
        <f t="shared" si="48"/>
        <v>55.560538116591928</v>
      </c>
      <c r="AX5" s="5">
        <f t="shared" si="49"/>
        <v>51.860986547085197</v>
      </c>
      <c r="AY5" s="6">
        <f t="shared" si="50"/>
        <v>55</v>
      </c>
      <c r="AZ5" s="5">
        <f t="shared" si="51"/>
        <v>3.6995515695067263</v>
      </c>
      <c r="BA5" s="20">
        <f t="shared" si="52"/>
        <v>0.93757094211123726</v>
      </c>
      <c r="BB5" s="289">
        <f t="shared" si="53"/>
        <v>773</v>
      </c>
      <c r="BC5" s="5">
        <f t="shared" si="54"/>
        <v>51.995515695067262</v>
      </c>
      <c r="BD5" s="6">
        <f t="shared" si="55"/>
        <v>108</v>
      </c>
      <c r="BE5" s="5">
        <f t="shared" si="56"/>
        <v>7.2645739910313898</v>
      </c>
      <c r="BF5" s="21">
        <f t="shared" si="57"/>
        <v>0.13971539456662355</v>
      </c>
      <c r="BG5" s="6">
        <f t="shared" si="58"/>
        <v>21</v>
      </c>
      <c r="BH5" s="5">
        <f t="shared" si="59"/>
        <v>1.4125560538116591</v>
      </c>
      <c r="BI5" s="6">
        <f t="shared" si="60"/>
        <v>7</v>
      </c>
      <c r="BJ5" s="5">
        <f t="shared" si="61"/>
        <v>0.4708520179372197</v>
      </c>
      <c r="BK5" s="21">
        <f t="shared" si="62"/>
        <v>0.33333333333333331</v>
      </c>
      <c r="BL5" s="6">
        <f t="shared" si="63"/>
        <v>14</v>
      </c>
      <c r="BM5" s="5">
        <f t="shared" si="64"/>
        <v>0.9417040358744394</v>
      </c>
      <c r="BN5" s="6">
        <f t="shared" si="65"/>
        <v>1.4866666666666668</v>
      </c>
      <c r="BO5" s="5">
        <f t="shared" si="66"/>
        <v>0.1</v>
      </c>
      <c r="BP5" s="21">
        <f t="shared" si="67"/>
        <v>0.33333333333333331</v>
      </c>
      <c r="BQ5" s="6">
        <f t="shared" si="68"/>
        <v>33</v>
      </c>
      <c r="BR5" s="5">
        <f t="shared" si="69"/>
        <v>2.2197309417040358</v>
      </c>
      <c r="BS5" s="6">
        <f t="shared" si="70"/>
        <v>21</v>
      </c>
      <c r="BT5" s="5">
        <f t="shared" si="71"/>
        <v>1.4125560538116591</v>
      </c>
      <c r="BU5" s="6">
        <f t="shared" si="72"/>
        <v>2</v>
      </c>
      <c r="BV5" s="5">
        <f t="shared" si="73"/>
        <v>0.13452914798206278</v>
      </c>
      <c r="BW5" s="21">
        <f t="shared" si="74"/>
        <v>0.63636363636363635</v>
      </c>
      <c r="BX5" s="6">
        <f t="shared" si="75"/>
        <v>0</v>
      </c>
      <c r="BY5" s="5">
        <f t="shared" si="76"/>
        <v>0</v>
      </c>
      <c r="BZ5" s="2">
        <f t="shared" si="77"/>
        <v>16</v>
      </c>
      <c r="CA5" s="5">
        <f t="shared" si="78"/>
        <v>1.0762331838565022</v>
      </c>
      <c r="CB5" s="6">
        <f t="shared" si="79"/>
        <v>296.38</v>
      </c>
      <c r="CC5" s="5">
        <f t="shared" si="80"/>
        <v>19.935874439461884</v>
      </c>
      <c r="CD5" s="5">
        <f t="shared" si="81"/>
        <v>1.4125560538116591</v>
      </c>
      <c r="CE5" s="6">
        <f t="shared" si="82"/>
        <v>173</v>
      </c>
      <c r="CF5" s="362">
        <f t="shared" si="83"/>
        <v>0.12138728323699421</v>
      </c>
      <c r="CG5" s="356">
        <f t="shared" si="84"/>
        <v>71</v>
      </c>
      <c r="CH5" s="357">
        <f t="shared" si="85"/>
        <v>4.7757847533632285</v>
      </c>
      <c r="CI5" s="356">
        <f t="shared" si="86"/>
        <v>43</v>
      </c>
      <c r="CJ5" s="357">
        <f t="shared" si="87"/>
        <v>2.8923766816143495</v>
      </c>
      <c r="CK5" s="360">
        <f t="shared" si="88"/>
        <v>15.9</v>
      </c>
      <c r="CL5" s="59">
        <f t="shared" si="89"/>
        <v>106.24333333333334</v>
      </c>
      <c r="CM5" s="60">
        <f t="shared" si="90"/>
        <v>7.1464125560538116</v>
      </c>
      <c r="CN5" s="59">
        <f t="shared" si="91"/>
        <v>92.743333333333339</v>
      </c>
      <c r="CO5" s="60">
        <f t="shared" si="92"/>
        <v>6.2383408071748878</v>
      </c>
      <c r="CP5" s="292">
        <f t="shared" si="93"/>
        <v>66.25</v>
      </c>
      <c r="CQ5" s="293">
        <f t="shared" si="94"/>
        <v>4.4562780269058297</v>
      </c>
      <c r="CR5" s="322">
        <f t="shared" si="95"/>
        <v>0.87293320365199389</v>
      </c>
      <c r="CS5" s="180">
        <f t="shared" si="96"/>
        <v>1.26</v>
      </c>
      <c r="CT5" s="180">
        <f t="shared" si="97"/>
        <v>7.8750000000000001E-2</v>
      </c>
      <c r="CU5" s="6">
        <f t="shared" si="98"/>
        <v>19</v>
      </c>
      <c r="CV5" s="60">
        <f t="shared" si="99"/>
        <v>1.2780269058295963</v>
      </c>
      <c r="CW5" s="5">
        <f t="shared" si="100"/>
        <v>166</v>
      </c>
      <c r="CX5" s="5">
        <f t="shared" si="101"/>
        <v>11.16591928251121</v>
      </c>
      <c r="CY5" s="295">
        <f t="shared" si="102"/>
        <v>7.4439461883408073</v>
      </c>
      <c r="CZ5" s="386">
        <f t="shared" si="103"/>
        <v>1.8043478260869565</v>
      </c>
      <c r="DA5" s="387">
        <f t="shared" si="104"/>
        <v>0.16867469879518071</v>
      </c>
      <c r="DB5" s="169">
        <f t="shared" si="105"/>
        <v>76</v>
      </c>
      <c r="DC5" s="107">
        <f t="shared" si="106"/>
        <v>5.1121076233183853</v>
      </c>
      <c r="DD5" s="107">
        <f t="shared" si="107"/>
        <v>4</v>
      </c>
      <c r="DE5" s="107">
        <f t="shared" si="108"/>
        <v>7.03</v>
      </c>
      <c r="DF5" s="270"/>
      <c r="DG5" s="266" t="s">
        <v>708</v>
      </c>
      <c r="DH5" s="266" t="s">
        <v>786</v>
      </c>
      <c r="DI5" s="266">
        <v>22</v>
      </c>
      <c r="DJ5" s="266" t="s">
        <v>752</v>
      </c>
      <c r="DK5" s="266" t="s">
        <v>524</v>
      </c>
      <c r="DL5" s="266" t="s">
        <v>579</v>
      </c>
      <c r="DM5" s="266" t="s">
        <v>787</v>
      </c>
      <c r="DN5" s="266" t="s">
        <v>757</v>
      </c>
      <c r="DO5" s="267">
        <v>47299</v>
      </c>
      <c r="DP5" s="266">
        <v>1338</v>
      </c>
      <c r="DQ5" s="266">
        <v>16</v>
      </c>
      <c r="DR5" s="266">
        <v>1</v>
      </c>
      <c r="DS5" s="266">
        <v>0</v>
      </c>
      <c r="DT5" s="266">
        <v>0</v>
      </c>
      <c r="DU5" s="266">
        <v>2</v>
      </c>
      <c r="DV5" s="266">
        <v>1</v>
      </c>
      <c r="DW5" s="266">
        <v>0</v>
      </c>
      <c r="DX5" s="266">
        <v>3</v>
      </c>
      <c r="DY5" s="266">
        <v>4</v>
      </c>
      <c r="DZ5" s="266" t="s">
        <v>1072</v>
      </c>
      <c r="EA5" s="266">
        <v>10</v>
      </c>
      <c r="EB5" s="266">
        <v>21</v>
      </c>
      <c r="EC5" s="266">
        <v>7</v>
      </c>
      <c r="ED5" s="266">
        <v>0.1</v>
      </c>
      <c r="EE5" s="266">
        <v>881</v>
      </c>
      <c r="EF5" s="266">
        <v>826</v>
      </c>
      <c r="EG5" s="266">
        <v>16</v>
      </c>
      <c r="EH5" s="266">
        <v>108</v>
      </c>
      <c r="EI5" s="266">
        <v>9</v>
      </c>
      <c r="EJ5" s="266">
        <v>2</v>
      </c>
      <c r="EK5" s="266">
        <v>74</v>
      </c>
      <c r="EL5" s="266">
        <v>22</v>
      </c>
      <c r="EM5" s="266">
        <v>23</v>
      </c>
      <c r="EN5" s="266">
        <v>21</v>
      </c>
      <c r="EO5" s="266">
        <v>0</v>
      </c>
      <c r="EP5" s="266">
        <v>8</v>
      </c>
      <c r="EQ5" s="266">
        <v>41</v>
      </c>
      <c r="ER5" s="266">
        <v>11</v>
      </c>
      <c r="ES5" s="266">
        <v>11</v>
      </c>
      <c r="ET5" s="266">
        <v>17</v>
      </c>
      <c r="EU5" s="266">
        <v>15.9</v>
      </c>
      <c r="EV5" s="266">
        <v>0</v>
      </c>
      <c r="EW5" s="266">
        <v>0</v>
      </c>
      <c r="EX5" s="266">
        <v>0</v>
      </c>
      <c r="EY5" s="266" t="s">
        <v>788</v>
      </c>
      <c r="EZ5" s="271">
        <v>7.03</v>
      </c>
    </row>
    <row r="6" spans="1:156" ht="24.95" customHeight="1" thickBot="1" x14ac:dyDescent="0.3">
      <c r="A6" s="29" t="str">
        <f t="shared" si="0"/>
        <v>5º</v>
      </c>
      <c r="B6" s="67" t="str">
        <f t="shared" si="1"/>
        <v>Michel Ndary Adopo</v>
      </c>
      <c r="C6" s="83" t="str">
        <f t="shared" si="2"/>
        <v>FRA</v>
      </c>
      <c r="D6" s="28" t="str">
        <f t="shared" si="3"/>
        <v>Cagliari</v>
      </c>
      <c r="E6" s="91" t="str">
        <f t="shared" si="4"/>
        <v>Pé Direito</v>
      </c>
      <c r="F6" s="155">
        <f t="shared" si="5"/>
        <v>1.87</v>
      </c>
      <c r="G6" s="36">
        <f t="shared" si="6"/>
        <v>25</v>
      </c>
      <c r="H6" s="288" t="str">
        <f t="shared" si="7"/>
        <v>€93m p/m</v>
      </c>
      <c r="I6" s="35">
        <f t="shared" si="8"/>
        <v>47299</v>
      </c>
      <c r="J6" s="188" t="str">
        <f t="shared" si="9"/>
        <v>€17,5M - €22M</v>
      </c>
      <c r="K6" s="89">
        <f t="shared" si="10"/>
        <v>16.49111111111111</v>
      </c>
      <c r="L6" s="134">
        <f t="shared" si="11"/>
        <v>16.488888888888887</v>
      </c>
      <c r="M6" s="134">
        <f t="shared" si="12"/>
        <v>18</v>
      </c>
      <c r="N6" s="134">
        <f t="shared" si="13"/>
        <v>82.444444444444443</v>
      </c>
      <c r="O6" s="173">
        <f t="shared" si="14"/>
        <v>1</v>
      </c>
      <c r="P6" s="402">
        <f t="shared" si="15"/>
        <v>0</v>
      </c>
      <c r="Q6" s="402">
        <f t="shared" si="16"/>
        <v>0</v>
      </c>
      <c r="R6" s="402">
        <f t="shared" si="17"/>
        <v>0</v>
      </c>
      <c r="S6" s="6">
        <f t="shared" si="18"/>
        <v>0</v>
      </c>
      <c r="T6" s="21">
        <f t="shared" si="19"/>
        <v>0</v>
      </c>
      <c r="U6" s="55">
        <f t="shared" si="20"/>
        <v>0</v>
      </c>
      <c r="V6" s="55">
        <f t="shared" si="21"/>
        <v>0</v>
      </c>
      <c r="W6" s="55">
        <f t="shared" si="22"/>
        <v>0</v>
      </c>
      <c r="X6" s="58">
        <f t="shared" si="23"/>
        <v>9.9999999999999995E-8</v>
      </c>
      <c r="Y6" s="310">
        <f t="shared" si="24"/>
        <v>12</v>
      </c>
      <c r="Z6" s="287">
        <f t="shared" si="25"/>
        <v>0.72776280323450138</v>
      </c>
      <c r="AA6" s="2">
        <f t="shared" si="26"/>
        <v>1</v>
      </c>
      <c r="AB6" s="2">
        <f t="shared" si="27"/>
        <v>0</v>
      </c>
      <c r="AC6" s="2">
        <f t="shared" si="28"/>
        <v>1</v>
      </c>
      <c r="AD6" s="5">
        <f t="shared" si="29"/>
        <v>6.0646900269541788E-2</v>
      </c>
      <c r="AE6" s="364">
        <f t="shared" si="30"/>
        <v>12</v>
      </c>
      <c r="AF6" s="364">
        <f t="shared" si="31"/>
        <v>12</v>
      </c>
      <c r="AG6" s="2">
        <f t="shared" si="32"/>
        <v>11</v>
      </c>
      <c r="AH6" s="21">
        <f t="shared" si="33"/>
        <v>8.3333333333333329E-2</v>
      </c>
      <c r="AI6" s="195">
        <f t="shared" si="34"/>
        <v>103</v>
      </c>
      <c r="AJ6" s="185">
        <f t="shared" si="35"/>
        <v>6.2466307277628035</v>
      </c>
      <c r="AK6" s="195">
        <f t="shared" si="36"/>
        <v>32</v>
      </c>
      <c r="AL6" s="185">
        <f t="shared" si="37"/>
        <v>1.9407008086253372</v>
      </c>
      <c r="AM6" s="21">
        <f t="shared" si="38"/>
        <v>0.31067961165048541</v>
      </c>
      <c r="AN6" s="6">
        <f t="shared" si="39"/>
        <v>69</v>
      </c>
      <c r="AO6" s="5">
        <f t="shared" si="40"/>
        <v>4.1846361185983829</v>
      </c>
      <c r="AP6" s="6">
        <f t="shared" si="41"/>
        <v>41</v>
      </c>
      <c r="AQ6" s="5">
        <f t="shared" si="42"/>
        <v>2.486522911051213</v>
      </c>
      <c r="AR6" s="21">
        <f t="shared" si="43"/>
        <v>0.59420289855072461</v>
      </c>
      <c r="AS6" s="2">
        <f t="shared" si="44"/>
        <v>11</v>
      </c>
      <c r="AT6" s="21">
        <f t="shared" si="45"/>
        <v>0.91666666666666663</v>
      </c>
      <c r="AU6" s="6">
        <f t="shared" si="46"/>
        <v>999</v>
      </c>
      <c r="AV6" s="6">
        <f t="shared" si="47"/>
        <v>934</v>
      </c>
      <c r="AW6" s="5">
        <f t="shared" si="48"/>
        <v>56.644204851752029</v>
      </c>
      <c r="AX6" s="5">
        <f t="shared" si="49"/>
        <v>52.702156334231809</v>
      </c>
      <c r="AY6" s="6">
        <f t="shared" si="50"/>
        <v>65</v>
      </c>
      <c r="AZ6" s="5">
        <f t="shared" si="51"/>
        <v>3.9420485175202162</v>
      </c>
      <c r="BA6" s="20">
        <f t="shared" si="52"/>
        <v>0.93493493493493496</v>
      </c>
      <c r="BB6" s="289">
        <f t="shared" si="53"/>
        <v>924</v>
      </c>
      <c r="BC6" s="5">
        <f t="shared" si="54"/>
        <v>56.03773584905661</v>
      </c>
      <c r="BD6" s="6">
        <f t="shared" si="55"/>
        <v>75</v>
      </c>
      <c r="BE6" s="5">
        <f t="shared" si="56"/>
        <v>4.5485175202156336</v>
      </c>
      <c r="BF6" s="21">
        <f t="shared" si="57"/>
        <v>8.1168831168831168E-2</v>
      </c>
      <c r="BG6" s="6">
        <f t="shared" si="58"/>
        <v>31</v>
      </c>
      <c r="BH6" s="5">
        <f t="shared" si="59"/>
        <v>1.8800539083557954</v>
      </c>
      <c r="BI6" s="6">
        <f t="shared" si="60"/>
        <v>20</v>
      </c>
      <c r="BJ6" s="5">
        <f t="shared" si="61"/>
        <v>1.2129380053908356</v>
      </c>
      <c r="BK6" s="21">
        <f t="shared" si="62"/>
        <v>0.64516129032258063</v>
      </c>
      <c r="BL6" s="6">
        <f t="shared" si="63"/>
        <v>11</v>
      </c>
      <c r="BM6" s="5">
        <f t="shared" si="64"/>
        <v>0.6671159029649596</v>
      </c>
      <c r="BN6" s="6">
        <f t="shared" si="65"/>
        <v>1.6488888888888888</v>
      </c>
      <c r="BO6" s="5">
        <f t="shared" si="66"/>
        <v>0.1</v>
      </c>
      <c r="BP6" s="21">
        <f t="shared" si="67"/>
        <v>0.64516129032258063</v>
      </c>
      <c r="BQ6" s="6">
        <f t="shared" si="68"/>
        <v>38</v>
      </c>
      <c r="BR6" s="5">
        <f t="shared" si="69"/>
        <v>2.3045822102425877</v>
      </c>
      <c r="BS6" s="6">
        <f t="shared" si="70"/>
        <v>19</v>
      </c>
      <c r="BT6" s="5">
        <f t="shared" si="71"/>
        <v>1.1522911051212938</v>
      </c>
      <c r="BU6" s="6">
        <f t="shared" si="72"/>
        <v>7</v>
      </c>
      <c r="BV6" s="5">
        <f t="shared" si="73"/>
        <v>0.42452830188679253</v>
      </c>
      <c r="BW6" s="21">
        <f t="shared" si="74"/>
        <v>0.5</v>
      </c>
      <c r="BX6" s="6">
        <f t="shared" si="75"/>
        <v>2</v>
      </c>
      <c r="BY6" s="5">
        <f t="shared" si="76"/>
        <v>0.12129380053908358</v>
      </c>
      <c r="BZ6" s="2">
        <f t="shared" si="77"/>
        <v>10</v>
      </c>
      <c r="CA6" s="5">
        <f t="shared" si="78"/>
        <v>0.60646900269541781</v>
      </c>
      <c r="CB6" s="6">
        <f t="shared" si="79"/>
        <v>289.59999999999997</v>
      </c>
      <c r="CC6" s="5">
        <f t="shared" si="80"/>
        <v>17.563342318059298</v>
      </c>
      <c r="CD6" s="5">
        <f t="shared" si="81"/>
        <v>1.0309973045822103</v>
      </c>
      <c r="CE6" s="6">
        <f t="shared" si="82"/>
        <v>173</v>
      </c>
      <c r="CF6" s="362">
        <f t="shared" si="83"/>
        <v>0.10982658959537572</v>
      </c>
      <c r="CG6" s="356">
        <f t="shared" si="84"/>
        <v>84</v>
      </c>
      <c r="CH6" s="357">
        <f t="shared" si="85"/>
        <v>5.0943396226415096</v>
      </c>
      <c r="CI6" s="356">
        <f t="shared" si="86"/>
        <v>52</v>
      </c>
      <c r="CJ6" s="357">
        <f t="shared" si="87"/>
        <v>3.1536388140161726</v>
      </c>
      <c r="CK6" s="360">
        <f t="shared" si="88"/>
        <v>13.5</v>
      </c>
      <c r="CL6" s="59">
        <f t="shared" si="89"/>
        <v>124.32444444444444</v>
      </c>
      <c r="CM6" s="60">
        <f t="shared" si="90"/>
        <v>7.5398921832884103</v>
      </c>
      <c r="CN6" s="59">
        <f t="shared" si="91"/>
        <v>105.82444444444444</v>
      </c>
      <c r="CO6" s="60">
        <f t="shared" si="92"/>
        <v>6.4179245283018869</v>
      </c>
      <c r="CP6" s="292">
        <f t="shared" si="93"/>
        <v>78.25</v>
      </c>
      <c r="CQ6" s="293">
        <f t="shared" si="94"/>
        <v>4.7456199460916446</v>
      </c>
      <c r="CR6" s="322">
        <f t="shared" si="95"/>
        <v>0.85119579594609085</v>
      </c>
      <c r="CS6" s="180">
        <f t="shared" si="96"/>
        <v>3.1</v>
      </c>
      <c r="CT6" s="180">
        <f t="shared" si="97"/>
        <v>0.31</v>
      </c>
      <c r="CU6" s="6">
        <f t="shared" si="98"/>
        <v>17</v>
      </c>
      <c r="CV6" s="60">
        <f t="shared" si="99"/>
        <v>1.0309973045822103</v>
      </c>
      <c r="CW6" s="5">
        <f t="shared" si="100"/>
        <v>194.4</v>
      </c>
      <c r="CX6" s="5">
        <f t="shared" si="101"/>
        <v>11.789757412398924</v>
      </c>
      <c r="CY6" s="295">
        <f t="shared" si="102"/>
        <v>7.8598382749326143</v>
      </c>
      <c r="CZ6" s="386">
        <f t="shared" si="103"/>
        <v>1.6758620689655173</v>
      </c>
      <c r="DA6" s="387">
        <f t="shared" si="104"/>
        <v>0.20061728395061729</v>
      </c>
      <c r="DB6" s="169">
        <f t="shared" si="105"/>
        <v>80</v>
      </c>
      <c r="DC6" s="107">
        <f t="shared" si="106"/>
        <v>4.8517520215633425</v>
      </c>
      <c r="DD6" s="107">
        <f t="shared" si="107"/>
        <v>6.1</v>
      </c>
      <c r="DE6" s="107">
        <f t="shared" si="108"/>
        <v>6.98</v>
      </c>
      <c r="DF6" s="270"/>
      <c r="DG6" s="266" t="s">
        <v>610</v>
      </c>
      <c r="DH6" s="266" t="s">
        <v>772</v>
      </c>
      <c r="DI6" s="266">
        <v>25</v>
      </c>
      <c r="DJ6" s="266" t="s">
        <v>750</v>
      </c>
      <c r="DK6" s="266" t="s">
        <v>713</v>
      </c>
      <c r="DL6" s="266" t="s">
        <v>573</v>
      </c>
      <c r="DM6" s="266" t="s">
        <v>773</v>
      </c>
      <c r="DN6" s="266" t="s">
        <v>749</v>
      </c>
      <c r="DO6" s="267">
        <v>47299</v>
      </c>
      <c r="DP6" s="266">
        <v>1484</v>
      </c>
      <c r="DQ6" s="266">
        <v>18</v>
      </c>
      <c r="DR6" s="266">
        <v>0</v>
      </c>
      <c r="DS6" s="266">
        <v>0</v>
      </c>
      <c r="DT6" s="266">
        <v>0</v>
      </c>
      <c r="DU6" s="266">
        <v>0</v>
      </c>
      <c r="DV6" s="266">
        <v>1</v>
      </c>
      <c r="DW6" s="266">
        <v>0</v>
      </c>
      <c r="DX6" s="266">
        <v>7</v>
      </c>
      <c r="DY6" s="266">
        <v>6.1</v>
      </c>
      <c r="DZ6" s="266" t="s">
        <v>1073</v>
      </c>
      <c r="EA6" s="266">
        <v>12</v>
      </c>
      <c r="EB6" s="266">
        <v>31</v>
      </c>
      <c r="EC6" s="266">
        <v>20</v>
      </c>
      <c r="ED6" s="266">
        <v>0.1</v>
      </c>
      <c r="EE6" s="266">
        <v>999</v>
      </c>
      <c r="EF6" s="266">
        <v>934</v>
      </c>
      <c r="EG6" s="266">
        <v>10</v>
      </c>
      <c r="EH6" s="266">
        <v>75</v>
      </c>
      <c r="EI6" s="266">
        <v>4</v>
      </c>
      <c r="EJ6" s="266">
        <v>0</v>
      </c>
      <c r="EK6" s="266">
        <v>103</v>
      </c>
      <c r="EL6" s="266">
        <v>32</v>
      </c>
      <c r="EM6" s="266">
        <v>26</v>
      </c>
      <c r="EN6" s="266">
        <v>19</v>
      </c>
      <c r="EO6" s="266">
        <v>2</v>
      </c>
      <c r="EP6" s="266">
        <v>10</v>
      </c>
      <c r="EQ6" s="266">
        <v>52</v>
      </c>
      <c r="ER6" s="266">
        <v>3</v>
      </c>
      <c r="ES6" s="266">
        <v>19</v>
      </c>
      <c r="ET6" s="266">
        <v>11</v>
      </c>
      <c r="EU6" s="266">
        <v>13.5</v>
      </c>
      <c r="EV6" s="266">
        <v>0</v>
      </c>
      <c r="EW6" s="266">
        <v>0</v>
      </c>
      <c r="EX6" s="266">
        <v>0</v>
      </c>
      <c r="EY6" s="266" t="s">
        <v>774</v>
      </c>
      <c r="EZ6" s="271">
        <v>6.98</v>
      </c>
    </row>
    <row r="7" spans="1:156" ht="24.95" customHeight="1" thickBot="1" x14ac:dyDescent="0.3">
      <c r="A7" s="29" t="str">
        <f t="shared" si="0"/>
        <v>6º</v>
      </c>
      <c r="B7" s="67" t="str">
        <f t="shared" si="1"/>
        <v>Nahuel Estévez</v>
      </c>
      <c r="C7" s="83" t="str">
        <f t="shared" si="2"/>
        <v>ARG</v>
      </c>
      <c r="D7" s="28" t="str">
        <f t="shared" si="3"/>
        <v>Parma</v>
      </c>
      <c r="E7" s="91" t="str">
        <f t="shared" si="4"/>
        <v>Pé Direito</v>
      </c>
      <c r="F7" s="155">
        <f t="shared" si="5"/>
        <v>1.81</v>
      </c>
      <c r="G7" s="36">
        <f t="shared" si="6"/>
        <v>30</v>
      </c>
      <c r="H7" s="288" t="str">
        <f t="shared" si="7"/>
        <v>€93m p/m</v>
      </c>
      <c r="I7" s="35">
        <f t="shared" si="8"/>
        <v>46203</v>
      </c>
      <c r="J7" s="188" t="str">
        <f t="shared" si="9"/>
        <v>€50m - €500m</v>
      </c>
      <c r="K7" s="89">
        <f t="shared" si="10"/>
        <v>16.49111111111111</v>
      </c>
      <c r="L7" s="134">
        <f t="shared" si="11"/>
        <v>13.233333333333333</v>
      </c>
      <c r="M7" s="134">
        <f t="shared" si="12"/>
        <v>17</v>
      </c>
      <c r="N7" s="134">
        <f t="shared" si="13"/>
        <v>70.058823529411768</v>
      </c>
      <c r="O7" s="173">
        <f t="shared" si="14"/>
        <v>0.82</v>
      </c>
      <c r="P7" s="402">
        <f t="shared" si="15"/>
        <v>2</v>
      </c>
      <c r="Q7" s="402">
        <f t="shared" si="16"/>
        <v>2</v>
      </c>
      <c r="R7" s="402">
        <f t="shared" si="17"/>
        <v>4</v>
      </c>
      <c r="S7" s="6">
        <f t="shared" si="18"/>
        <v>1</v>
      </c>
      <c r="T7" s="21">
        <f t="shared" si="19"/>
        <v>7.5566750629722929E-2</v>
      </c>
      <c r="U7" s="55">
        <f t="shared" si="20"/>
        <v>0</v>
      </c>
      <c r="V7" s="55">
        <f t="shared" si="21"/>
        <v>0</v>
      </c>
      <c r="W7" s="55">
        <f t="shared" si="22"/>
        <v>0</v>
      </c>
      <c r="X7" s="58">
        <f t="shared" si="23"/>
        <v>9.9999999999999995E-8</v>
      </c>
      <c r="Y7" s="310">
        <f t="shared" si="24"/>
        <v>9</v>
      </c>
      <c r="Z7" s="287">
        <f t="shared" si="25"/>
        <v>0.68010075566750638</v>
      </c>
      <c r="AA7" s="2">
        <f t="shared" si="26"/>
        <v>1</v>
      </c>
      <c r="AB7" s="2">
        <f t="shared" si="27"/>
        <v>0</v>
      </c>
      <c r="AC7" s="2">
        <f t="shared" si="28"/>
        <v>1</v>
      </c>
      <c r="AD7" s="5">
        <f t="shared" si="29"/>
        <v>7.5566750629722929E-2</v>
      </c>
      <c r="AE7" s="364">
        <f t="shared" si="30"/>
        <v>9</v>
      </c>
      <c r="AF7" s="364">
        <f t="shared" si="31"/>
        <v>9</v>
      </c>
      <c r="AG7" s="2">
        <f t="shared" si="32"/>
        <v>8</v>
      </c>
      <c r="AH7" s="21">
        <f t="shared" si="33"/>
        <v>0.1111111111111111</v>
      </c>
      <c r="AI7" s="195">
        <f t="shared" si="34"/>
        <v>74</v>
      </c>
      <c r="AJ7" s="185">
        <f t="shared" si="35"/>
        <v>5.5919395465994963</v>
      </c>
      <c r="AK7" s="195">
        <f t="shared" si="36"/>
        <v>24</v>
      </c>
      <c r="AL7" s="185">
        <f t="shared" si="37"/>
        <v>1.8136020151133503</v>
      </c>
      <c r="AM7" s="21">
        <f t="shared" si="38"/>
        <v>0.32432432432432434</v>
      </c>
      <c r="AN7" s="6">
        <f t="shared" si="39"/>
        <v>57</v>
      </c>
      <c r="AO7" s="5">
        <f t="shared" si="40"/>
        <v>4.3073047858942068</v>
      </c>
      <c r="AP7" s="6">
        <f t="shared" si="41"/>
        <v>38</v>
      </c>
      <c r="AQ7" s="5">
        <f t="shared" si="42"/>
        <v>2.8715365239294712</v>
      </c>
      <c r="AR7" s="21">
        <f t="shared" si="43"/>
        <v>0.66666666666666663</v>
      </c>
      <c r="AS7" s="2">
        <f t="shared" si="44"/>
        <v>8</v>
      </c>
      <c r="AT7" s="21">
        <f t="shared" si="45"/>
        <v>0.88888888888888884</v>
      </c>
      <c r="AU7" s="6">
        <f t="shared" si="46"/>
        <v>682</v>
      </c>
      <c r="AV7" s="6">
        <f t="shared" si="47"/>
        <v>627</v>
      </c>
      <c r="AW7" s="5">
        <f t="shared" si="48"/>
        <v>47.380352644836272</v>
      </c>
      <c r="AX7" s="5">
        <f t="shared" si="49"/>
        <v>43.224181360201513</v>
      </c>
      <c r="AY7" s="6">
        <f t="shared" si="50"/>
        <v>55</v>
      </c>
      <c r="AZ7" s="5">
        <f t="shared" si="51"/>
        <v>4.1561712846347607</v>
      </c>
      <c r="BA7" s="20">
        <f t="shared" si="52"/>
        <v>0.91935483870967738</v>
      </c>
      <c r="BB7" s="289">
        <f t="shared" si="53"/>
        <v>602</v>
      </c>
      <c r="BC7" s="5">
        <f t="shared" si="54"/>
        <v>45.491183879093199</v>
      </c>
      <c r="BD7" s="6">
        <f t="shared" si="55"/>
        <v>80</v>
      </c>
      <c r="BE7" s="5">
        <f t="shared" si="56"/>
        <v>6.0453400503778338</v>
      </c>
      <c r="BF7" s="21">
        <f t="shared" si="57"/>
        <v>0.13289036544850499</v>
      </c>
      <c r="BG7" s="6">
        <f t="shared" si="58"/>
        <v>25</v>
      </c>
      <c r="BH7" s="5">
        <f t="shared" si="59"/>
        <v>1.8891687657430731</v>
      </c>
      <c r="BI7" s="6">
        <f t="shared" si="60"/>
        <v>19</v>
      </c>
      <c r="BJ7" s="5">
        <f t="shared" si="61"/>
        <v>1.4357682619647356</v>
      </c>
      <c r="BK7" s="21">
        <f t="shared" si="62"/>
        <v>0.76</v>
      </c>
      <c r="BL7" s="6">
        <f t="shared" si="63"/>
        <v>6</v>
      </c>
      <c r="BM7" s="5">
        <f t="shared" si="64"/>
        <v>0.45340050377833757</v>
      </c>
      <c r="BN7" s="6">
        <f t="shared" si="65"/>
        <v>2.6466666666666665</v>
      </c>
      <c r="BO7" s="5">
        <f t="shared" si="66"/>
        <v>0.2</v>
      </c>
      <c r="BP7" s="21">
        <f t="shared" si="67"/>
        <v>0.76</v>
      </c>
      <c r="BQ7" s="6">
        <f t="shared" si="68"/>
        <v>32</v>
      </c>
      <c r="BR7" s="5">
        <f t="shared" si="69"/>
        <v>2.4181360201511337</v>
      </c>
      <c r="BS7" s="6">
        <f t="shared" si="70"/>
        <v>18</v>
      </c>
      <c r="BT7" s="5">
        <f t="shared" si="71"/>
        <v>1.3602015113350128</v>
      </c>
      <c r="BU7" s="6">
        <f t="shared" si="72"/>
        <v>5</v>
      </c>
      <c r="BV7" s="5">
        <f t="shared" si="73"/>
        <v>0.37783375314861462</v>
      </c>
      <c r="BW7" s="21">
        <f t="shared" si="74"/>
        <v>0.5625</v>
      </c>
      <c r="BX7" s="6">
        <f t="shared" si="75"/>
        <v>1</v>
      </c>
      <c r="BY7" s="5">
        <f t="shared" si="76"/>
        <v>7.5566750629722929E-2</v>
      </c>
      <c r="BZ7" s="2">
        <f t="shared" si="77"/>
        <v>14</v>
      </c>
      <c r="CA7" s="5">
        <f t="shared" si="78"/>
        <v>1.0579345088161209</v>
      </c>
      <c r="CB7" s="6">
        <f t="shared" si="79"/>
        <v>145.13</v>
      </c>
      <c r="CC7" s="5">
        <f t="shared" si="80"/>
        <v>10.967002518891688</v>
      </c>
      <c r="CD7" s="5">
        <f t="shared" si="81"/>
        <v>1.6624685138539044</v>
      </c>
      <c r="CE7" s="6">
        <f t="shared" si="82"/>
        <v>173</v>
      </c>
      <c r="CF7" s="362">
        <f t="shared" si="83"/>
        <v>0.10404624277456648</v>
      </c>
      <c r="CG7" s="356">
        <f t="shared" si="84"/>
        <v>42</v>
      </c>
      <c r="CH7" s="357">
        <f t="shared" si="85"/>
        <v>3.1738035264483631</v>
      </c>
      <c r="CI7" s="356">
        <f t="shared" si="86"/>
        <v>42.5</v>
      </c>
      <c r="CJ7" s="357">
        <f t="shared" si="87"/>
        <v>3.2115869017632246</v>
      </c>
      <c r="CK7" s="360">
        <f t="shared" si="88"/>
        <v>8.6999999999999993</v>
      </c>
      <c r="CL7" s="59">
        <f t="shared" si="89"/>
        <v>76.823333333333338</v>
      </c>
      <c r="CM7" s="60">
        <f t="shared" si="90"/>
        <v>5.805289672544081</v>
      </c>
      <c r="CN7" s="59">
        <f t="shared" si="91"/>
        <v>62.323333333333331</v>
      </c>
      <c r="CO7" s="60">
        <f t="shared" si="92"/>
        <v>4.7095717884130988</v>
      </c>
      <c r="CP7" s="292">
        <f t="shared" si="93"/>
        <v>65.25</v>
      </c>
      <c r="CQ7" s="293">
        <f t="shared" si="94"/>
        <v>4.930730478589421</v>
      </c>
      <c r="CR7" s="322">
        <f t="shared" si="95"/>
        <v>0.81125526098841494</v>
      </c>
      <c r="CS7" s="180">
        <f t="shared" si="96"/>
        <v>2.37</v>
      </c>
      <c r="CT7" s="180">
        <f t="shared" si="97"/>
        <v>0.16928571428571429</v>
      </c>
      <c r="CU7" s="6">
        <f t="shared" si="98"/>
        <v>20</v>
      </c>
      <c r="CV7" s="60">
        <f t="shared" si="99"/>
        <v>1.5113350125944585</v>
      </c>
      <c r="CW7" s="5">
        <f t="shared" si="100"/>
        <v>146.6</v>
      </c>
      <c r="CX7" s="5">
        <f t="shared" si="101"/>
        <v>11.078085642317381</v>
      </c>
      <c r="CY7" s="295">
        <f t="shared" si="102"/>
        <v>7.3853904282115863</v>
      </c>
      <c r="CZ7" s="386">
        <f t="shared" si="103"/>
        <v>2.0503496503496503</v>
      </c>
      <c r="DA7" s="387">
        <f t="shared" si="104"/>
        <v>0.252387448840382</v>
      </c>
      <c r="DB7" s="169">
        <f t="shared" si="105"/>
        <v>67</v>
      </c>
      <c r="DC7" s="107">
        <f t="shared" si="106"/>
        <v>5.0629722921914357</v>
      </c>
      <c r="DD7" s="107">
        <f t="shared" si="107"/>
        <v>7.2</v>
      </c>
      <c r="DE7" s="107">
        <f t="shared" si="108"/>
        <v>7.02</v>
      </c>
      <c r="DF7" s="268" t="s">
        <v>746</v>
      </c>
      <c r="DG7" s="264" t="s">
        <v>708</v>
      </c>
      <c r="DH7" s="264" t="s">
        <v>714</v>
      </c>
      <c r="DI7" s="264">
        <v>30</v>
      </c>
      <c r="DJ7" s="264" t="s">
        <v>710</v>
      </c>
      <c r="DK7" s="264" t="s">
        <v>557</v>
      </c>
      <c r="DL7" s="264" t="s">
        <v>573</v>
      </c>
      <c r="DM7" s="264" t="s">
        <v>791</v>
      </c>
      <c r="DN7" s="264" t="s">
        <v>749</v>
      </c>
      <c r="DO7" s="265">
        <v>46203</v>
      </c>
      <c r="DP7" s="264">
        <v>1191</v>
      </c>
      <c r="DQ7" s="264" t="s">
        <v>792</v>
      </c>
      <c r="DR7" s="264">
        <v>1</v>
      </c>
      <c r="DS7" s="264">
        <v>0</v>
      </c>
      <c r="DT7" s="264">
        <v>2</v>
      </c>
      <c r="DU7" s="264">
        <v>2</v>
      </c>
      <c r="DV7" s="264">
        <v>1</v>
      </c>
      <c r="DW7" s="264">
        <v>0</v>
      </c>
      <c r="DX7" s="264">
        <v>6</v>
      </c>
      <c r="DY7" s="264">
        <v>7.2</v>
      </c>
      <c r="DZ7" s="264" t="s">
        <v>1074</v>
      </c>
      <c r="EA7" s="264">
        <v>9</v>
      </c>
      <c r="EB7" s="264">
        <v>25</v>
      </c>
      <c r="EC7" s="264">
        <v>19</v>
      </c>
      <c r="ED7" s="264">
        <v>0.2</v>
      </c>
      <c r="EE7" s="264">
        <v>682</v>
      </c>
      <c r="EF7" s="264">
        <v>627</v>
      </c>
      <c r="EG7" s="264">
        <v>14</v>
      </c>
      <c r="EH7" s="264">
        <v>80</v>
      </c>
      <c r="EI7" s="264">
        <v>11</v>
      </c>
      <c r="EJ7" s="264">
        <v>5</v>
      </c>
      <c r="EK7" s="264">
        <v>74</v>
      </c>
      <c r="EL7" s="264">
        <v>24</v>
      </c>
      <c r="EM7" s="264">
        <v>23</v>
      </c>
      <c r="EN7" s="264">
        <v>18</v>
      </c>
      <c r="EO7" s="264">
        <v>1</v>
      </c>
      <c r="EP7" s="264">
        <v>4</v>
      </c>
      <c r="EQ7" s="264">
        <v>24</v>
      </c>
      <c r="ER7" s="264">
        <v>1</v>
      </c>
      <c r="ES7" s="264">
        <v>13</v>
      </c>
      <c r="ET7" s="264">
        <v>10</v>
      </c>
      <c r="EU7" s="264">
        <v>8.6999999999999993</v>
      </c>
      <c r="EV7" s="264">
        <v>0</v>
      </c>
      <c r="EW7" s="264">
        <v>0</v>
      </c>
      <c r="EX7" s="264">
        <v>0</v>
      </c>
      <c r="EY7" s="264" t="s">
        <v>793</v>
      </c>
      <c r="EZ7" s="269">
        <v>7.02</v>
      </c>
    </row>
    <row r="8" spans="1:156" ht="24.95" customHeight="1" thickBot="1" x14ac:dyDescent="0.3">
      <c r="A8" s="29" t="str">
        <f t="shared" si="0"/>
        <v>7º</v>
      </c>
      <c r="B8" s="67" t="str">
        <f t="shared" si="1"/>
        <v>Nicolò Rovella</v>
      </c>
      <c r="C8" s="83" t="str">
        <f t="shared" si="2"/>
        <v>ITA</v>
      </c>
      <c r="D8" s="28" t="str">
        <f t="shared" si="3"/>
        <v>Lazio</v>
      </c>
      <c r="E8" s="91" t="str">
        <f t="shared" si="4"/>
        <v>Pé Direito</v>
      </c>
      <c r="F8" s="155">
        <f t="shared" si="5"/>
        <v>1.79</v>
      </c>
      <c r="G8" s="36">
        <f t="shared" si="6"/>
        <v>24</v>
      </c>
      <c r="H8" s="288" t="str">
        <f t="shared" si="7"/>
        <v>€311m p/m</v>
      </c>
      <c r="I8" s="35">
        <f t="shared" si="8"/>
        <v>46934</v>
      </c>
      <c r="J8" s="188" t="str">
        <f t="shared" si="9"/>
        <v>Não está à venda</v>
      </c>
      <c r="K8" s="89">
        <f t="shared" si="10"/>
        <v>16.49111111111111</v>
      </c>
      <c r="L8" s="134">
        <f t="shared" si="11"/>
        <v>13.955555555555556</v>
      </c>
      <c r="M8" s="134">
        <f t="shared" si="12"/>
        <v>16</v>
      </c>
      <c r="N8" s="134">
        <f t="shared" si="13"/>
        <v>78.5</v>
      </c>
      <c r="O8" s="173">
        <f t="shared" si="14"/>
        <v>0.94</v>
      </c>
      <c r="P8" s="402">
        <f t="shared" si="15"/>
        <v>0</v>
      </c>
      <c r="Q8" s="402">
        <f t="shared" si="16"/>
        <v>3</v>
      </c>
      <c r="R8" s="402">
        <f t="shared" si="17"/>
        <v>3</v>
      </c>
      <c r="S8" s="6">
        <f t="shared" si="18"/>
        <v>1</v>
      </c>
      <c r="T8" s="21">
        <f t="shared" si="19"/>
        <v>7.1656050955414011E-2</v>
      </c>
      <c r="U8" s="55">
        <f t="shared" si="20"/>
        <v>0</v>
      </c>
      <c r="V8" s="55">
        <f t="shared" si="21"/>
        <v>0</v>
      </c>
      <c r="W8" s="55">
        <f t="shared" si="22"/>
        <v>0</v>
      </c>
      <c r="X8" s="58">
        <f t="shared" si="23"/>
        <v>9.9999999999999995E-8</v>
      </c>
      <c r="Y8" s="310">
        <f t="shared" si="24"/>
        <v>17</v>
      </c>
      <c r="Z8" s="287">
        <f t="shared" si="25"/>
        <v>1.2181528662420382</v>
      </c>
      <c r="AA8" s="2">
        <f t="shared" si="26"/>
        <v>4</v>
      </c>
      <c r="AB8" s="2">
        <f t="shared" si="27"/>
        <v>0</v>
      </c>
      <c r="AC8" s="2">
        <f t="shared" si="28"/>
        <v>4</v>
      </c>
      <c r="AD8" s="5">
        <f t="shared" si="29"/>
        <v>0.28662420382165604</v>
      </c>
      <c r="AE8" s="364">
        <f t="shared" si="30"/>
        <v>4.25</v>
      </c>
      <c r="AF8" s="364">
        <f t="shared" si="31"/>
        <v>4.25</v>
      </c>
      <c r="AG8" s="2">
        <f t="shared" si="32"/>
        <v>13</v>
      </c>
      <c r="AH8" s="21">
        <f t="shared" si="33"/>
        <v>0.23529411764705882</v>
      </c>
      <c r="AI8" s="195">
        <f t="shared" si="34"/>
        <v>79</v>
      </c>
      <c r="AJ8" s="185">
        <f t="shared" si="35"/>
        <v>5.6608280254777066</v>
      </c>
      <c r="AK8" s="195">
        <f t="shared" si="36"/>
        <v>26</v>
      </c>
      <c r="AL8" s="185">
        <f t="shared" si="37"/>
        <v>1.8630573248407643</v>
      </c>
      <c r="AM8" s="21">
        <f t="shared" si="38"/>
        <v>0.32911392405063289</v>
      </c>
      <c r="AN8" s="6">
        <f t="shared" si="39"/>
        <v>64</v>
      </c>
      <c r="AO8" s="5">
        <f t="shared" si="40"/>
        <v>4.5859872611464967</v>
      </c>
      <c r="AP8" s="6">
        <f t="shared" si="41"/>
        <v>23</v>
      </c>
      <c r="AQ8" s="5">
        <f t="shared" si="42"/>
        <v>1.6480891719745223</v>
      </c>
      <c r="AR8" s="21">
        <f t="shared" si="43"/>
        <v>0.359375</v>
      </c>
      <c r="AS8" s="2">
        <f t="shared" si="44"/>
        <v>13</v>
      </c>
      <c r="AT8" s="21">
        <f t="shared" si="45"/>
        <v>0.76470588235294112</v>
      </c>
      <c r="AU8" s="6">
        <f t="shared" si="46"/>
        <v>834</v>
      </c>
      <c r="AV8" s="6">
        <f t="shared" si="47"/>
        <v>782</v>
      </c>
      <c r="AW8" s="5">
        <f t="shared" si="48"/>
        <v>56.035031847133759</v>
      </c>
      <c r="AX8" s="5">
        <f t="shared" si="49"/>
        <v>52.308917197452232</v>
      </c>
      <c r="AY8" s="6">
        <f t="shared" si="50"/>
        <v>52</v>
      </c>
      <c r="AZ8" s="5">
        <f t="shared" si="51"/>
        <v>3.7261146496815285</v>
      </c>
      <c r="BA8" s="20">
        <f t="shared" si="52"/>
        <v>0.93764988009592332</v>
      </c>
      <c r="BB8" s="289">
        <f t="shared" si="53"/>
        <v>738</v>
      </c>
      <c r="BC8" s="5">
        <f t="shared" si="54"/>
        <v>52.882165605095544</v>
      </c>
      <c r="BD8" s="6">
        <f t="shared" si="55"/>
        <v>96</v>
      </c>
      <c r="BE8" s="5">
        <f t="shared" si="56"/>
        <v>6.8789808917197455</v>
      </c>
      <c r="BF8" s="21">
        <f t="shared" si="57"/>
        <v>0.13008130081300814</v>
      </c>
      <c r="BG8" s="6">
        <f t="shared" si="58"/>
        <v>22</v>
      </c>
      <c r="BH8" s="5">
        <f t="shared" si="59"/>
        <v>1.5764331210191083</v>
      </c>
      <c r="BI8" s="6">
        <f t="shared" si="60"/>
        <v>1</v>
      </c>
      <c r="BJ8" s="5">
        <f t="shared" si="61"/>
        <v>7.1656050955414011E-2</v>
      </c>
      <c r="BK8" s="21">
        <f t="shared" si="62"/>
        <v>4.5454545454545456E-2</v>
      </c>
      <c r="BL8" s="6">
        <f t="shared" si="63"/>
        <v>21</v>
      </c>
      <c r="BM8" s="5">
        <f t="shared" si="64"/>
        <v>1.5047770700636942</v>
      </c>
      <c r="BN8" s="6">
        <f t="shared" si="65"/>
        <v>0</v>
      </c>
      <c r="BO8" s="5">
        <f t="shared" si="66"/>
        <v>0</v>
      </c>
      <c r="BP8" s="21">
        <f t="shared" si="67"/>
        <v>4.5454545454545456E-2</v>
      </c>
      <c r="BQ8" s="6">
        <f t="shared" si="68"/>
        <v>42</v>
      </c>
      <c r="BR8" s="5">
        <f t="shared" si="69"/>
        <v>3.0095541401273884</v>
      </c>
      <c r="BS8" s="6">
        <f t="shared" si="70"/>
        <v>21</v>
      </c>
      <c r="BT8" s="5">
        <f t="shared" si="71"/>
        <v>1.5047770700636942</v>
      </c>
      <c r="BU8" s="6">
        <f t="shared" si="72"/>
        <v>4</v>
      </c>
      <c r="BV8" s="5">
        <f t="shared" si="73"/>
        <v>0.28662420382165604</v>
      </c>
      <c r="BW8" s="21">
        <f t="shared" si="74"/>
        <v>0.5</v>
      </c>
      <c r="BX8" s="6">
        <f t="shared" si="75"/>
        <v>1</v>
      </c>
      <c r="BY8" s="5">
        <f t="shared" si="76"/>
        <v>7.1656050955414011E-2</v>
      </c>
      <c r="BZ8" s="2">
        <f t="shared" si="77"/>
        <v>10</v>
      </c>
      <c r="CA8" s="5">
        <f t="shared" si="78"/>
        <v>0.71656050955414008</v>
      </c>
      <c r="CB8" s="6">
        <f t="shared" si="79"/>
        <v>297.59555555555562</v>
      </c>
      <c r="CC8" s="5">
        <f t="shared" si="80"/>
        <v>21.324522292993635</v>
      </c>
      <c r="CD8" s="5">
        <f t="shared" si="81"/>
        <v>1.3614649681528663</v>
      </c>
      <c r="CE8" s="6">
        <f t="shared" si="82"/>
        <v>173</v>
      </c>
      <c r="CF8" s="362">
        <f t="shared" si="83"/>
        <v>0.12138728323699421</v>
      </c>
      <c r="CG8" s="356">
        <f t="shared" si="84"/>
        <v>51</v>
      </c>
      <c r="CH8" s="357">
        <f t="shared" si="85"/>
        <v>3.6544585987261144</v>
      </c>
      <c r="CI8" s="356">
        <f t="shared" si="86"/>
        <v>47.5</v>
      </c>
      <c r="CJ8" s="357">
        <f t="shared" si="87"/>
        <v>3.4036624203821657</v>
      </c>
      <c r="CK8" s="360">
        <f t="shared" si="88"/>
        <v>18.100000000000001</v>
      </c>
      <c r="CL8" s="59">
        <f t="shared" si="89"/>
        <v>99</v>
      </c>
      <c r="CM8" s="60">
        <f t="shared" si="90"/>
        <v>7.0939490445859867</v>
      </c>
      <c r="CN8" s="59">
        <f t="shared" si="91"/>
        <v>73</v>
      </c>
      <c r="CO8" s="60">
        <f t="shared" si="92"/>
        <v>5.2308917197452232</v>
      </c>
      <c r="CP8" s="292">
        <f t="shared" si="93"/>
        <v>74</v>
      </c>
      <c r="CQ8" s="293">
        <f t="shared" si="94"/>
        <v>5.3025477707006372</v>
      </c>
      <c r="CR8" s="322">
        <f t="shared" si="95"/>
        <v>0.73737373737373735</v>
      </c>
      <c r="CS8" s="180">
        <f t="shared" si="96"/>
        <v>3.99</v>
      </c>
      <c r="CT8" s="180">
        <f t="shared" si="97"/>
        <v>0.39900000000000002</v>
      </c>
      <c r="CU8" s="6">
        <f t="shared" si="98"/>
        <v>16</v>
      </c>
      <c r="CV8" s="60">
        <f t="shared" si="99"/>
        <v>1.1464968152866242</v>
      </c>
      <c r="CW8" s="5">
        <f t="shared" si="100"/>
        <v>155.9</v>
      </c>
      <c r="CX8" s="5">
        <f t="shared" si="101"/>
        <v>11.171178343949045</v>
      </c>
      <c r="CY8" s="295">
        <f t="shared" si="102"/>
        <v>7.4474522292993637</v>
      </c>
      <c r="CZ8" s="386">
        <f t="shared" si="103"/>
        <v>1.7615819209039549</v>
      </c>
      <c r="DA8" s="387">
        <f t="shared" si="104"/>
        <v>0.14111610006414368</v>
      </c>
      <c r="DB8" s="169">
        <f t="shared" si="105"/>
        <v>78</v>
      </c>
      <c r="DC8" s="107">
        <f t="shared" si="106"/>
        <v>5.5891719745222925</v>
      </c>
      <c r="DD8" s="107">
        <f t="shared" si="107"/>
        <v>4.4000000000000004</v>
      </c>
      <c r="DE8" s="107">
        <f t="shared" si="108"/>
        <v>6.94</v>
      </c>
      <c r="DF8" s="268"/>
      <c r="DG8" s="264" t="s">
        <v>614</v>
      </c>
      <c r="DH8" s="264" t="s">
        <v>789</v>
      </c>
      <c r="DI8" s="264">
        <v>24</v>
      </c>
      <c r="DJ8" s="264" t="s">
        <v>753</v>
      </c>
      <c r="DK8" s="264" t="s">
        <v>565</v>
      </c>
      <c r="DL8" s="264" t="s">
        <v>573</v>
      </c>
      <c r="DM8" s="264" t="s">
        <v>394</v>
      </c>
      <c r="DN8" s="264" t="s">
        <v>790</v>
      </c>
      <c r="DO8" s="265">
        <v>46934</v>
      </c>
      <c r="DP8" s="264">
        <v>1256</v>
      </c>
      <c r="DQ8" s="264" t="s">
        <v>650</v>
      </c>
      <c r="DR8" s="264">
        <v>1</v>
      </c>
      <c r="DS8" s="264">
        <v>0</v>
      </c>
      <c r="DT8" s="264">
        <v>0</v>
      </c>
      <c r="DU8" s="264">
        <v>3</v>
      </c>
      <c r="DV8" s="264">
        <v>4</v>
      </c>
      <c r="DW8" s="264">
        <v>0</v>
      </c>
      <c r="DX8" s="264">
        <v>6</v>
      </c>
      <c r="DY8" s="264">
        <v>4.4000000000000004</v>
      </c>
      <c r="DZ8" s="264" t="s">
        <v>1075</v>
      </c>
      <c r="EA8" s="264">
        <v>17</v>
      </c>
      <c r="EB8" s="264">
        <v>22</v>
      </c>
      <c r="EC8" s="264">
        <v>1</v>
      </c>
      <c r="ED8" s="264">
        <v>0</v>
      </c>
      <c r="EE8" s="264">
        <v>834</v>
      </c>
      <c r="EF8" s="264">
        <v>782</v>
      </c>
      <c r="EG8" s="264">
        <v>10</v>
      </c>
      <c r="EH8" s="264">
        <v>96</v>
      </c>
      <c r="EI8" s="264">
        <v>5</v>
      </c>
      <c r="EJ8" s="264">
        <v>0</v>
      </c>
      <c r="EK8" s="264">
        <v>79</v>
      </c>
      <c r="EL8" s="264">
        <v>26</v>
      </c>
      <c r="EM8" s="264">
        <v>25</v>
      </c>
      <c r="EN8" s="264">
        <v>21</v>
      </c>
      <c r="EO8" s="264">
        <v>1</v>
      </c>
      <c r="EP8" s="264">
        <v>5</v>
      </c>
      <c r="EQ8" s="264">
        <v>35</v>
      </c>
      <c r="ER8" s="264">
        <v>4</v>
      </c>
      <c r="ES8" s="264">
        <v>7</v>
      </c>
      <c r="ET8" s="264">
        <v>6</v>
      </c>
      <c r="EU8" s="264">
        <v>18.100000000000001</v>
      </c>
      <c r="EV8" s="264">
        <v>0</v>
      </c>
      <c r="EW8" s="264">
        <v>0</v>
      </c>
      <c r="EX8" s="264">
        <v>0</v>
      </c>
      <c r="EY8" s="264" t="s">
        <v>759</v>
      </c>
      <c r="EZ8" s="269">
        <v>6.94</v>
      </c>
    </row>
    <row r="9" spans="1:156" ht="24.95" customHeight="1" thickBot="1" x14ac:dyDescent="0.3">
      <c r="A9" s="29" t="str">
        <f t="shared" si="0"/>
        <v>8º</v>
      </c>
      <c r="B9" s="67" t="str">
        <f t="shared" si="1"/>
        <v>Rolando Mandragora</v>
      </c>
      <c r="C9" s="83" t="str">
        <f t="shared" si="2"/>
        <v>ITA</v>
      </c>
      <c r="D9" s="28" t="str">
        <f t="shared" si="3"/>
        <v>Fiorentina</v>
      </c>
      <c r="E9" s="91" t="str">
        <f t="shared" si="4"/>
        <v>Pé Esquerdo</v>
      </c>
      <c r="F9" s="155">
        <f t="shared" si="5"/>
        <v>1.83</v>
      </c>
      <c r="G9" s="36">
        <f t="shared" si="6"/>
        <v>28</v>
      </c>
      <c r="H9" s="288" t="str">
        <f t="shared" si="7"/>
        <v>€281m p/m</v>
      </c>
      <c r="I9" s="35">
        <f t="shared" si="8"/>
        <v>47299</v>
      </c>
      <c r="J9" s="188" t="str">
        <f t="shared" si="9"/>
        <v>€22M - €33M</v>
      </c>
      <c r="K9" s="89">
        <f t="shared" si="10"/>
        <v>16.49111111111111</v>
      </c>
      <c r="L9" s="134">
        <f t="shared" si="11"/>
        <v>19.744444444444444</v>
      </c>
      <c r="M9" s="134">
        <f t="shared" si="12"/>
        <v>24</v>
      </c>
      <c r="N9" s="134">
        <f t="shared" si="13"/>
        <v>74.041666666666671</v>
      </c>
      <c r="O9" s="173">
        <f t="shared" si="14"/>
        <v>0.88</v>
      </c>
      <c r="P9" s="402">
        <f t="shared" si="15"/>
        <v>0</v>
      </c>
      <c r="Q9" s="402">
        <f t="shared" si="16"/>
        <v>6</v>
      </c>
      <c r="R9" s="402">
        <f t="shared" si="17"/>
        <v>6</v>
      </c>
      <c r="S9" s="6">
        <f t="shared" si="18"/>
        <v>0</v>
      </c>
      <c r="T9" s="21">
        <f t="shared" si="19"/>
        <v>0</v>
      </c>
      <c r="U9" s="55">
        <f t="shared" si="20"/>
        <v>0</v>
      </c>
      <c r="V9" s="55">
        <f t="shared" si="21"/>
        <v>0</v>
      </c>
      <c r="W9" s="55">
        <f t="shared" si="22"/>
        <v>0</v>
      </c>
      <c r="X9" s="58">
        <f t="shared" si="23"/>
        <v>9.9999999999999995E-8</v>
      </c>
      <c r="Y9" s="310">
        <f t="shared" si="24"/>
        <v>11</v>
      </c>
      <c r="Z9" s="287">
        <f t="shared" si="25"/>
        <v>0.55711873944850876</v>
      </c>
      <c r="AA9" s="2">
        <f t="shared" si="26"/>
        <v>4</v>
      </c>
      <c r="AB9" s="2">
        <f t="shared" si="27"/>
        <v>0</v>
      </c>
      <c r="AC9" s="2">
        <f t="shared" si="28"/>
        <v>4</v>
      </c>
      <c r="AD9" s="5">
        <f t="shared" si="29"/>
        <v>0.20258863252673046</v>
      </c>
      <c r="AE9" s="364">
        <f t="shared" si="30"/>
        <v>2.75</v>
      </c>
      <c r="AF9" s="364">
        <f t="shared" si="31"/>
        <v>2.75</v>
      </c>
      <c r="AG9" s="2">
        <f t="shared" si="32"/>
        <v>7</v>
      </c>
      <c r="AH9" s="21">
        <f t="shared" si="33"/>
        <v>0.36363636363636365</v>
      </c>
      <c r="AI9" s="195">
        <f t="shared" si="34"/>
        <v>141</v>
      </c>
      <c r="AJ9" s="185">
        <f t="shared" si="35"/>
        <v>7.1412492965672483</v>
      </c>
      <c r="AK9" s="195">
        <f t="shared" si="36"/>
        <v>31</v>
      </c>
      <c r="AL9" s="185">
        <f t="shared" si="37"/>
        <v>1.5700619020821611</v>
      </c>
      <c r="AM9" s="21">
        <f t="shared" si="38"/>
        <v>0.21985815602836881</v>
      </c>
      <c r="AN9" s="6">
        <f t="shared" si="39"/>
        <v>59</v>
      </c>
      <c r="AO9" s="5">
        <f t="shared" si="40"/>
        <v>2.9881823297692742</v>
      </c>
      <c r="AP9" s="6">
        <f t="shared" si="41"/>
        <v>25</v>
      </c>
      <c r="AQ9" s="5">
        <f t="shared" si="42"/>
        <v>1.2661789532920653</v>
      </c>
      <c r="AR9" s="21">
        <f t="shared" si="43"/>
        <v>0.42372881355932202</v>
      </c>
      <c r="AS9" s="2">
        <f t="shared" si="44"/>
        <v>7</v>
      </c>
      <c r="AT9" s="21">
        <f t="shared" si="45"/>
        <v>0.63636363636363635</v>
      </c>
      <c r="AU9" s="6">
        <f t="shared" si="46"/>
        <v>1083</v>
      </c>
      <c r="AV9" s="6">
        <f t="shared" si="47"/>
        <v>990</v>
      </c>
      <c r="AW9" s="5">
        <f t="shared" si="48"/>
        <v>50.140686550365785</v>
      </c>
      <c r="AX9" s="5">
        <f t="shared" si="49"/>
        <v>45.430500844119301</v>
      </c>
      <c r="AY9" s="6">
        <f t="shared" si="50"/>
        <v>93</v>
      </c>
      <c r="AZ9" s="5">
        <f t="shared" si="51"/>
        <v>4.7101857062464827</v>
      </c>
      <c r="BA9" s="20">
        <f t="shared" si="52"/>
        <v>0.91412742382271472</v>
      </c>
      <c r="BB9" s="289">
        <f t="shared" si="53"/>
        <v>977</v>
      </c>
      <c r="BC9" s="5">
        <f t="shared" si="54"/>
        <v>49.48227349465391</v>
      </c>
      <c r="BD9" s="6">
        <f t="shared" si="55"/>
        <v>106</v>
      </c>
      <c r="BE9" s="5">
        <f t="shared" si="56"/>
        <v>5.3685987619583573</v>
      </c>
      <c r="BF9" s="21">
        <f t="shared" si="57"/>
        <v>0.10849539406345957</v>
      </c>
      <c r="BG9" s="6">
        <f t="shared" si="58"/>
        <v>20</v>
      </c>
      <c r="BH9" s="5">
        <f t="shared" si="59"/>
        <v>1.0129431626336522</v>
      </c>
      <c r="BI9" s="6">
        <f t="shared" si="60"/>
        <v>12</v>
      </c>
      <c r="BJ9" s="5">
        <f t="shared" si="61"/>
        <v>0.60776589758019139</v>
      </c>
      <c r="BK9" s="21">
        <f t="shared" si="62"/>
        <v>0.6</v>
      </c>
      <c r="BL9" s="6">
        <f t="shared" si="63"/>
        <v>8</v>
      </c>
      <c r="BM9" s="5">
        <f t="shared" si="64"/>
        <v>0.40517726505346091</v>
      </c>
      <c r="BN9" s="6">
        <f t="shared" si="65"/>
        <v>1.9744444444444444</v>
      </c>
      <c r="BO9" s="5">
        <f t="shared" si="66"/>
        <v>0.1</v>
      </c>
      <c r="BP9" s="21">
        <f t="shared" si="67"/>
        <v>0.6</v>
      </c>
      <c r="BQ9" s="6">
        <f t="shared" si="68"/>
        <v>39</v>
      </c>
      <c r="BR9" s="5">
        <f t="shared" si="69"/>
        <v>1.975239167135622</v>
      </c>
      <c r="BS9" s="6">
        <f t="shared" si="70"/>
        <v>11</v>
      </c>
      <c r="BT9" s="5">
        <f t="shared" si="71"/>
        <v>0.55711873944850876</v>
      </c>
      <c r="BU9" s="6">
        <f t="shared" si="72"/>
        <v>17</v>
      </c>
      <c r="BV9" s="5">
        <f t="shared" si="73"/>
        <v>0.86100168823860446</v>
      </c>
      <c r="BW9" s="21">
        <f t="shared" si="74"/>
        <v>0.28205128205128205</v>
      </c>
      <c r="BX9" s="6">
        <f t="shared" si="75"/>
        <v>2</v>
      </c>
      <c r="BY9" s="5">
        <f t="shared" si="76"/>
        <v>0.10129431626336523</v>
      </c>
      <c r="BZ9" s="2">
        <f t="shared" si="77"/>
        <v>38</v>
      </c>
      <c r="CA9" s="5">
        <f t="shared" si="78"/>
        <v>1.9245920090039392</v>
      </c>
      <c r="CB9" s="6">
        <f t="shared" si="79"/>
        <v>249.64888888888888</v>
      </c>
      <c r="CC9" s="5">
        <f t="shared" si="80"/>
        <v>12.644006752954418</v>
      </c>
      <c r="CD9" s="5">
        <f t="shared" si="81"/>
        <v>2.5323579065841306</v>
      </c>
      <c r="CE9" s="6">
        <f t="shared" si="82"/>
        <v>173</v>
      </c>
      <c r="CF9" s="362">
        <f t="shared" si="83"/>
        <v>6.358381502890173E-2</v>
      </c>
      <c r="CG9" s="356">
        <f t="shared" si="84"/>
        <v>76</v>
      </c>
      <c r="CH9" s="357">
        <f t="shared" si="85"/>
        <v>3.8491840180078785</v>
      </c>
      <c r="CI9" s="356">
        <f t="shared" si="86"/>
        <v>43</v>
      </c>
      <c r="CJ9" s="357">
        <f t="shared" si="87"/>
        <v>2.1778277996623525</v>
      </c>
      <c r="CK9" s="360">
        <f t="shared" si="88"/>
        <v>9.1999999999999993</v>
      </c>
      <c r="CL9" s="59">
        <f t="shared" si="89"/>
        <v>121.98722222222223</v>
      </c>
      <c r="CM9" s="60">
        <f t="shared" si="90"/>
        <v>6.1783061339335967</v>
      </c>
      <c r="CN9" s="59">
        <f t="shared" si="91"/>
        <v>89.987222222222229</v>
      </c>
      <c r="CO9" s="60">
        <f t="shared" si="92"/>
        <v>4.5575970737197533</v>
      </c>
      <c r="CP9" s="292">
        <f t="shared" si="93"/>
        <v>109</v>
      </c>
      <c r="CQ9" s="293">
        <f t="shared" si="94"/>
        <v>5.5205402363534049</v>
      </c>
      <c r="CR9" s="322">
        <f t="shared" si="95"/>
        <v>0.73767744344808428</v>
      </c>
      <c r="CS9" s="180">
        <f t="shared" si="96"/>
        <v>2.64</v>
      </c>
      <c r="CT9" s="180">
        <f t="shared" si="97"/>
        <v>6.9473684210526312E-2</v>
      </c>
      <c r="CU9" s="6">
        <f t="shared" si="98"/>
        <v>44</v>
      </c>
      <c r="CV9" s="60">
        <f t="shared" si="99"/>
        <v>2.228474957794035</v>
      </c>
      <c r="CW9" s="5">
        <f t="shared" si="100"/>
        <v>200.1</v>
      </c>
      <c r="CX9" s="5">
        <f t="shared" si="101"/>
        <v>10.13449634214969</v>
      </c>
      <c r="CY9" s="295">
        <f t="shared" si="102"/>
        <v>6.7563308947664602</v>
      </c>
      <c r="CZ9" s="386">
        <f t="shared" si="103"/>
        <v>1.9427184466019416</v>
      </c>
      <c r="DA9" s="387">
        <f t="shared" si="104"/>
        <v>0.11494252873563218</v>
      </c>
      <c r="DB9" s="169">
        <f t="shared" si="105"/>
        <v>110</v>
      </c>
      <c r="DC9" s="107">
        <f t="shared" si="106"/>
        <v>5.5711873944850874</v>
      </c>
      <c r="DD9" s="107">
        <f t="shared" si="107"/>
        <v>10</v>
      </c>
      <c r="DE9" s="107">
        <f t="shared" si="108"/>
        <v>6.83</v>
      </c>
      <c r="DF9" s="268"/>
      <c r="DG9" s="264" t="s">
        <v>614</v>
      </c>
      <c r="DH9" s="264" t="s">
        <v>745</v>
      </c>
      <c r="DI9" s="264">
        <v>28</v>
      </c>
      <c r="DJ9" s="264" t="s">
        <v>717</v>
      </c>
      <c r="DK9" s="264" t="s">
        <v>696</v>
      </c>
      <c r="DL9" s="264" t="s">
        <v>579</v>
      </c>
      <c r="DM9" s="264" t="s">
        <v>764</v>
      </c>
      <c r="DN9" s="264" t="s">
        <v>765</v>
      </c>
      <c r="DO9" s="265">
        <v>47299</v>
      </c>
      <c r="DP9" s="264">
        <v>1777</v>
      </c>
      <c r="DQ9" s="264" t="s">
        <v>766</v>
      </c>
      <c r="DR9" s="264">
        <v>0</v>
      </c>
      <c r="DS9" s="264">
        <v>0</v>
      </c>
      <c r="DT9" s="264">
        <v>0</v>
      </c>
      <c r="DU9" s="264">
        <v>6</v>
      </c>
      <c r="DV9" s="264">
        <v>4</v>
      </c>
      <c r="DW9" s="264">
        <v>0</v>
      </c>
      <c r="DX9" s="264">
        <v>6</v>
      </c>
      <c r="DY9" s="264">
        <v>10</v>
      </c>
      <c r="DZ9" s="264" t="s">
        <v>1076</v>
      </c>
      <c r="EA9" s="264">
        <v>11</v>
      </c>
      <c r="EB9" s="264">
        <v>20</v>
      </c>
      <c r="EC9" s="264">
        <v>12</v>
      </c>
      <c r="ED9" s="264">
        <v>0.1</v>
      </c>
      <c r="EE9" s="264">
        <v>1083</v>
      </c>
      <c r="EF9" s="264">
        <v>990</v>
      </c>
      <c r="EG9" s="264">
        <v>38</v>
      </c>
      <c r="EH9" s="264">
        <v>106</v>
      </c>
      <c r="EI9" s="264">
        <v>14</v>
      </c>
      <c r="EJ9" s="264">
        <v>5</v>
      </c>
      <c r="EK9" s="264">
        <v>141</v>
      </c>
      <c r="EL9" s="264">
        <v>31</v>
      </c>
      <c r="EM9" s="264">
        <v>28</v>
      </c>
      <c r="EN9" s="264">
        <v>11</v>
      </c>
      <c r="EO9" s="264">
        <v>2</v>
      </c>
      <c r="EP9" s="264">
        <v>11</v>
      </c>
      <c r="EQ9" s="264">
        <v>47</v>
      </c>
      <c r="ER9" s="264">
        <v>8</v>
      </c>
      <c r="ES9" s="264">
        <v>10</v>
      </c>
      <c r="ET9" s="264">
        <v>6</v>
      </c>
      <c r="EU9" s="264">
        <v>9.1999999999999993</v>
      </c>
      <c r="EV9" s="264">
        <v>1</v>
      </c>
      <c r="EW9" s="264">
        <v>0</v>
      </c>
      <c r="EX9" s="264">
        <v>0</v>
      </c>
      <c r="EY9" s="264" t="s">
        <v>767</v>
      </c>
      <c r="EZ9" s="269">
        <v>6.83</v>
      </c>
    </row>
    <row r="10" spans="1:156" ht="24.95" customHeight="1" thickBot="1" x14ac:dyDescent="0.3">
      <c r="A10" s="29" t="str">
        <f t="shared" si="0"/>
        <v>9º</v>
      </c>
      <c r="B10" s="67" t="str">
        <f t="shared" si="1"/>
        <v>Simon Sohm</v>
      </c>
      <c r="C10" s="83" t="str">
        <f t="shared" si="2"/>
        <v>SUI</v>
      </c>
      <c r="D10" s="28" t="str">
        <f t="shared" si="3"/>
        <v>Bologna</v>
      </c>
      <c r="E10" s="91" t="str">
        <f t="shared" si="4"/>
        <v>Pé Direito</v>
      </c>
      <c r="F10" s="155">
        <f t="shared" si="5"/>
        <v>1.88</v>
      </c>
      <c r="G10" s="36">
        <f t="shared" si="6"/>
        <v>24</v>
      </c>
      <c r="H10" s="288" t="str">
        <f t="shared" si="7"/>
        <v>€140m p/m</v>
      </c>
      <c r="I10" s="35">
        <f t="shared" si="8"/>
        <v>47664</v>
      </c>
      <c r="J10" s="188" t="str">
        <f t="shared" si="9"/>
        <v>€35M - €43M</v>
      </c>
      <c r="K10" s="89">
        <f t="shared" si="10"/>
        <v>16.49111111111111</v>
      </c>
      <c r="L10" s="134">
        <f t="shared" si="11"/>
        <v>18.033333333333335</v>
      </c>
      <c r="M10" s="134">
        <f t="shared" si="12"/>
        <v>22</v>
      </c>
      <c r="N10" s="134">
        <f t="shared" si="13"/>
        <v>73.772727272727266</v>
      </c>
      <c r="O10" s="173">
        <f t="shared" si="14"/>
        <v>0.82</v>
      </c>
      <c r="P10" s="402">
        <f t="shared" si="15"/>
        <v>1</v>
      </c>
      <c r="Q10" s="402">
        <f t="shared" si="16"/>
        <v>2</v>
      </c>
      <c r="R10" s="402">
        <f t="shared" si="17"/>
        <v>3</v>
      </c>
      <c r="S10" s="6">
        <f t="shared" si="18"/>
        <v>1</v>
      </c>
      <c r="T10" s="21">
        <f t="shared" si="19"/>
        <v>5.5452865064695003E-2</v>
      </c>
      <c r="U10" s="55">
        <f t="shared" si="20"/>
        <v>0</v>
      </c>
      <c r="V10" s="55">
        <f t="shared" si="21"/>
        <v>0</v>
      </c>
      <c r="W10" s="55">
        <f t="shared" si="22"/>
        <v>0</v>
      </c>
      <c r="X10" s="58">
        <f t="shared" si="23"/>
        <v>9.9999999999999995E-8</v>
      </c>
      <c r="Y10" s="310">
        <f t="shared" si="24"/>
        <v>15</v>
      </c>
      <c r="Z10" s="287">
        <f t="shared" si="25"/>
        <v>0.83179297597042501</v>
      </c>
      <c r="AA10" s="2">
        <f t="shared" si="26"/>
        <v>3</v>
      </c>
      <c r="AB10" s="2">
        <f t="shared" si="27"/>
        <v>0</v>
      </c>
      <c r="AC10" s="2">
        <f t="shared" si="28"/>
        <v>3</v>
      </c>
      <c r="AD10" s="5">
        <f t="shared" si="29"/>
        <v>0.16635859519408502</v>
      </c>
      <c r="AE10" s="364">
        <f t="shared" si="30"/>
        <v>5</v>
      </c>
      <c r="AF10" s="364">
        <f t="shared" si="31"/>
        <v>5</v>
      </c>
      <c r="AG10" s="2">
        <f t="shared" si="32"/>
        <v>12</v>
      </c>
      <c r="AH10" s="21">
        <f t="shared" si="33"/>
        <v>0.2</v>
      </c>
      <c r="AI10" s="195">
        <f t="shared" si="34"/>
        <v>87</v>
      </c>
      <c r="AJ10" s="185">
        <f t="shared" si="35"/>
        <v>4.8243992606284651</v>
      </c>
      <c r="AK10" s="195">
        <f t="shared" si="36"/>
        <v>20</v>
      </c>
      <c r="AL10" s="185">
        <f t="shared" si="37"/>
        <v>1.1090573012939</v>
      </c>
      <c r="AM10" s="21">
        <f t="shared" si="38"/>
        <v>0.22988505747126436</v>
      </c>
      <c r="AN10" s="6">
        <f t="shared" si="39"/>
        <v>77</v>
      </c>
      <c r="AO10" s="5">
        <f t="shared" si="40"/>
        <v>4.2698706099815151</v>
      </c>
      <c r="AP10" s="6">
        <f t="shared" si="41"/>
        <v>38</v>
      </c>
      <c r="AQ10" s="5">
        <f t="shared" si="42"/>
        <v>2.1072088724584104</v>
      </c>
      <c r="AR10" s="21">
        <f t="shared" si="43"/>
        <v>0.4935064935064935</v>
      </c>
      <c r="AS10" s="2">
        <f t="shared" si="44"/>
        <v>12</v>
      </c>
      <c r="AT10" s="21">
        <f t="shared" si="45"/>
        <v>0.8</v>
      </c>
      <c r="AU10" s="6">
        <f t="shared" si="46"/>
        <v>1015</v>
      </c>
      <c r="AV10" s="6">
        <f t="shared" si="47"/>
        <v>940</v>
      </c>
      <c r="AW10" s="5">
        <f t="shared" si="48"/>
        <v>52.125693160813306</v>
      </c>
      <c r="AX10" s="5">
        <f t="shared" si="49"/>
        <v>47.966728280961178</v>
      </c>
      <c r="AY10" s="6">
        <f t="shared" si="50"/>
        <v>75</v>
      </c>
      <c r="AZ10" s="5">
        <f t="shared" si="51"/>
        <v>4.1589648798521255</v>
      </c>
      <c r="BA10" s="20">
        <f t="shared" si="52"/>
        <v>0.92610837438423643</v>
      </c>
      <c r="BB10" s="289">
        <f t="shared" si="53"/>
        <v>902</v>
      </c>
      <c r="BC10" s="5">
        <f t="shared" si="54"/>
        <v>50.018484288354891</v>
      </c>
      <c r="BD10" s="6">
        <f t="shared" si="55"/>
        <v>113</v>
      </c>
      <c r="BE10" s="5">
        <f t="shared" si="56"/>
        <v>6.2661737523105359</v>
      </c>
      <c r="BF10" s="21">
        <f t="shared" si="57"/>
        <v>0.12527716186252771</v>
      </c>
      <c r="BG10" s="6">
        <f t="shared" si="58"/>
        <v>37</v>
      </c>
      <c r="BH10" s="5">
        <f t="shared" si="59"/>
        <v>2.0517560073937151</v>
      </c>
      <c r="BI10" s="6">
        <f t="shared" si="60"/>
        <v>19</v>
      </c>
      <c r="BJ10" s="5">
        <f t="shared" si="61"/>
        <v>1.0536044362292052</v>
      </c>
      <c r="BK10" s="21">
        <f t="shared" si="62"/>
        <v>0.51351351351351349</v>
      </c>
      <c r="BL10" s="6">
        <f t="shared" si="63"/>
        <v>18</v>
      </c>
      <c r="BM10" s="5">
        <f t="shared" si="64"/>
        <v>0.99815157116451003</v>
      </c>
      <c r="BN10" s="6">
        <f t="shared" si="65"/>
        <v>3.6066666666666674</v>
      </c>
      <c r="BO10" s="5">
        <f t="shared" si="66"/>
        <v>0.2</v>
      </c>
      <c r="BP10" s="21">
        <f t="shared" si="67"/>
        <v>0.51351351351351349</v>
      </c>
      <c r="BQ10" s="6">
        <f t="shared" si="68"/>
        <v>40</v>
      </c>
      <c r="BR10" s="5">
        <f t="shared" si="69"/>
        <v>2.2181146025878</v>
      </c>
      <c r="BS10" s="6">
        <f t="shared" si="70"/>
        <v>18</v>
      </c>
      <c r="BT10" s="5">
        <f t="shared" si="71"/>
        <v>0.99815157116451003</v>
      </c>
      <c r="BU10" s="6">
        <f t="shared" si="72"/>
        <v>7</v>
      </c>
      <c r="BV10" s="5">
        <f t="shared" si="73"/>
        <v>0.38817005545286504</v>
      </c>
      <c r="BW10" s="21">
        <f t="shared" si="74"/>
        <v>0.45</v>
      </c>
      <c r="BX10" s="6">
        <f t="shared" si="75"/>
        <v>1</v>
      </c>
      <c r="BY10" s="5">
        <f t="shared" si="76"/>
        <v>5.5452865064695003E-2</v>
      </c>
      <c r="BZ10" s="2">
        <f t="shared" si="77"/>
        <v>14</v>
      </c>
      <c r="CA10" s="5">
        <f t="shared" si="78"/>
        <v>0.77634011090573007</v>
      </c>
      <c r="CB10" s="6">
        <f t="shared" si="79"/>
        <v>342.30333333333334</v>
      </c>
      <c r="CC10" s="5">
        <f t="shared" si="80"/>
        <v>18.981700554528651</v>
      </c>
      <c r="CD10" s="5">
        <f t="shared" si="81"/>
        <v>1.2199630314232901</v>
      </c>
      <c r="CE10" s="6">
        <f t="shared" si="82"/>
        <v>173</v>
      </c>
      <c r="CF10" s="362">
        <f t="shared" si="83"/>
        <v>0.10404624277456648</v>
      </c>
      <c r="CG10" s="356">
        <f t="shared" si="84"/>
        <v>78</v>
      </c>
      <c r="CH10" s="357">
        <f t="shared" si="85"/>
        <v>4.3253234750462104</v>
      </c>
      <c r="CI10" s="356">
        <f t="shared" si="86"/>
        <v>38.5</v>
      </c>
      <c r="CJ10" s="357">
        <f t="shared" si="87"/>
        <v>2.1349353049907576</v>
      </c>
      <c r="CK10" s="360">
        <f t="shared" si="88"/>
        <v>15.1</v>
      </c>
      <c r="CL10" s="59">
        <f t="shared" si="89"/>
        <v>124.30333333333333</v>
      </c>
      <c r="CM10" s="60">
        <f t="shared" si="90"/>
        <v>6.8929759704251374</v>
      </c>
      <c r="CN10" s="59">
        <f t="shared" si="91"/>
        <v>98.803333333333327</v>
      </c>
      <c r="CO10" s="60">
        <f t="shared" si="92"/>
        <v>5.4789279112754148</v>
      </c>
      <c r="CP10" s="292">
        <f t="shared" si="93"/>
        <v>93.75</v>
      </c>
      <c r="CQ10" s="293">
        <f t="shared" si="94"/>
        <v>5.1987060998151566</v>
      </c>
      <c r="CR10" s="322">
        <f t="shared" si="95"/>
        <v>0.79485666782869857</v>
      </c>
      <c r="CS10" s="180">
        <f t="shared" si="96"/>
        <v>4.68</v>
      </c>
      <c r="CT10" s="180">
        <f t="shared" si="97"/>
        <v>0.33428571428571424</v>
      </c>
      <c r="CU10" s="6">
        <f t="shared" si="98"/>
        <v>20</v>
      </c>
      <c r="CV10" s="60">
        <f t="shared" si="99"/>
        <v>1.1090573012939</v>
      </c>
      <c r="CW10" s="5">
        <f t="shared" si="100"/>
        <v>217.2</v>
      </c>
      <c r="CX10" s="5">
        <f t="shared" si="101"/>
        <v>12.044362292051755</v>
      </c>
      <c r="CY10" s="295">
        <f t="shared" si="102"/>
        <v>8.0295748613678377</v>
      </c>
      <c r="CZ10" s="386">
        <f t="shared" si="103"/>
        <v>2.078468899521531</v>
      </c>
      <c r="DA10" s="387">
        <f t="shared" si="104"/>
        <v>0.1703499079189687</v>
      </c>
      <c r="DB10" s="169">
        <f t="shared" si="105"/>
        <v>102</v>
      </c>
      <c r="DC10" s="107">
        <f t="shared" si="106"/>
        <v>5.6561922365988906</v>
      </c>
      <c r="DD10" s="107">
        <f t="shared" si="107"/>
        <v>6</v>
      </c>
      <c r="DE10" s="107">
        <f t="shared" si="108"/>
        <v>7.05</v>
      </c>
      <c r="DF10" s="268"/>
      <c r="DG10" s="264" t="s">
        <v>712</v>
      </c>
      <c r="DH10" s="264" t="s">
        <v>768</v>
      </c>
      <c r="DI10" s="264">
        <v>24</v>
      </c>
      <c r="DJ10" s="264" t="s">
        <v>719</v>
      </c>
      <c r="DK10" s="264" t="s">
        <v>623</v>
      </c>
      <c r="DL10" s="264" t="s">
        <v>573</v>
      </c>
      <c r="DM10" s="264" t="s">
        <v>769</v>
      </c>
      <c r="DN10" s="264" t="s">
        <v>742</v>
      </c>
      <c r="DO10" s="265">
        <v>47664</v>
      </c>
      <c r="DP10" s="264">
        <v>1623</v>
      </c>
      <c r="DQ10" s="264" t="s">
        <v>770</v>
      </c>
      <c r="DR10" s="264">
        <v>1</v>
      </c>
      <c r="DS10" s="264">
        <v>0</v>
      </c>
      <c r="DT10" s="264">
        <v>1</v>
      </c>
      <c r="DU10" s="264">
        <v>2</v>
      </c>
      <c r="DV10" s="264">
        <v>3</v>
      </c>
      <c r="DW10" s="264">
        <v>0</v>
      </c>
      <c r="DX10" s="264">
        <v>6</v>
      </c>
      <c r="DY10" s="264">
        <v>6</v>
      </c>
      <c r="DZ10" s="264" t="s">
        <v>1077</v>
      </c>
      <c r="EA10" s="264">
        <v>15</v>
      </c>
      <c r="EB10" s="264">
        <v>37</v>
      </c>
      <c r="EC10" s="264">
        <v>19</v>
      </c>
      <c r="ED10" s="264">
        <v>0.2</v>
      </c>
      <c r="EE10" s="264">
        <v>1015</v>
      </c>
      <c r="EF10" s="264">
        <v>940</v>
      </c>
      <c r="EG10" s="264">
        <v>14</v>
      </c>
      <c r="EH10" s="264">
        <v>113</v>
      </c>
      <c r="EI10" s="264">
        <v>15</v>
      </c>
      <c r="EJ10" s="264">
        <v>6</v>
      </c>
      <c r="EK10" s="264">
        <v>87</v>
      </c>
      <c r="EL10" s="264">
        <v>20</v>
      </c>
      <c r="EM10" s="264">
        <v>25</v>
      </c>
      <c r="EN10" s="264">
        <v>18</v>
      </c>
      <c r="EO10" s="264">
        <v>1</v>
      </c>
      <c r="EP10" s="264">
        <v>10</v>
      </c>
      <c r="EQ10" s="264">
        <v>55</v>
      </c>
      <c r="ER10" s="264">
        <v>4</v>
      </c>
      <c r="ES10" s="264">
        <v>9</v>
      </c>
      <c r="ET10" s="264">
        <v>12</v>
      </c>
      <c r="EU10" s="264">
        <v>15.1</v>
      </c>
      <c r="EV10" s="264">
        <v>0</v>
      </c>
      <c r="EW10" s="264">
        <v>0</v>
      </c>
      <c r="EX10" s="264">
        <v>0</v>
      </c>
      <c r="EY10" s="264" t="s">
        <v>771</v>
      </c>
      <c r="EZ10" s="269">
        <v>7.05</v>
      </c>
    </row>
    <row r="11" spans="1:156" ht="24.95" customHeight="1" thickBot="1" x14ac:dyDescent="0.3">
      <c r="A11" s="29" t="str">
        <f t="shared" si="0"/>
        <v>10º</v>
      </c>
      <c r="B11" s="67" t="str">
        <f t="shared" si="1"/>
        <v>Yunus Musah</v>
      </c>
      <c r="C11" s="83" t="str">
        <f t="shared" si="2"/>
        <v>USA</v>
      </c>
      <c r="D11" s="28" t="str">
        <f t="shared" si="3"/>
        <v>Atalanta B.C.</v>
      </c>
      <c r="E11" s="91" t="str">
        <f t="shared" si="4"/>
        <v>Pé Direito</v>
      </c>
      <c r="F11" s="155">
        <f t="shared" si="5"/>
        <v>1.78</v>
      </c>
      <c r="G11" s="36">
        <f t="shared" si="6"/>
        <v>23</v>
      </c>
      <c r="H11" s="288" t="str">
        <f t="shared" si="7"/>
        <v>€215m p/m</v>
      </c>
      <c r="I11" s="35">
        <f t="shared" si="8"/>
        <v>47664</v>
      </c>
      <c r="J11" s="188" t="str">
        <f t="shared" si="9"/>
        <v>€57M - €69M</v>
      </c>
      <c r="K11" s="89">
        <f t="shared" si="10"/>
        <v>16.49111111111111</v>
      </c>
      <c r="L11" s="134">
        <f t="shared" si="11"/>
        <v>15.344444444444445</v>
      </c>
      <c r="M11" s="134">
        <f t="shared" si="12"/>
        <v>22</v>
      </c>
      <c r="N11" s="134">
        <f t="shared" si="13"/>
        <v>62.772727272727273</v>
      </c>
      <c r="O11" s="173">
        <f t="shared" si="14"/>
        <v>0.73</v>
      </c>
      <c r="P11" s="402">
        <f t="shared" si="15"/>
        <v>0</v>
      </c>
      <c r="Q11" s="402">
        <f t="shared" si="16"/>
        <v>2</v>
      </c>
      <c r="R11" s="402">
        <f t="shared" si="17"/>
        <v>2</v>
      </c>
      <c r="S11" s="6">
        <f t="shared" si="18"/>
        <v>0</v>
      </c>
      <c r="T11" s="21">
        <f t="shared" si="19"/>
        <v>0</v>
      </c>
      <c r="U11" s="55">
        <f t="shared" si="20"/>
        <v>0</v>
      </c>
      <c r="V11" s="55">
        <f t="shared" si="21"/>
        <v>0</v>
      </c>
      <c r="W11" s="55">
        <f t="shared" si="22"/>
        <v>0</v>
      </c>
      <c r="X11" s="58">
        <f t="shared" si="23"/>
        <v>9.9999999999999995E-8</v>
      </c>
      <c r="Y11" s="310">
        <f t="shared" si="24"/>
        <v>17</v>
      </c>
      <c r="Z11" s="287">
        <f t="shared" si="25"/>
        <v>1.1078928312816798</v>
      </c>
      <c r="AA11" s="2">
        <f t="shared" si="26"/>
        <v>1</v>
      </c>
      <c r="AB11" s="2">
        <f t="shared" si="27"/>
        <v>0</v>
      </c>
      <c r="AC11" s="2">
        <f t="shared" si="28"/>
        <v>1</v>
      </c>
      <c r="AD11" s="5">
        <f t="shared" si="29"/>
        <v>6.5170166545981165E-2</v>
      </c>
      <c r="AE11" s="364">
        <f t="shared" si="30"/>
        <v>17</v>
      </c>
      <c r="AF11" s="364">
        <f t="shared" si="31"/>
        <v>17</v>
      </c>
      <c r="AG11" s="2">
        <f t="shared" si="32"/>
        <v>16</v>
      </c>
      <c r="AH11" s="21">
        <f t="shared" si="33"/>
        <v>5.8823529411764705E-2</v>
      </c>
      <c r="AI11" s="195">
        <f t="shared" si="34"/>
        <v>88</v>
      </c>
      <c r="AJ11" s="185">
        <f t="shared" si="35"/>
        <v>5.7349746560463428</v>
      </c>
      <c r="AK11" s="195">
        <f t="shared" si="36"/>
        <v>28</v>
      </c>
      <c r="AL11" s="185">
        <f t="shared" si="37"/>
        <v>1.8247646632874728</v>
      </c>
      <c r="AM11" s="21">
        <f t="shared" si="38"/>
        <v>0.31818181818181818</v>
      </c>
      <c r="AN11" s="6">
        <f t="shared" si="39"/>
        <v>67</v>
      </c>
      <c r="AO11" s="5">
        <f t="shared" si="40"/>
        <v>4.3664011585807385</v>
      </c>
      <c r="AP11" s="6">
        <f t="shared" si="41"/>
        <v>36</v>
      </c>
      <c r="AQ11" s="5">
        <f t="shared" si="42"/>
        <v>2.346125995655322</v>
      </c>
      <c r="AR11" s="21">
        <f t="shared" si="43"/>
        <v>0.53731343283582089</v>
      </c>
      <c r="AS11" s="2">
        <f t="shared" si="44"/>
        <v>16</v>
      </c>
      <c r="AT11" s="21">
        <f t="shared" si="45"/>
        <v>0.94117647058823528</v>
      </c>
      <c r="AU11" s="6">
        <f t="shared" si="46"/>
        <v>916</v>
      </c>
      <c r="AV11" s="6">
        <f t="shared" si="47"/>
        <v>856</v>
      </c>
      <c r="AW11" s="5">
        <f t="shared" si="48"/>
        <v>55.785662563359885</v>
      </c>
      <c r="AX11" s="5">
        <f t="shared" si="49"/>
        <v>51.875452570601013</v>
      </c>
      <c r="AY11" s="6">
        <f t="shared" si="50"/>
        <v>60</v>
      </c>
      <c r="AZ11" s="5">
        <f t="shared" si="51"/>
        <v>3.9102099927588703</v>
      </c>
      <c r="BA11" s="20">
        <f t="shared" si="52"/>
        <v>0.93449781659388642</v>
      </c>
      <c r="BB11" s="289">
        <f t="shared" si="53"/>
        <v>858</v>
      </c>
      <c r="BC11" s="5">
        <f t="shared" si="54"/>
        <v>55.916002896451843</v>
      </c>
      <c r="BD11" s="6">
        <f t="shared" si="55"/>
        <v>58</v>
      </c>
      <c r="BE11" s="5">
        <f t="shared" si="56"/>
        <v>3.7798696596669079</v>
      </c>
      <c r="BF11" s="21">
        <f t="shared" si="57"/>
        <v>6.75990675990676E-2</v>
      </c>
      <c r="BG11" s="6">
        <f t="shared" si="58"/>
        <v>28</v>
      </c>
      <c r="BH11" s="5">
        <f t="shared" si="59"/>
        <v>1.8247646632874728</v>
      </c>
      <c r="BI11" s="6">
        <f t="shared" si="60"/>
        <v>16</v>
      </c>
      <c r="BJ11" s="5">
        <f t="shared" si="61"/>
        <v>1.0427226647356986</v>
      </c>
      <c r="BK11" s="21">
        <f t="shared" si="62"/>
        <v>0.5714285714285714</v>
      </c>
      <c r="BL11" s="6">
        <f t="shared" si="63"/>
        <v>12</v>
      </c>
      <c r="BM11" s="5">
        <f t="shared" si="64"/>
        <v>0.78204199855177403</v>
      </c>
      <c r="BN11" s="6">
        <f t="shared" si="65"/>
        <v>0</v>
      </c>
      <c r="BO11" s="5">
        <f t="shared" si="66"/>
        <v>0</v>
      </c>
      <c r="BP11" s="21">
        <f t="shared" si="67"/>
        <v>0.5714285714285714</v>
      </c>
      <c r="BQ11" s="6">
        <f t="shared" si="68"/>
        <v>39</v>
      </c>
      <c r="BR11" s="5">
        <f t="shared" si="69"/>
        <v>2.5416364952932655</v>
      </c>
      <c r="BS11" s="6">
        <f t="shared" si="70"/>
        <v>19</v>
      </c>
      <c r="BT11" s="5">
        <f t="shared" si="71"/>
        <v>1.2382331643736422</v>
      </c>
      <c r="BU11" s="6">
        <f t="shared" si="72"/>
        <v>3</v>
      </c>
      <c r="BV11" s="5">
        <f t="shared" si="73"/>
        <v>0.19551049963794351</v>
      </c>
      <c r="BW11" s="21">
        <f t="shared" si="74"/>
        <v>0.48717948717948717</v>
      </c>
      <c r="BX11" s="6">
        <f t="shared" si="75"/>
        <v>1</v>
      </c>
      <c r="BY11" s="5">
        <f t="shared" si="76"/>
        <v>6.5170166545981165E-2</v>
      </c>
      <c r="BZ11" s="2">
        <f t="shared" si="77"/>
        <v>3</v>
      </c>
      <c r="CA11" s="5">
        <f t="shared" si="78"/>
        <v>0.19551049963794351</v>
      </c>
      <c r="CB11" s="6">
        <f t="shared" si="79"/>
        <v>253.54666666666665</v>
      </c>
      <c r="CC11" s="5">
        <f t="shared" si="80"/>
        <v>16.52367849384504</v>
      </c>
      <c r="CD11" s="5">
        <f t="shared" si="81"/>
        <v>0.5865314989138305</v>
      </c>
      <c r="CE11" s="6">
        <f t="shared" si="82"/>
        <v>173</v>
      </c>
      <c r="CF11" s="362">
        <f t="shared" si="83"/>
        <v>0.10982658959537572</v>
      </c>
      <c r="CG11" s="356">
        <f t="shared" si="84"/>
        <v>63</v>
      </c>
      <c r="CH11" s="357">
        <f t="shared" si="85"/>
        <v>4.1057204923968138</v>
      </c>
      <c r="CI11" s="356">
        <f t="shared" si="86"/>
        <v>47.5</v>
      </c>
      <c r="CJ11" s="357">
        <f t="shared" si="87"/>
        <v>3.0955829109341058</v>
      </c>
      <c r="CK11" s="360">
        <f t="shared" si="88"/>
        <v>13.2</v>
      </c>
      <c r="CL11" s="59">
        <f t="shared" si="89"/>
        <v>103.5</v>
      </c>
      <c r="CM11" s="60">
        <f t="shared" si="90"/>
        <v>6.7451122375090513</v>
      </c>
      <c r="CN11" s="59">
        <f t="shared" si="91"/>
        <v>83</v>
      </c>
      <c r="CO11" s="60">
        <f t="shared" si="92"/>
        <v>5.4091238233164374</v>
      </c>
      <c r="CP11" s="292">
        <f t="shared" si="93"/>
        <v>78.25</v>
      </c>
      <c r="CQ11" s="293">
        <f t="shared" si="94"/>
        <v>5.0995655322230267</v>
      </c>
      <c r="CR11" s="322">
        <f t="shared" si="95"/>
        <v>0.80193236714975846</v>
      </c>
      <c r="CS11" s="180">
        <f t="shared" si="96"/>
        <v>0.56000000000000005</v>
      </c>
      <c r="CT11" s="180">
        <f t="shared" si="97"/>
        <v>0.18666666666666668</v>
      </c>
      <c r="CU11" s="6">
        <f t="shared" si="98"/>
        <v>7</v>
      </c>
      <c r="CV11" s="60">
        <f t="shared" si="99"/>
        <v>0.45619116582186819</v>
      </c>
      <c r="CW11" s="5">
        <f t="shared" si="100"/>
        <v>186.1</v>
      </c>
      <c r="CX11" s="5">
        <f t="shared" si="101"/>
        <v>12.128167994207095</v>
      </c>
      <c r="CY11" s="295">
        <f t="shared" si="102"/>
        <v>8.0854453294713977</v>
      </c>
      <c r="CZ11" s="386">
        <f t="shared" si="103"/>
        <v>1.8893401015228426</v>
      </c>
      <c r="DA11" s="387">
        <f t="shared" si="104"/>
        <v>0.18807092960773777</v>
      </c>
      <c r="DB11" s="169">
        <f t="shared" si="105"/>
        <v>75</v>
      </c>
      <c r="DC11" s="107">
        <f t="shared" si="106"/>
        <v>4.8877624909485879</v>
      </c>
      <c r="DD11" s="107">
        <f t="shared" si="107"/>
        <v>6.3</v>
      </c>
      <c r="DE11" s="107">
        <f t="shared" si="108"/>
        <v>6.82</v>
      </c>
      <c r="DF11" s="270"/>
      <c r="DG11" s="266" t="s">
        <v>783</v>
      </c>
      <c r="DH11" s="266" t="s">
        <v>780</v>
      </c>
      <c r="DI11" s="266">
        <v>23</v>
      </c>
      <c r="DJ11" s="266" t="s">
        <v>743</v>
      </c>
      <c r="DK11" s="266" t="s">
        <v>524</v>
      </c>
      <c r="DL11" s="266" t="s">
        <v>573</v>
      </c>
      <c r="DM11" s="266" t="s">
        <v>781</v>
      </c>
      <c r="DN11" s="266" t="s">
        <v>782</v>
      </c>
      <c r="DO11" s="267">
        <v>47664</v>
      </c>
      <c r="DP11" s="266">
        <v>1381</v>
      </c>
      <c r="DQ11" s="266" t="s">
        <v>784</v>
      </c>
      <c r="DR11" s="266">
        <v>0</v>
      </c>
      <c r="DS11" s="266">
        <v>0</v>
      </c>
      <c r="DT11" s="266">
        <v>0</v>
      </c>
      <c r="DU11" s="266">
        <v>2</v>
      </c>
      <c r="DV11" s="266">
        <v>1</v>
      </c>
      <c r="DW11" s="266">
        <v>0</v>
      </c>
      <c r="DX11" s="266">
        <v>4</v>
      </c>
      <c r="DY11" s="266">
        <v>6.3</v>
      </c>
      <c r="DZ11" s="266" t="s">
        <v>1078</v>
      </c>
      <c r="EA11" s="266">
        <v>17</v>
      </c>
      <c r="EB11" s="266">
        <v>28</v>
      </c>
      <c r="EC11" s="266">
        <v>16</v>
      </c>
      <c r="ED11" s="266">
        <v>0</v>
      </c>
      <c r="EE11" s="266">
        <v>916</v>
      </c>
      <c r="EF11" s="266">
        <v>856</v>
      </c>
      <c r="EG11" s="266">
        <v>3</v>
      </c>
      <c r="EH11" s="266">
        <v>58</v>
      </c>
      <c r="EI11" s="266">
        <v>5</v>
      </c>
      <c r="EJ11" s="266">
        <v>2</v>
      </c>
      <c r="EK11" s="266">
        <v>88</v>
      </c>
      <c r="EL11" s="266">
        <v>28</v>
      </c>
      <c r="EM11" s="266">
        <v>22</v>
      </c>
      <c r="EN11" s="266">
        <v>19</v>
      </c>
      <c r="EO11" s="266">
        <v>1</v>
      </c>
      <c r="EP11" s="266">
        <v>10</v>
      </c>
      <c r="EQ11" s="266">
        <v>40</v>
      </c>
      <c r="ER11" s="266">
        <v>0</v>
      </c>
      <c r="ES11" s="266">
        <v>13</v>
      </c>
      <c r="ET11" s="266">
        <v>8</v>
      </c>
      <c r="EU11" s="266">
        <v>13.2</v>
      </c>
      <c r="EV11" s="266">
        <v>0</v>
      </c>
      <c r="EW11" s="266">
        <v>0</v>
      </c>
      <c r="EX11" s="266">
        <v>0</v>
      </c>
      <c r="EY11" s="266" t="s">
        <v>785</v>
      </c>
      <c r="EZ11" s="271">
        <v>6.82</v>
      </c>
    </row>
    <row r="12" spans="1:156" ht="24.95" customHeight="1" x14ac:dyDescent="0.25"/>
    <row r="13" spans="1:156" ht="24.95" customHeight="1" x14ac:dyDescent="0.25"/>
    <row r="14" spans="1:156" ht="24.95" customHeight="1" x14ac:dyDescent="0.25"/>
    <row r="15" spans="1:156" ht="24.95" customHeight="1" x14ac:dyDescent="0.25"/>
    <row r="16" spans="1:156" ht="24.95" customHeight="1" x14ac:dyDescent="0.25"/>
    <row r="17" ht="24.95" customHeight="1" x14ac:dyDescent="0.25"/>
    <row r="18" ht="24.95" customHeight="1" x14ac:dyDescent="0.25"/>
    <row r="19" ht="24.95" customHeight="1" x14ac:dyDescent="0.25"/>
    <row r="20" ht="24.95" customHeight="1" x14ac:dyDescent="0.25"/>
    <row r="21" ht="24.95" customHeight="1" x14ac:dyDescent="0.25"/>
    <row r="22" ht="24.95" customHeight="1" x14ac:dyDescent="0.25"/>
    <row r="23" ht="24.95" customHeight="1" x14ac:dyDescent="0.25"/>
    <row r="24" ht="24.95" customHeight="1" x14ac:dyDescent="0.25"/>
    <row r="25" ht="24.95" customHeight="1" x14ac:dyDescent="0.25"/>
    <row r="26" ht="24.95" customHeight="1" x14ac:dyDescent="0.25"/>
    <row r="27" ht="24.95" customHeight="1" x14ac:dyDescent="0.25"/>
    <row r="28" ht="24.95" customHeight="1" x14ac:dyDescent="0.25"/>
    <row r="29" ht="24.95" customHeight="1" x14ac:dyDescent="0.25"/>
    <row r="30" ht="24.95" customHeight="1" x14ac:dyDescent="0.25"/>
    <row r="31" ht="24.95" customHeight="1" x14ac:dyDescent="0.25"/>
    <row r="32"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sheetData>
  <autoFilter ref="B1:EZ335" xr:uid="{00000000-0001-0000-0300-000000000000}">
    <sortState xmlns:xlrd2="http://schemas.microsoft.com/office/spreadsheetml/2017/richdata2" ref="B2:EZ335">
      <sortCondition ref="B1:B335"/>
    </sortState>
  </autoFilter>
  <phoneticPr fontId="52" type="noConversion"/>
  <conditionalFormatting sqref="AX1:AX1048576">
    <cfRule type="iconSet" priority="228">
      <iconSet iconSet="5Arrows">
        <cfvo type="percent" val="0"/>
        <cfvo type="percent" val="20"/>
        <cfvo type="percent" val="40"/>
        <cfvo type="percent" val="60"/>
        <cfvo type="percent" val="80"/>
      </iconSet>
    </cfRule>
    <cfRule type="colorScale" priority="520">
      <colorScale>
        <cfvo type="min"/>
        <cfvo type="percentile" val="50"/>
        <cfvo type="max"/>
        <color rgb="FFF8696B"/>
        <color rgb="FFFFEB84"/>
        <color rgb="FF63BE7B"/>
      </colorScale>
    </cfRule>
  </conditionalFormatting>
  <conditionalFormatting sqref="BW1:BW1048576">
    <cfRule type="colorScale" priority="535">
      <colorScale>
        <cfvo type="min"/>
        <cfvo type="percentile" val="50"/>
        <cfvo type="max"/>
        <color rgb="FFF8696B"/>
        <color rgb="FFFFEB84"/>
        <color rgb="FF63BE7B"/>
      </colorScale>
    </cfRule>
  </conditionalFormatting>
  <conditionalFormatting sqref="AG1:AG1048576">
    <cfRule type="iconSet" priority="17">
      <iconSet iconSet="5Arrows">
        <cfvo type="percent" val="0"/>
        <cfvo type="percent" val="20"/>
        <cfvo type="percent" val="40"/>
        <cfvo type="percent" val="60"/>
        <cfvo type="percent" val="80"/>
      </iconSet>
    </cfRule>
    <cfRule type="colorScale" priority="518">
      <colorScale>
        <cfvo type="min"/>
        <cfvo type="percentile" val="50"/>
        <cfvo type="max"/>
        <color rgb="FFF8696B"/>
        <color rgb="FFFFEB84"/>
        <color rgb="FF63BE7B"/>
      </colorScale>
    </cfRule>
  </conditionalFormatting>
  <conditionalFormatting sqref="CA1:CA1048576">
    <cfRule type="colorScale" priority="510">
      <colorScale>
        <cfvo type="min"/>
        <cfvo type="percentile" val="50"/>
        <cfvo type="max"/>
        <color rgb="FFF8696B"/>
        <color rgb="FFFFEB84"/>
        <color rgb="FF63BE7B"/>
      </colorScale>
    </cfRule>
  </conditionalFormatting>
  <conditionalFormatting sqref="AV1:AW1048576">
    <cfRule type="colorScale" priority="508">
      <colorScale>
        <cfvo type="min"/>
        <cfvo type="percentile" val="50"/>
        <cfvo type="max"/>
        <color rgb="FFF8696B"/>
        <color rgb="FFFFEB84"/>
        <color rgb="FF63BE7B"/>
      </colorScale>
    </cfRule>
  </conditionalFormatting>
  <conditionalFormatting sqref="BZ1:BZ1048576">
    <cfRule type="colorScale" priority="507">
      <colorScale>
        <cfvo type="min"/>
        <cfvo type="percentile" val="50"/>
        <cfvo type="max"/>
        <color rgb="FFF8696B"/>
        <color rgb="FFFFEB84"/>
        <color rgb="FF63BE7B"/>
      </colorScale>
    </cfRule>
  </conditionalFormatting>
  <conditionalFormatting sqref="I1:I1048576">
    <cfRule type="colorScale" priority="446">
      <colorScale>
        <cfvo type="min"/>
        <cfvo type="percentile" val="50"/>
        <cfvo type="max"/>
        <color rgb="FF63BE7B"/>
        <color rgb="FFFFEB84"/>
        <color rgb="FFF8696B"/>
      </colorScale>
    </cfRule>
  </conditionalFormatting>
  <conditionalFormatting sqref="G1:G1048576">
    <cfRule type="colorScale" priority="504">
      <colorScale>
        <cfvo type="num" val="23"/>
        <cfvo type="num" val="28"/>
        <cfvo type="num" val="30"/>
        <color rgb="FF63BE7B"/>
        <color rgb="FFFFEB84"/>
        <color rgb="FFF8696B"/>
      </colorScale>
    </cfRule>
  </conditionalFormatting>
  <conditionalFormatting sqref="AU1:AU1048576">
    <cfRule type="iconSet" priority="231">
      <iconSet iconSet="5Arrows">
        <cfvo type="percent" val="0"/>
        <cfvo type="percent" val="20"/>
        <cfvo type="percent" val="40"/>
        <cfvo type="percent" val="60"/>
        <cfvo type="percent" val="80"/>
      </iconSet>
    </cfRule>
    <cfRule type="colorScale" priority="503">
      <colorScale>
        <cfvo type="min"/>
        <cfvo type="percentile" val="50"/>
        <cfvo type="max"/>
        <color rgb="FFF8696B"/>
        <color rgb="FFFFEB84"/>
        <color rgb="FF63BE7B"/>
      </colorScale>
    </cfRule>
  </conditionalFormatting>
  <conditionalFormatting sqref="CB1:CB1048576">
    <cfRule type="iconSet" priority="278">
      <iconSet iconSet="5Arrows">
        <cfvo type="percent" val="0"/>
        <cfvo type="percent" val="20"/>
        <cfvo type="percent" val="40"/>
        <cfvo type="percent" val="60"/>
        <cfvo type="percent" val="80"/>
      </iconSet>
    </cfRule>
    <cfRule type="colorScale" priority="444">
      <colorScale>
        <cfvo type="min"/>
        <cfvo type="percentile" val="50"/>
        <cfvo type="max"/>
        <color rgb="FFF8696B"/>
        <color rgb="FFFFEB84"/>
        <color rgb="FF63BE7B"/>
      </colorScale>
    </cfRule>
  </conditionalFormatting>
  <conditionalFormatting sqref="CC1:CC1048576">
    <cfRule type="iconSet" priority="277">
      <iconSet iconSet="5Arrows">
        <cfvo type="percent" val="0"/>
        <cfvo type="percent" val="20"/>
        <cfvo type="percent" val="40"/>
        <cfvo type="percent" val="60"/>
        <cfvo type="percent" val="80"/>
      </iconSet>
    </cfRule>
    <cfRule type="colorScale" priority="492">
      <colorScale>
        <cfvo type="min"/>
        <cfvo type="percentile" val="50"/>
        <cfvo type="max"/>
        <color rgb="FFF8696B"/>
        <color rgb="FFFFEB84"/>
        <color rgb="FF63BE7B"/>
      </colorScale>
    </cfRule>
  </conditionalFormatting>
  <conditionalFormatting sqref="CD1:CD1048576">
    <cfRule type="iconSet" priority="276">
      <iconSet iconSet="5Arrows">
        <cfvo type="percent" val="0"/>
        <cfvo type="percent" val="20"/>
        <cfvo type="percent" val="40"/>
        <cfvo type="percent" val="60"/>
        <cfvo type="percent" val="80"/>
      </iconSet>
    </cfRule>
    <cfRule type="colorScale" priority="490">
      <colorScale>
        <cfvo type="min"/>
        <cfvo type="percentile" val="50"/>
        <cfvo type="max"/>
        <color rgb="FFF8696B"/>
        <color rgb="FFFFEB84"/>
        <color rgb="FF63BE7B"/>
      </colorScale>
    </cfRule>
  </conditionalFormatting>
  <conditionalFormatting sqref="BX1:BX1048576">
    <cfRule type="colorScale" priority="468">
      <colorScale>
        <cfvo type="min"/>
        <cfvo type="percentile" val="50"/>
        <cfvo type="max"/>
        <color rgb="FFF8696B"/>
        <color rgb="FFFFEB84"/>
        <color rgb="FF63BE7B"/>
      </colorScale>
    </cfRule>
  </conditionalFormatting>
  <conditionalFormatting sqref="AW1:AW1048576">
    <cfRule type="iconSet" priority="229">
      <iconSet iconSet="5Arrows">
        <cfvo type="percent" val="0"/>
        <cfvo type="percent" val="20"/>
        <cfvo type="percent" val="40"/>
        <cfvo type="percent" val="60"/>
        <cfvo type="percent" val="80"/>
      </iconSet>
    </cfRule>
    <cfRule type="colorScale" priority="459">
      <colorScale>
        <cfvo type="min"/>
        <cfvo type="percentile" val="50"/>
        <cfvo type="max"/>
        <color rgb="FFF8696B"/>
        <color rgb="FFFFEB84"/>
        <color rgb="FF63BE7B"/>
      </colorScale>
    </cfRule>
  </conditionalFormatting>
  <conditionalFormatting sqref="AV1:AV1048576">
    <cfRule type="iconSet" priority="230">
      <iconSet iconSet="5Arrows">
        <cfvo type="percent" val="0"/>
        <cfvo type="percent" val="20"/>
        <cfvo type="percent" val="40"/>
        <cfvo type="percent" val="60"/>
        <cfvo type="percent" val="80"/>
      </iconSet>
    </cfRule>
    <cfRule type="colorScale" priority="460">
      <colorScale>
        <cfvo type="min"/>
        <cfvo type="max"/>
        <color rgb="FFFFEF9C"/>
        <color rgb="FF63BE7B"/>
      </colorScale>
    </cfRule>
  </conditionalFormatting>
  <conditionalFormatting sqref="H1">
    <cfRule type="colorScale" priority="451">
      <colorScale>
        <cfvo type="min"/>
        <cfvo type="percentile" val="50"/>
        <cfvo type="max"/>
        <color rgb="FFF8696B"/>
        <color rgb="FFFFEB84"/>
        <color rgb="FF63BE7B"/>
      </colorScale>
    </cfRule>
  </conditionalFormatting>
  <conditionalFormatting sqref="H1">
    <cfRule type="colorScale" priority="450">
      <colorScale>
        <cfvo type="min"/>
        <cfvo type="percentile" val="50"/>
        <cfvo type="max"/>
        <color rgb="FF63BE7B"/>
        <color rgb="FFFFEB84"/>
        <color rgb="FFF8696B"/>
      </colorScale>
    </cfRule>
  </conditionalFormatting>
  <conditionalFormatting sqref="H1">
    <cfRule type="colorScale" priority="449">
      <colorScale>
        <cfvo type="min"/>
        <cfvo type="percentile" val="50"/>
        <cfvo type="max"/>
        <color rgb="FF63BE7B"/>
        <color rgb="FFFFEB84"/>
        <color rgb="FFF8696B"/>
      </colorScale>
    </cfRule>
  </conditionalFormatting>
  <conditionalFormatting sqref="H1:H1048576">
    <cfRule type="colorScale" priority="448">
      <colorScale>
        <cfvo type="min"/>
        <cfvo type="percentile" val="50"/>
        <cfvo type="max"/>
        <color rgb="FF63BE7B"/>
        <color rgb="FFFFEB84"/>
        <color rgb="FFF8696B"/>
      </colorScale>
    </cfRule>
  </conditionalFormatting>
  <conditionalFormatting sqref="BY1:BY1048576">
    <cfRule type="colorScale" priority="428">
      <colorScale>
        <cfvo type="min"/>
        <cfvo type="percentile" val="50"/>
        <cfvo type="max"/>
        <color rgb="FFF8696B"/>
        <color rgb="FFFFEB84"/>
        <color rgb="FF63BE7B"/>
      </colorScale>
    </cfRule>
  </conditionalFormatting>
  <conditionalFormatting sqref="CE1:CE1048576">
    <cfRule type="colorScale" priority="426">
      <colorScale>
        <cfvo type="min"/>
        <cfvo type="max"/>
        <color rgb="FF63BE7B"/>
        <color rgb="FFFFEF9C"/>
      </colorScale>
    </cfRule>
  </conditionalFormatting>
  <conditionalFormatting sqref="U1:U1048576">
    <cfRule type="colorScale" priority="361">
      <colorScale>
        <cfvo type="min"/>
        <cfvo type="percentile" val="50"/>
        <cfvo type="max"/>
        <color rgb="FFF8696B"/>
        <color rgb="FFFFEB84"/>
        <color rgb="FF63BE7B"/>
      </colorScale>
    </cfRule>
  </conditionalFormatting>
  <conditionalFormatting sqref="V1:V1048576">
    <cfRule type="colorScale" priority="360">
      <colorScale>
        <cfvo type="min"/>
        <cfvo type="percentile" val="50"/>
        <cfvo type="max"/>
        <color rgb="FFF8696B"/>
        <color rgb="FFFFEB84"/>
        <color rgb="FF63BE7B"/>
      </colorScale>
    </cfRule>
  </conditionalFormatting>
  <conditionalFormatting sqref="W1:W1048576">
    <cfRule type="colorScale" priority="359">
      <colorScale>
        <cfvo type="min"/>
        <cfvo type="percentile" val="50"/>
        <cfvo type="max"/>
        <color rgb="FF63BE7B"/>
        <color rgb="FFFFEB84"/>
        <color rgb="FFF8696B"/>
      </colorScale>
    </cfRule>
  </conditionalFormatting>
  <conditionalFormatting sqref="X1:X1048576">
    <cfRule type="colorScale" priority="358">
      <colorScale>
        <cfvo type="min"/>
        <cfvo type="percentile" val="50"/>
        <cfvo type="max"/>
        <color rgb="FFF8696B"/>
        <color rgb="FFFFEB84"/>
        <color rgb="FF63BE7B"/>
      </colorScale>
    </cfRule>
  </conditionalFormatting>
  <conditionalFormatting sqref="DE1">
    <cfRule type="colorScale" priority="353">
      <colorScale>
        <cfvo type="min"/>
        <cfvo type="percentile" val="50"/>
        <cfvo type="max"/>
        <color rgb="FFF8696B"/>
        <color rgb="FFFFEB84"/>
        <color rgb="FF63BE7B"/>
      </colorScale>
    </cfRule>
  </conditionalFormatting>
  <conditionalFormatting sqref="DE1">
    <cfRule type="colorScale" priority="352">
      <colorScale>
        <cfvo type="min"/>
        <cfvo type="percentile" val="50"/>
        <cfvo type="max"/>
        <color rgb="FF63BE7B"/>
        <color rgb="FFFFEB84"/>
        <color rgb="FFF8696B"/>
      </colorScale>
    </cfRule>
  </conditionalFormatting>
  <conditionalFormatting sqref="DE1">
    <cfRule type="colorScale" priority="351">
      <colorScale>
        <cfvo type="min"/>
        <cfvo type="percentile" val="50"/>
        <cfvo type="max"/>
        <color rgb="FFF8696B"/>
        <color rgb="FFFFEB84"/>
        <color rgb="FF63BE7B"/>
      </colorScale>
    </cfRule>
  </conditionalFormatting>
  <conditionalFormatting sqref="DE1">
    <cfRule type="colorScale" priority="350">
      <colorScale>
        <cfvo type="min"/>
        <cfvo type="percentile" val="50"/>
        <cfvo type="max"/>
        <color rgb="FF63BE7B"/>
        <color rgb="FFFFEB84"/>
        <color rgb="FFF8696B"/>
      </colorScale>
    </cfRule>
  </conditionalFormatting>
  <conditionalFormatting sqref="DE1">
    <cfRule type="colorScale" priority="349">
      <colorScale>
        <cfvo type="min"/>
        <cfvo type="percentile" val="50"/>
        <cfvo type="max"/>
        <color rgb="FFF8696B"/>
        <color rgb="FFFFEB84"/>
        <color rgb="FF63BE7B"/>
      </colorScale>
    </cfRule>
  </conditionalFormatting>
  <conditionalFormatting sqref="DE1">
    <cfRule type="colorScale" priority="348">
      <colorScale>
        <cfvo type="min"/>
        <cfvo type="percentile" val="50"/>
        <cfvo type="max"/>
        <color rgb="FFF8696B"/>
        <color rgb="FFFFEB84"/>
        <color rgb="FF63BE7B"/>
      </colorScale>
    </cfRule>
  </conditionalFormatting>
  <conditionalFormatting sqref="DE1:DE1048576">
    <cfRule type="iconSet" priority="316">
      <iconSet iconSet="3Arrows">
        <cfvo type="percent" val="0"/>
        <cfvo type="num" val="6.7"/>
        <cfvo type="num" val="7"/>
      </iconSet>
    </cfRule>
    <cfRule type="colorScale" priority="318">
      <colorScale>
        <cfvo type="num" val="6.6"/>
        <cfvo type="num" val="6.65"/>
        <cfvo type="num" val="7"/>
        <color rgb="FFF8696B"/>
        <color rgb="FFFFEB84"/>
        <color rgb="FF63BE7B"/>
      </colorScale>
    </cfRule>
  </conditionalFormatting>
  <conditionalFormatting sqref="CW1:CW1048576">
    <cfRule type="iconSet" priority="293">
      <iconSet iconSet="5Arrows">
        <cfvo type="percent" val="0"/>
        <cfvo type="percent" val="20"/>
        <cfvo type="percent" val="40"/>
        <cfvo type="percent" val="60"/>
        <cfvo type="percent" val="80"/>
      </iconSet>
    </cfRule>
    <cfRule type="colorScale" priority="331">
      <colorScale>
        <cfvo type="min"/>
        <cfvo type="percentile" val="50"/>
        <cfvo type="max"/>
        <color rgb="FFFF5757"/>
        <color theme="4" tint="0.39997558519241921"/>
        <color rgb="FF00B0F0"/>
      </colorScale>
    </cfRule>
  </conditionalFormatting>
  <conditionalFormatting sqref="CC1">
    <cfRule type="colorScale" priority="313">
      <colorScale>
        <cfvo type="min"/>
        <cfvo type="percentile" val="50"/>
        <cfvo type="max"/>
        <color rgb="FFF8696B"/>
        <color rgb="FFFFEB84"/>
        <color rgb="FF63BE7B"/>
      </colorScale>
    </cfRule>
  </conditionalFormatting>
  <conditionalFormatting sqref="BQ1:BQ1048576">
    <cfRule type="iconSet" priority="272">
      <iconSet iconSet="5Arrows">
        <cfvo type="percent" val="0"/>
        <cfvo type="percent" val="20"/>
        <cfvo type="percent" val="40"/>
        <cfvo type="percent" val="60"/>
        <cfvo type="percent" val="80"/>
      </iconSet>
    </cfRule>
    <cfRule type="colorScale" priority="273">
      <colorScale>
        <cfvo type="min"/>
        <cfvo type="percentile" val="50"/>
        <cfvo type="max"/>
        <color rgb="FFF8696B"/>
        <color rgb="FFFFEB84"/>
        <color rgb="FF63BE7B"/>
      </colorScale>
    </cfRule>
  </conditionalFormatting>
  <conditionalFormatting sqref="BS1:BS1048576">
    <cfRule type="iconSet" priority="262">
      <iconSet iconSet="5Arrows">
        <cfvo type="percent" val="0"/>
        <cfvo type="percent" val="20"/>
        <cfvo type="percent" val="40"/>
        <cfvo type="percent" val="60"/>
        <cfvo type="percent" val="80"/>
      </iconSet>
    </cfRule>
    <cfRule type="colorScale" priority="269">
      <colorScale>
        <cfvo type="min"/>
        <cfvo type="percentile" val="50"/>
        <cfvo type="max"/>
        <color rgb="FFF8696B"/>
        <color rgb="FFFFEB84"/>
        <color rgb="FF63BE7B"/>
      </colorScale>
    </cfRule>
  </conditionalFormatting>
  <conditionalFormatting sqref="BT2:BT1048576">
    <cfRule type="colorScale" priority="268">
      <colorScale>
        <cfvo type="min"/>
        <cfvo type="percentile" val="50"/>
        <cfvo type="max"/>
        <color rgb="FFF8696B"/>
        <color rgb="FFFFEB84"/>
        <color rgb="FF63BE7B"/>
      </colorScale>
    </cfRule>
  </conditionalFormatting>
  <conditionalFormatting sqref="BT1">
    <cfRule type="colorScale" priority="263">
      <colorScale>
        <cfvo type="min"/>
        <cfvo type="percentile" val="50"/>
        <cfvo type="max"/>
        <color rgb="FFF8696B"/>
        <color rgb="FFFFEB84"/>
        <color rgb="FF63BE7B"/>
      </colorScale>
    </cfRule>
  </conditionalFormatting>
  <conditionalFormatting sqref="BT1:BT1048576">
    <cfRule type="iconSet" priority="261">
      <iconSet iconSet="5Arrows">
        <cfvo type="percent" val="0"/>
        <cfvo type="percent" val="20"/>
        <cfvo type="percent" val="40"/>
        <cfvo type="percent" val="60"/>
        <cfvo type="percent" val="80"/>
      </iconSet>
    </cfRule>
  </conditionalFormatting>
  <conditionalFormatting sqref="BU1:BU1048576">
    <cfRule type="dataBar" priority="61">
      <dataBar>
        <cfvo type="min"/>
        <cfvo type="max"/>
        <color rgb="FFFF555A"/>
      </dataBar>
      <extLst>
        <ext xmlns:x14="http://schemas.microsoft.com/office/spreadsheetml/2009/9/main" uri="{B025F937-C7B1-47D3-B67F-A62EFF666E3E}">
          <x14:id>{6322CF6E-982D-4EF5-A921-E48E07C9E478}</x14:id>
        </ext>
      </extLst>
    </cfRule>
    <cfRule type="iconSet" priority="256">
      <iconSet iconSet="5Arrows" reverse="1">
        <cfvo type="percent" val="0"/>
        <cfvo type="percent" val="20"/>
        <cfvo type="percent" val="40"/>
        <cfvo type="percent" val="60"/>
        <cfvo type="percent" val="80"/>
      </iconSet>
    </cfRule>
    <cfRule type="colorScale" priority="259">
      <colorScale>
        <cfvo type="min"/>
        <cfvo type="max"/>
        <color rgb="FFFCFCFF"/>
        <color rgb="FFF8696B"/>
      </colorScale>
    </cfRule>
  </conditionalFormatting>
  <conditionalFormatting sqref="BV1:BV1048576">
    <cfRule type="dataBar" priority="60">
      <dataBar>
        <cfvo type="min"/>
        <cfvo type="max"/>
        <color rgb="FFFF555A"/>
      </dataBar>
      <extLst>
        <ext xmlns:x14="http://schemas.microsoft.com/office/spreadsheetml/2009/9/main" uri="{B025F937-C7B1-47D3-B67F-A62EFF666E3E}">
          <x14:id>{33AF2B08-521E-42D6-983D-1F91EB9507C2}</x14:id>
        </ext>
      </extLst>
    </cfRule>
    <cfRule type="iconSet" priority="257">
      <iconSet iconSet="5Arrows" reverse="1">
        <cfvo type="percent" val="0"/>
        <cfvo type="percent" val="20"/>
        <cfvo type="percent" val="40"/>
        <cfvo type="percent" val="60"/>
        <cfvo type="percent" val="80"/>
      </iconSet>
    </cfRule>
    <cfRule type="colorScale" priority="258">
      <colorScale>
        <cfvo type="min"/>
        <cfvo type="max"/>
        <color rgb="FFFCFCFF"/>
        <color rgb="FFF8696B"/>
      </colorScale>
    </cfRule>
  </conditionalFormatting>
  <conditionalFormatting sqref="AN1:AN1048576">
    <cfRule type="iconSet" priority="251">
      <iconSet iconSet="5Arrows">
        <cfvo type="percent" val="0"/>
        <cfvo type="percent" val="20"/>
        <cfvo type="percent" val="40"/>
        <cfvo type="percent" val="60"/>
        <cfvo type="percent" val="80"/>
      </iconSet>
    </cfRule>
    <cfRule type="colorScale" priority="252">
      <colorScale>
        <cfvo type="min"/>
        <cfvo type="percentile" val="50"/>
        <cfvo type="max"/>
        <color rgb="FFF8696B"/>
        <color rgb="FFFFEB84"/>
        <color rgb="FF63BE7B"/>
      </colorScale>
    </cfRule>
  </conditionalFormatting>
  <conditionalFormatting sqref="AO1:AO1048576">
    <cfRule type="iconSet" priority="249">
      <iconSet iconSet="5Arrows">
        <cfvo type="percent" val="0"/>
        <cfvo type="percent" val="20"/>
        <cfvo type="percent" val="40"/>
        <cfvo type="percent" val="60"/>
        <cfvo type="percent" val="80"/>
      </iconSet>
    </cfRule>
    <cfRule type="colorScale" priority="250">
      <colorScale>
        <cfvo type="min"/>
        <cfvo type="percentile" val="50"/>
        <cfvo type="max"/>
        <color rgb="FFF8696B"/>
        <color rgb="FFFFEB84"/>
        <color rgb="FF63BE7B"/>
      </colorScale>
    </cfRule>
  </conditionalFormatting>
  <conditionalFormatting sqref="AP1:AP1048576">
    <cfRule type="colorScale" priority="246">
      <colorScale>
        <cfvo type="min"/>
        <cfvo type="percentile" val="50"/>
        <cfvo type="max"/>
        <color rgb="FFF8696B"/>
        <color rgb="FFFFEB84"/>
        <color rgb="FF63BE7B"/>
      </colorScale>
    </cfRule>
    <cfRule type="iconSet" priority="248">
      <iconSet iconSet="5Arrows">
        <cfvo type="percent" val="0"/>
        <cfvo type="percent" val="20"/>
        <cfvo type="percent" val="40"/>
        <cfvo type="percent" val="60"/>
        <cfvo type="percent" val="80"/>
      </iconSet>
    </cfRule>
  </conditionalFormatting>
  <conditionalFormatting sqref="AQ1:AR1 AQ2:AQ1048576">
    <cfRule type="colorScale" priority="245">
      <colorScale>
        <cfvo type="min"/>
        <cfvo type="percentile" val="50"/>
        <cfvo type="max"/>
        <color rgb="FFF8696B"/>
        <color rgb="FFFFEB84"/>
        <color rgb="FF63BE7B"/>
      </colorScale>
    </cfRule>
    <cfRule type="iconSet" priority="247">
      <iconSet iconSet="5Arrows">
        <cfvo type="percent" val="0"/>
        <cfvo type="percent" val="20"/>
        <cfvo type="percent" val="40"/>
        <cfvo type="percent" val="60"/>
        <cfvo type="percent" val="80"/>
      </iconSet>
    </cfRule>
  </conditionalFormatting>
  <conditionalFormatting sqref="AT1:AT1048576">
    <cfRule type="iconSet" priority="240">
      <iconSet iconSet="5Arrows">
        <cfvo type="percent" val="0"/>
        <cfvo type="percent" val="20"/>
        <cfvo type="percent" val="40"/>
        <cfvo type="percent" val="60"/>
        <cfvo type="percent" val="80"/>
      </iconSet>
    </cfRule>
    <cfRule type="colorScale" priority="241">
      <colorScale>
        <cfvo type="min"/>
        <cfvo type="percentile" val="50"/>
        <cfvo type="max"/>
        <color rgb="FFF8696B"/>
        <color rgb="FFFFEB84"/>
        <color rgb="FF63BE7B"/>
      </colorScale>
    </cfRule>
  </conditionalFormatting>
  <conditionalFormatting sqref="AR2:AR1048576">
    <cfRule type="iconSet" priority="238">
      <iconSet iconSet="5Arrows">
        <cfvo type="percent" val="0"/>
        <cfvo type="percent" val="20"/>
        <cfvo type="percent" val="40"/>
        <cfvo type="percent" val="60"/>
        <cfvo type="percent" val="80"/>
      </iconSet>
    </cfRule>
    <cfRule type="colorScale" priority="239">
      <colorScale>
        <cfvo type="min"/>
        <cfvo type="percentile" val="50"/>
        <cfvo type="max"/>
        <color rgb="FFF8696B"/>
        <color rgb="FFFFEB84"/>
        <color rgb="FF63BE7B"/>
      </colorScale>
    </cfRule>
  </conditionalFormatting>
  <conditionalFormatting sqref="AS1:AS1048576">
    <cfRule type="colorScale" priority="237">
      <colorScale>
        <cfvo type="min"/>
        <cfvo type="percentile" val="50"/>
        <cfvo type="max"/>
        <color rgb="FFFFAFAF"/>
        <color theme="7" tint="0.79998168889431442"/>
        <color theme="7" tint="0.39997558519241921"/>
      </colorScale>
    </cfRule>
  </conditionalFormatting>
  <conditionalFormatting sqref="BI1:BI1048576">
    <cfRule type="iconSet" priority="236">
      <iconSet iconSet="5Arrows">
        <cfvo type="percent" val="0"/>
        <cfvo type="percent" val="20"/>
        <cfvo type="percent" val="40"/>
        <cfvo type="percent" val="60"/>
        <cfvo type="percent" val="80"/>
      </iconSet>
    </cfRule>
  </conditionalFormatting>
  <conditionalFormatting sqref="BG1:BG1048576">
    <cfRule type="iconSet" priority="235">
      <iconSet iconSet="5Arrows">
        <cfvo type="percent" val="0"/>
        <cfvo type="percent" val="20"/>
        <cfvo type="percent" val="40"/>
        <cfvo type="percent" val="60"/>
        <cfvo type="percent" val="80"/>
      </iconSet>
    </cfRule>
  </conditionalFormatting>
  <conditionalFormatting sqref="AY1:AY1048576">
    <cfRule type="dataBar" priority="59">
      <dataBar>
        <cfvo type="min"/>
        <cfvo type="max"/>
        <color rgb="FFFF555A"/>
      </dataBar>
      <extLst>
        <ext xmlns:x14="http://schemas.microsoft.com/office/spreadsheetml/2009/9/main" uri="{B025F937-C7B1-47D3-B67F-A62EFF666E3E}">
          <x14:id>{D4780F37-89FC-473F-886B-2CBBE6F2DF30}</x14:id>
        </ext>
      </extLst>
    </cfRule>
    <cfRule type="iconSet" priority="227">
      <iconSet iconSet="5Arrows" reverse="1">
        <cfvo type="percent" val="0"/>
        <cfvo type="percent" val="20"/>
        <cfvo type="percent" val="40"/>
        <cfvo type="percent" val="60"/>
        <cfvo type="percent" val="80"/>
      </iconSet>
    </cfRule>
    <cfRule type="colorScale" priority="233">
      <colorScale>
        <cfvo type="min"/>
        <cfvo type="max"/>
        <color rgb="FFFCFCFF"/>
        <color rgb="FFF8696B"/>
      </colorScale>
    </cfRule>
  </conditionalFormatting>
  <conditionalFormatting sqref="AZ1:AZ1048576">
    <cfRule type="dataBar" priority="58">
      <dataBar>
        <cfvo type="min"/>
        <cfvo type="max"/>
        <color rgb="FFFF555A"/>
      </dataBar>
      <extLst>
        <ext xmlns:x14="http://schemas.microsoft.com/office/spreadsheetml/2009/9/main" uri="{B025F937-C7B1-47D3-B67F-A62EFF666E3E}">
          <x14:id>{3320697B-D653-46C0-90A9-EDC530394320}</x14:id>
        </ext>
      </extLst>
    </cfRule>
    <cfRule type="iconSet" priority="226">
      <iconSet iconSet="5Arrows" reverse="1">
        <cfvo type="percent" val="0"/>
        <cfvo type="percent" val="20"/>
        <cfvo type="percent" val="40"/>
        <cfvo type="percent" val="60"/>
        <cfvo type="percent" val="80"/>
      </iconSet>
    </cfRule>
    <cfRule type="colorScale" priority="232">
      <colorScale>
        <cfvo type="min"/>
        <cfvo type="max"/>
        <color rgb="FFFCFCFF"/>
        <color rgb="FFF8696B"/>
      </colorScale>
    </cfRule>
  </conditionalFormatting>
  <conditionalFormatting sqref="S1:S1048576">
    <cfRule type="iconSet" priority="219">
      <iconSet iconSet="3ArrowsGray">
        <cfvo type="percent" val="0"/>
        <cfvo type="percent" val="33"/>
        <cfvo type="percent" val="67"/>
      </iconSet>
    </cfRule>
    <cfRule type="colorScale" priority="220">
      <colorScale>
        <cfvo type="min"/>
        <cfvo type="percentile" val="50"/>
        <cfvo type="max"/>
        <color theme="5" tint="0.79998168889431442"/>
        <color theme="5" tint="0.39997558519241921"/>
        <color theme="5" tint="-0.249977111117893"/>
      </colorScale>
    </cfRule>
  </conditionalFormatting>
  <conditionalFormatting sqref="T1:T1048576">
    <cfRule type="colorScale" priority="217">
      <colorScale>
        <cfvo type="min"/>
        <cfvo type="percentile" val="50"/>
        <cfvo type="max"/>
        <color theme="5" tint="0.79998168889431442"/>
        <color theme="5" tint="0.39997558519241921"/>
        <color theme="5" tint="-0.249977111117893"/>
      </colorScale>
    </cfRule>
    <cfRule type="iconSet" priority="218">
      <iconSet iconSet="3ArrowsGray">
        <cfvo type="percent" val="0"/>
        <cfvo type="percent" val="33"/>
        <cfvo type="percent" val="67"/>
      </iconSet>
    </cfRule>
  </conditionalFormatting>
  <conditionalFormatting sqref="CX1:CX1048576">
    <cfRule type="colorScale" priority="215">
      <colorScale>
        <cfvo type="min"/>
        <cfvo type="percentile" val="50"/>
        <cfvo type="max"/>
        <color rgb="FFF8696B"/>
        <color theme="8" tint="0.79998168889431442"/>
        <color rgb="FF00B0F0"/>
      </colorScale>
    </cfRule>
    <cfRule type="iconSet" priority="216">
      <iconSet iconSet="5Arrows">
        <cfvo type="percent" val="0"/>
        <cfvo type="percent" val="20"/>
        <cfvo type="percent" val="40"/>
        <cfvo type="percent" val="60"/>
        <cfvo type="percent" val="80"/>
      </iconSet>
    </cfRule>
  </conditionalFormatting>
  <conditionalFormatting sqref="DB1:DB1048576">
    <cfRule type="dataBar" priority="48">
      <dataBar>
        <cfvo type="min"/>
        <cfvo type="max"/>
        <color rgb="FFFF555A"/>
      </dataBar>
      <extLst>
        <ext xmlns:x14="http://schemas.microsoft.com/office/spreadsheetml/2009/9/main" uri="{B025F937-C7B1-47D3-B67F-A62EFF666E3E}">
          <x14:id>{D2DCCE4B-E845-4E8C-A2FE-5C5D28B88C1F}</x14:id>
        </ext>
      </extLst>
    </cfRule>
    <cfRule type="iconSet" priority="205">
      <iconSet iconSet="3ArrowsGray" reverse="1">
        <cfvo type="percent" val="0"/>
        <cfvo type="percent" val="33"/>
        <cfvo type="percent" val="67"/>
      </iconSet>
    </cfRule>
    <cfRule type="colorScale" priority="208">
      <colorScale>
        <cfvo type="min"/>
        <cfvo type="max"/>
        <color rgb="FFFCFCFF"/>
        <color rgb="FFF8696B"/>
      </colorScale>
    </cfRule>
  </conditionalFormatting>
  <conditionalFormatting sqref="DC1:DC1048576">
    <cfRule type="dataBar" priority="47">
      <dataBar>
        <cfvo type="min"/>
        <cfvo type="max"/>
        <color rgb="FFFF555A"/>
      </dataBar>
      <extLst>
        <ext xmlns:x14="http://schemas.microsoft.com/office/spreadsheetml/2009/9/main" uri="{B025F937-C7B1-47D3-B67F-A62EFF666E3E}">
          <x14:id>{C060681A-C656-45E0-8539-4E875510F5D4}</x14:id>
        </ext>
      </extLst>
    </cfRule>
    <cfRule type="iconSet" priority="204">
      <iconSet iconSet="3ArrowsGray" reverse="1">
        <cfvo type="percent" val="0"/>
        <cfvo type="percent" val="33"/>
        <cfvo type="percent" val="67"/>
      </iconSet>
    </cfRule>
    <cfRule type="colorScale" priority="207">
      <colorScale>
        <cfvo type="min"/>
        <cfvo type="max"/>
        <color rgb="FFFCFCFF"/>
        <color rgb="FFF8696B"/>
      </colorScale>
    </cfRule>
  </conditionalFormatting>
  <conditionalFormatting sqref="DD1:DD1048576">
    <cfRule type="dataBar" priority="46">
      <dataBar>
        <cfvo type="min"/>
        <cfvo type="max"/>
        <color rgb="FFFF555A"/>
      </dataBar>
      <extLst>
        <ext xmlns:x14="http://schemas.microsoft.com/office/spreadsheetml/2009/9/main" uri="{B025F937-C7B1-47D3-B67F-A62EFF666E3E}">
          <x14:id>{D9BB43F1-728D-4B92-B0DD-CA57D870D211}</x14:id>
        </ext>
      </extLst>
    </cfRule>
    <cfRule type="iconSet" priority="203">
      <iconSet iconSet="3ArrowsGray" reverse="1">
        <cfvo type="percent" val="0"/>
        <cfvo type="percent" val="33"/>
        <cfvo type="percent" val="67"/>
      </iconSet>
    </cfRule>
    <cfRule type="colorScale" priority="206">
      <colorScale>
        <cfvo type="min"/>
        <cfvo type="max"/>
        <color rgb="FFFCFCFF"/>
        <color rgb="FFF8696B"/>
      </colorScale>
    </cfRule>
  </conditionalFormatting>
  <conditionalFormatting sqref="L1:L1048576">
    <cfRule type="colorScale" priority="201">
      <colorScale>
        <cfvo type="min"/>
        <cfvo type="max"/>
        <color rgb="FFFFEF9C"/>
        <color rgb="FF63BE7B"/>
      </colorScale>
    </cfRule>
  </conditionalFormatting>
  <conditionalFormatting sqref="BR1:BR1048576">
    <cfRule type="iconSet" priority="187">
      <iconSet iconSet="5Arrows">
        <cfvo type="percent" val="0"/>
        <cfvo type="percent" val="20"/>
        <cfvo type="percent" val="40"/>
        <cfvo type="percent" val="60"/>
        <cfvo type="percent" val="80"/>
      </iconSet>
    </cfRule>
    <cfRule type="colorScale" priority="188">
      <colorScale>
        <cfvo type="min"/>
        <cfvo type="percentile" val="50"/>
        <cfvo type="max"/>
        <color rgb="FFF8696B"/>
        <color rgb="FFFFEB84"/>
        <color rgb="FF63BE7B"/>
      </colorScale>
    </cfRule>
  </conditionalFormatting>
  <conditionalFormatting sqref="BA1:BA1048576">
    <cfRule type="colorScale" priority="186">
      <colorScale>
        <cfvo type="min"/>
        <cfvo type="percentile" val="50"/>
        <cfvo type="max"/>
        <color rgb="FFF8696B"/>
        <color rgb="FFFFEB84"/>
        <color rgb="FF63BE7B"/>
      </colorScale>
    </cfRule>
  </conditionalFormatting>
  <conditionalFormatting sqref="BB1:BB1048576">
    <cfRule type="colorScale" priority="167">
      <colorScale>
        <cfvo type="min"/>
        <cfvo type="max"/>
        <color rgb="FFFFEF9C"/>
        <color rgb="FF63BE7B"/>
      </colorScale>
    </cfRule>
  </conditionalFormatting>
  <conditionalFormatting sqref="BC1:BC1048576">
    <cfRule type="colorScale" priority="166">
      <colorScale>
        <cfvo type="min"/>
        <cfvo type="max"/>
        <color rgb="FFFFEF9C"/>
        <color rgb="FF63BE7B"/>
      </colorScale>
    </cfRule>
  </conditionalFormatting>
  <conditionalFormatting sqref="BD1:BD1048576">
    <cfRule type="iconSet" priority="164">
      <iconSet iconSet="5Arrows">
        <cfvo type="percent" val="0"/>
        <cfvo type="percent" val="20"/>
        <cfvo type="percent" val="40"/>
        <cfvo type="percent" val="60"/>
        <cfvo type="percent" val="80"/>
      </iconSet>
    </cfRule>
    <cfRule type="colorScale" priority="165">
      <colorScale>
        <cfvo type="min"/>
        <cfvo type="percentile" val="50"/>
        <cfvo type="max"/>
        <color rgb="FFF8696B"/>
        <color theme="8" tint="0.79998168889431442"/>
        <color rgb="FF00B0F0"/>
      </colorScale>
    </cfRule>
  </conditionalFormatting>
  <conditionalFormatting sqref="BE1:BE1048576">
    <cfRule type="iconSet" priority="162">
      <iconSet iconSet="5Arrows">
        <cfvo type="percent" val="0"/>
        <cfvo type="percent" val="20"/>
        <cfvo type="percent" val="40"/>
        <cfvo type="percent" val="60"/>
        <cfvo type="percent" val="80"/>
      </iconSet>
    </cfRule>
    <cfRule type="colorScale" priority="163">
      <colorScale>
        <cfvo type="min"/>
        <cfvo type="percentile" val="50"/>
        <cfvo type="max"/>
        <color rgb="FFF8696B"/>
        <color theme="8" tint="0.79998168889431442"/>
        <color rgb="FF00B0F0"/>
      </colorScale>
    </cfRule>
  </conditionalFormatting>
  <conditionalFormatting sqref="BF1:BF1048576">
    <cfRule type="iconSet" priority="160">
      <iconSet iconSet="5Arrows">
        <cfvo type="percent" val="0"/>
        <cfvo type="percent" val="20"/>
        <cfvo type="percent" val="40"/>
        <cfvo type="percent" val="60"/>
        <cfvo type="percent" val="80"/>
      </iconSet>
    </cfRule>
    <cfRule type="colorScale" priority="161">
      <colorScale>
        <cfvo type="min"/>
        <cfvo type="percentile" val="50"/>
        <cfvo type="max"/>
        <color rgb="FFF8696B"/>
        <color theme="4" tint="0.79998168889431442"/>
        <color rgb="FF00B0F0"/>
      </colorScale>
    </cfRule>
  </conditionalFormatting>
  <conditionalFormatting sqref="CS1:CS1048576">
    <cfRule type="dataBar" priority="144">
      <dataBar>
        <cfvo type="min"/>
        <cfvo type="max"/>
        <color rgb="FF008AEF"/>
      </dataBar>
      <extLst>
        <ext xmlns:x14="http://schemas.microsoft.com/office/spreadsheetml/2009/9/main" uri="{B025F937-C7B1-47D3-B67F-A62EFF666E3E}">
          <x14:id>{9AB0871F-A595-4E65-9B7E-63E5D0EEBC4C}</x14:id>
        </ext>
      </extLst>
    </cfRule>
    <cfRule type="colorScale" priority="145">
      <colorScale>
        <cfvo type="min"/>
        <cfvo type="percentile" val="50"/>
        <cfvo type="max"/>
        <color rgb="FFF8696B"/>
        <color theme="4" tint="0.79998168889431442"/>
        <color rgb="FF00B0F0"/>
      </colorScale>
    </cfRule>
  </conditionalFormatting>
  <conditionalFormatting sqref="CT1:CT1048576">
    <cfRule type="dataBar" priority="142">
      <dataBar>
        <cfvo type="min"/>
        <cfvo type="max"/>
        <color rgb="FF008AEF"/>
      </dataBar>
      <extLst>
        <ext xmlns:x14="http://schemas.microsoft.com/office/spreadsheetml/2009/9/main" uri="{B025F937-C7B1-47D3-B67F-A62EFF666E3E}">
          <x14:id>{033250E9-938B-45FC-B9EC-091259CA6FAF}</x14:id>
        </ext>
      </extLst>
    </cfRule>
    <cfRule type="colorScale" priority="143">
      <colorScale>
        <cfvo type="min"/>
        <cfvo type="percentile" val="50"/>
        <cfvo type="max"/>
        <color rgb="FFF8696B"/>
        <color theme="4" tint="0.79998168889431442"/>
        <color rgb="FF00B0F0"/>
      </colorScale>
    </cfRule>
  </conditionalFormatting>
  <conditionalFormatting sqref="CU1:CU1048576">
    <cfRule type="iconSet" priority="137">
      <iconSet iconSet="5Arrows">
        <cfvo type="percent" val="0"/>
        <cfvo type="percent" val="20"/>
        <cfvo type="percent" val="40"/>
        <cfvo type="percent" val="60"/>
        <cfvo type="percent" val="80"/>
      </iconSet>
    </cfRule>
    <cfRule type="colorScale" priority="138">
      <colorScale>
        <cfvo type="min"/>
        <cfvo type="max"/>
        <color rgb="FFFFEF9C"/>
        <color rgb="FF63BE7B"/>
      </colorScale>
    </cfRule>
  </conditionalFormatting>
  <conditionalFormatting sqref="CV1:CV1048576">
    <cfRule type="colorScale" priority="135">
      <colorScale>
        <cfvo type="min"/>
        <cfvo type="max"/>
        <color rgb="FFFFEF9C"/>
        <color rgb="FF63BE7B"/>
      </colorScale>
    </cfRule>
    <cfRule type="iconSet" priority="136">
      <iconSet iconSet="3Arrows">
        <cfvo type="percent" val="0"/>
        <cfvo type="percent" val="33"/>
        <cfvo type="percent" val="67"/>
      </iconSet>
    </cfRule>
  </conditionalFormatting>
  <conditionalFormatting sqref="BL1:BL1048576">
    <cfRule type="iconSet" priority="118">
      <iconSet iconSet="3ArrowsGray" reverse="1">
        <cfvo type="percent" val="0"/>
        <cfvo type="percent" val="33"/>
        <cfvo type="percent" val="67"/>
      </iconSet>
    </cfRule>
    <cfRule type="colorScale" priority="119">
      <colorScale>
        <cfvo type="min"/>
        <cfvo type="max"/>
        <color rgb="FFFCFCFF"/>
        <color rgb="FFF8696B"/>
      </colorScale>
    </cfRule>
  </conditionalFormatting>
  <conditionalFormatting sqref="BN1:BN1048576">
    <cfRule type="colorScale" priority="117">
      <colorScale>
        <cfvo type="min"/>
        <cfvo type="percentile" val="50"/>
        <cfvo type="max"/>
        <color rgb="FFF8696B"/>
        <color rgb="FFFFEB84"/>
        <color rgb="FF63BE7B"/>
      </colorScale>
    </cfRule>
  </conditionalFormatting>
  <conditionalFormatting sqref="BO1:BO1048576">
    <cfRule type="colorScale" priority="116">
      <colorScale>
        <cfvo type="min"/>
        <cfvo type="percentile" val="50"/>
        <cfvo type="max"/>
        <color rgb="FFF8696B"/>
        <color rgb="FFFFEB84"/>
        <color rgb="FF63BE7B"/>
      </colorScale>
    </cfRule>
  </conditionalFormatting>
  <conditionalFormatting sqref="BP1:BP1048576">
    <cfRule type="colorScale" priority="115">
      <colorScale>
        <cfvo type="min"/>
        <cfvo type="percentile" val="50"/>
        <cfvo type="max"/>
        <color rgb="FFF8696B"/>
        <color rgb="FFFFEB84"/>
        <color rgb="FF63BE7B"/>
      </colorScale>
    </cfRule>
  </conditionalFormatting>
  <conditionalFormatting sqref="CN1:CN1048576">
    <cfRule type="iconSet" priority="97">
      <iconSet iconSet="5Arrows">
        <cfvo type="percent" val="0"/>
        <cfvo type="percent" val="20"/>
        <cfvo type="percent" val="40"/>
        <cfvo type="percent" val="60"/>
        <cfvo type="percent" val="80"/>
      </iconSet>
    </cfRule>
    <cfRule type="colorScale" priority="112">
      <colorScale>
        <cfvo type="min"/>
        <cfvo type="percentile" val="50"/>
        <cfvo type="max"/>
        <color rgb="FFF8696B"/>
        <color rgb="FFFFEB84"/>
        <color rgb="FF63BE7B"/>
      </colorScale>
    </cfRule>
  </conditionalFormatting>
  <conditionalFormatting sqref="CO1:CO1048576">
    <cfRule type="iconSet" priority="94">
      <iconSet iconSet="5Arrows">
        <cfvo type="percent" val="0"/>
        <cfvo type="percent" val="20"/>
        <cfvo type="percent" val="40"/>
        <cfvo type="percent" val="60"/>
        <cfvo type="percent" val="80"/>
      </iconSet>
    </cfRule>
    <cfRule type="colorScale" priority="111">
      <colorScale>
        <cfvo type="min"/>
        <cfvo type="max"/>
        <color rgb="FFFFEF9C"/>
        <color rgb="FF63BE7B"/>
      </colorScale>
    </cfRule>
  </conditionalFormatting>
  <conditionalFormatting sqref="CL1:CL1048576">
    <cfRule type="iconSet" priority="96">
      <iconSet iconSet="5ArrowsGray">
        <cfvo type="percent" val="0"/>
        <cfvo type="percent" val="20"/>
        <cfvo type="percent" val="40"/>
        <cfvo type="percent" val="60"/>
        <cfvo type="percent" val="80"/>
      </iconSet>
    </cfRule>
    <cfRule type="colorScale" priority="101">
      <colorScale>
        <cfvo type="min"/>
        <cfvo type="percentile" val="50"/>
        <cfvo type="max"/>
        <color rgb="FFF4B084"/>
        <color rgb="FFF08E52"/>
        <color rgb="FFEC7328"/>
      </colorScale>
    </cfRule>
  </conditionalFormatting>
  <conditionalFormatting sqref="CM1:CM1048576">
    <cfRule type="iconSet" priority="95">
      <iconSet iconSet="5ArrowsGray">
        <cfvo type="percent" val="0"/>
        <cfvo type="percent" val="20"/>
        <cfvo type="percent" val="40"/>
        <cfvo type="percent" val="60"/>
        <cfvo type="percent" val="80"/>
      </iconSet>
    </cfRule>
    <cfRule type="colorScale" priority="100">
      <colorScale>
        <cfvo type="min"/>
        <cfvo type="percentile" val="50"/>
        <cfvo type="max"/>
        <color rgb="FFF4B084"/>
        <color rgb="FFF08E52"/>
        <color rgb="FFEC7328"/>
      </colorScale>
    </cfRule>
  </conditionalFormatting>
  <conditionalFormatting sqref="AH1:AH1048576">
    <cfRule type="iconSet" priority="16">
      <iconSet iconSet="5ArrowsGray" reverse="1">
        <cfvo type="percent" val="0"/>
        <cfvo type="percent" val="20"/>
        <cfvo type="percent" val="40"/>
        <cfvo type="percent" val="60"/>
        <cfvo type="percent" val="80"/>
      </iconSet>
    </cfRule>
    <cfRule type="colorScale" priority="84">
      <colorScale>
        <cfvo type="min"/>
        <cfvo type="percentile" val="50"/>
        <cfvo type="max"/>
        <color rgb="FF63BE7B"/>
        <color rgb="FFFFEB84"/>
        <color rgb="FFF8696B"/>
      </colorScale>
    </cfRule>
  </conditionalFormatting>
  <conditionalFormatting sqref="AC1:AC1048576">
    <cfRule type="iconSet" priority="34">
      <iconSet iconSet="5ArrowsGray" reverse="1">
        <cfvo type="percent" val="0"/>
        <cfvo type="percent" val="20"/>
        <cfvo type="percent" val="40"/>
        <cfvo type="percent" val="60"/>
        <cfvo type="percent" val="80"/>
      </iconSet>
    </cfRule>
    <cfRule type="dataBar" priority="44">
      <dataBar>
        <cfvo type="min"/>
        <cfvo type="max"/>
        <color rgb="FFFF555A"/>
      </dataBar>
      <extLst>
        <ext xmlns:x14="http://schemas.microsoft.com/office/spreadsheetml/2009/9/main" uri="{B025F937-C7B1-47D3-B67F-A62EFF666E3E}">
          <x14:id>{6C5A4904-E225-4B19-B1E4-F6349AA9AC2C}</x14:id>
        </ext>
      </extLst>
    </cfRule>
    <cfRule type="colorScale" priority="83">
      <colorScale>
        <cfvo type="min"/>
        <cfvo type="max"/>
        <color rgb="FFFDD7D8"/>
        <color rgb="FFF8696B"/>
      </colorScale>
    </cfRule>
  </conditionalFormatting>
  <conditionalFormatting sqref="AI1:AI1048576">
    <cfRule type="iconSet" priority="73">
      <iconSet iconSet="5ArrowsGray">
        <cfvo type="percent" val="0"/>
        <cfvo type="percent" val="20"/>
        <cfvo type="percent" val="40"/>
        <cfvo type="percent" val="60"/>
        <cfvo type="percent" val="80"/>
      </iconSet>
    </cfRule>
    <cfRule type="colorScale" priority="82">
      <colorScale>
        <cfvo type="min"/>
        <cfvo type="percentile" val="50"/>
        <cfvo type="max"/>
        <color rgb="FFF8696B"/>
        <color rgb="FFFCFCFF"/>
        <color rgb="FF5A8AC6"/>
      </colorScale>
    </cfRule>
  </conditionalFormatting>
  <conditionalFormatting sqref="AJ1:AJ1048576">
    <cfRule type="iconSet" priority="76">
      <iconSet iconSet="5ArrowsGray">
        <cfvo type="percent" val="0"/>
        <cfvo type="percent" val="20"/>
        <cfvo type="percent" val="40"/>
        <cfvo type="percent" val="60"/>
        <cfvo type="percent" val="80"/>
      </iconSet>
    </cfRule>
    <cfRule type="colorScale" priority="81">
      <colorScale>
        <cfvo type="min"/>
        <cfvo type="percentile" val="50"/>
        <cfvo type="max"/>
        <color rgb="FFF8696B"/>
        <color rgb="FFFCFCFF"/>
        <color rgb="FF5A8AC6"/>
      </colorScale>
    </cfRule>
  </conditionalFormatting>
  <conditionalFormatting sqref="AK1:AK1048576">
    <cfRule type="iconSet" priority="74">
      <iconSet iconSet="5ArrowsGray">
        <cfvo type="percent" val="0"/>
        <cfvo type="percent" val="20"/>
        <cfvo type="percent" val="40"/>
        <cfvo type="percent" val="60"/>
        <cfvo type="percent" val="80"/>
      </iconSet>
    </cfRule>
    <cfRule type="colorScale" priority="80">
      <colorScale>
        <cfvo type="min"/>
        <cfvo type="percentile" val="50"/>
        <cfvo type="max"/>
        <color rgb="FFF8696B"/>
        <color rgb="FFFCFCFF"/>
        <color rgb="FF5A8AC6"/>
      </colorScale>
    </cfRule>
  </conditionalFormatting>
  <conditionalFormatting sqref="AL1:AL1048576">
    <cfRule type="iconSet" priority="75">
      <iconSet iconSet="5ArrowsGray">
        <cfvo type="percent" val="0"/>
        <cfvo type="percent" val="20"/>
        <cfvo type="percent" val="40"/>
        <cfvo type="percent" val="60"/>
        <cfvo type="percent" val="80"/>
      </iconSet>
    </cfRule>
    <cfRule type="colorScale" priority="79">
      <colorScale>
        <cfvo type="min"/>
        <cfvo type="percentile" val="50"/>
        <cfvo type="max"/>
        <color rgb="FFF8696B"/>
        <color rgb="FFFCFCFF"/>
        <color rgb="FF5A8AC6"/>
      </colorScale>
    </cfRule>
  </conditionalFormatting>
  <conditionalFormatting sqref="AM1:AM1048576">
    <cfRule type="iconSet" priority="77">
      <iconSet iconSet="5Arrows">
        <cfvo type="percent" val="0"/>
        <cfvo type="percent" val="20"/>
        <cfvo type="percent" val="40"/>
        <cfvo type="percent" val="60"/>
        <cfvo type="percent" val="80"/>
      </iconSet>
    </cfRule>
    <cfRule type="colorScale" priority="78">
      <colorScale>
        <cfvo type="min"/>
        <cfvo type="percentile" val="50"/>
        <cfvo type="max"/>
        <color rgb="FFF8696B"/>
        <color rgb="FFFCFCFF"/>
        <color rgb="FF5A8AC6"/>
      </colorScale>
    </cfRule>
  </conditionalFormatting>
  <conditionalFormatting sqref="BH1:BH1048576">
    <cfRule type="colorScale" priority="68">
      <colorScale>
        <cfvo type="min"/>
        <cfvo type="percentile" val="50"/>
        <cfvo type="max"/>
        <color rgb="FFF8696B"/>
        <color rgb="FFFFEB84"/>
        <color rgb="FF63BE7B"/>
      </colorScale>
    </cfRule>
  </conditionalFormatting>
  <conditionalFormatting sqref="BJ1:BJ1048576">
    <cfRule type="colorScale" priority="67">
      <colorScale>
        <cfvo type="min"/>
        <cfvo type="percentile" val="50"/>
        <cfvo type="max"/>
        <color rgb="FFF8696B"/>
        <color rgb="FFFFEB84"/>
        <color rgb="FF63BE7B"/>
      </colorScale>
    </cfRule>
  </conditionalFormatting>
  <conditionalFormatting sqref="BK1:BK1048576">
    <cfRule type="colorScale" priority="65">
      <colorScale>
        <cfvo type="min"/>
        <cfvo type="percentile" val="50"/>
        <cfvo type="max"/>
        <color rgb="FFF8696B"/>
        <color rgb="FFFFEB84"/>
        <color rgb="FF63BE7B"/>
      </colorScale>
    </cfRule>
  </conditionalFormatting>
  <conditionalFormatting sqref="BM1:BM1048576">
    <cfRule type="colorScale" priority="62">
      <colorScale>
        <cfvo type="min"/>
        <cfvo type="max"/>
        <color rgb="FFFCFCFF"/>
        <color rgb="FFF8696B"/>
      </colorScale>
    </cfRule>
  </conditionalFormatting>
  <conditionalFormatting sqref="CP1:CP1048576">
    <cfRule type="iconSet" priority="54">
      <iconSet iconSet="3ArrowsGray" reverse="1">
        <cfvo type="percent" val="0"/>
        <cfvo type="percent" val="33"/>
        <cfvo type="percent" val="67"/>
      </iconSet>
    </cfRule>
    <cfRule type="dataBar" priority="56">
      <dataBar>
        <cfvo type="min"/>
        <cfvo type="max"/>
        <color rgb="FF9A0000"/>
      </dataBar>
      <extLst>
        <ext xmlns:x14="http://schemas.microsoft.com/office/spreadsheetml/2009/9/main" uri="{B025F937-C7B1-47D3-B67F-A62EFF666E3E}">
          <x14:id>{0E442C20-D516-4CD0-8A99-6BF460A7C53D}</x14:id>
        </ext>
      </extLst>
    </cfRule>
  </conditionalFormatting>
  <conditionalFormatting sqref="CQ1:CQ1048576">
    <cfRule type="iconSet" priority="53">
      <iconSet iconSet="3ArrowsGray" reverse="1">
        <cfvo type="percent" val="0"/>
        <cfvo type="percent" val="33"/>
        <cfvo type="percent" val="67"/>
      </iconSet>
    </cfRule>
    <cfRule type="dataBar" priority="55">
      <dataBar>
        <cfvo type="min"/>
        <cfvo type="max"/>
        <color rgb="FF9A0000"/>
      </dataBar>
      <extLst>
        <ext xmlns:x14="http://schemas.microsoft.com/office/spreadsheetml/2009/9/main" uri="{B025F937-C7B1-47D3-B67F-A62EFF666E3E}">
          <x14:id>{43D8EAAB-E007-493A-9E5C-181644F867E1}</x14:id>
        </ext>
      </extLst>
    </cfRule>
  </conditionalFormatting>
  <conditionalFormatting sqref="CY1:CY1048576">
    <cfRule type="iconSet" priority="49">
      <iconSet iconSet="5Arrows">
        <cfvo type="percent" val="0"/>
        <cfvo type="percent" val="20"/>
        <cfvo type="percent" val="40"/>
        <cfvo type="percent" val="60"/>
        <cfvo type="percent" val="80"/>
      </iconSet>
    </cfRule>
    <cfRule type="dataBar" priority="50">
      <dataBar>
        <cfvo type="min"/>
        <cfvo type="max"/>
        <color rgb="FF008AEF"/>
      </dataBar>
      <extLst>
        <ext xmlns:x14="http://schemas.microsoft.com/office/spreadsheetml/2009/9/main" uri="{B025F937-C7B1-47D3-B67F-A62EFF666E3E}">
          <x14:id>{A0DAB158-559C-4FD2-8C3A-ACFC4A12C498}</x14:id>
        </ext>
      </extLst>
    </cfRule>
  </conditionalFormatting>
  <conditionalFormatting sqref="Y1:Y1048576">
    <cfRule type="dataBar" priority="42">
      <dataBar>
        <cfvo type="min"/>
        <cfvo type="max"/>
        <color rgb="FFC00000"/>
      </dataBar>
      <extLst>
        <ext xmlns:x14="http://schemas.microsoft.com/office/spreadsheetml/2009/9/main" uri="{B025F937-C7B1-47D3-B67F-A62EFF666E3E}">
          <x14:id>{1B17DBE5-B936-4B4C-9B09-2942DB906136}</x14:id>
        </ext>
      </extLst>
    </cfRule>
  </conditionalFormatting>
  <conditionalFormatting sqref="Z1:Z1048576">
    <cfRule type="dataBar" priority="41">
      <dataBar>
        <cfvo type="min"/>
        <cfvo type="max"/>
        <color rgb="FFC00000"/>
      </dataBar>
      <extLst>
        <ext xmlns:x14="http://schemas.microsoft.com/office/spreadsheetml/2009/9/main" uri="{B025F937-C7B1-47D3-B67F-A62EFF666E3E}">
          <x14:id>{A10A3539-B0FC-4298-A6BE-FB8462039FE7}</x14:id>
        </ext>
      </extLst>
    </cfRule>
  </conditionalFormatting>
  <conditionalFormatting sqref="CR1:CR1048576">
    <cfRule type="iconSet" priority="37">
      <iconSet iconSet="5Arrows">
        <cfvo type="percent" val="0"/>
        <cfvo type="percent" val="20"/>
        <cfvo type="percent" val="40"/>
        <cfvo type="percent" val="60"/>
        <cfvo type="percent" val="80"/>
      </iconSet>
    </cfRule>
    <cfRule type="colorScale" priority="39">
      <colorScale>
        <cfvo type="min"/>
        <cfvo type="percentile" val="50"/>
        <cfvo type="max"/>
        <color rgb="FFF8696B"/>
        <color rgb="FFFFEB84"/>
        <color rgb="FF63BE7B"/>
      </colorScale>
    </cfRule>
  </conditionalFormatting>
  <conditionalFormatting sqref="AD1:AD1048576">
    <cfRule type="iconSet" priority="33">
      <iconSet iconSet="5ArrowsGray" reverse="1">
        <cfvo type="percent" val="0"/>
        <cfvo type="percent" val="20"/>
        <cfvo type="percent" val="40"/>
        <cfvo type="percent" val="60"/>
        <cfvo type="percent" val="80"/>
      </iconSet>
    </cfRule>
    <cfRule type="dataBar" priority="35">
      <dataBar>
        <cfvo type="min"/>
        <cfvo type="max"/>
        <color rgb="FFFF555A"/>
      </dataBar>
      <extLst>
        <ext xmlns:x14="http://schemas.microsoft.com/office/spreadsheetml/2009/9/main" uri="{B025F937-C7B1-47D3-B67F-A62EFF666E3E}">
          <x14:id>{9447FF01-D52A-49D2-8A63-ECF566AE0774}</x14:id>
        </ext>
      </extLst>
    </cfRule>
    <cfRule type="colorScale" priority="36">
      <colorScale>
        <cfvo type="min"/>
        <cfvo type="max"/>
        <color rgb="FFFDD7D8"/>
        <color rgb="FFF8696B"/>
      </colorScale>
    </cfRule>
  </conditionalFormatting>
  <conditionalFormatting sqref="AA1:AA1048576">
    <cfRule type="dataBar" priority="30">
      <dataBar>
        <cfvo type="min"/>
        <cfvo type="max"/>
        <color rgb="FFFF555A"/>
      </dataBar>
      <extLst>
        <ext xmlns:x14="http://schemas.microsoft.com/office/spreadsheetml/2009/9/main" uri="{B025F937-C7B1-47D3-B67F-A62EFF666E3E}">
          <x14:id>{85E3D835-4381-4009-8A98-3B3643784A80}</x14:id>
        </ext>
      </extLst>
    </cfRule>
    <cfRule type="colorScale" priority="32">
      <colorScale>
        <cfvo type="min"/>
        <cfvo type="max"/>
        <color rgb="FFFDD7D8"/>
        <color rgb="FFF8696B"/>
      </colorScale>
    </cfRule>
  </conditionalFormatting>
  <conditionalFormatting sqref="AB1:AB1048576">
    <cfRule type="colorScale" priority="31">
      <colorScale>
        <cfvo type="min"/>
        <cfvo type="max"/>
        <color rgb="FFFDD7D8"/>
        <color rgb="FFF8696B"/>
      </colorScale>
    </cfRule>
  </conditionalFormatting>
  <conditionalFormatting sqref="CG1:CG1048576">
    <cfRule type="dataBar" priority="29">
      <dataBar>
        <cfvo type="min"/>
        <cfvo type="max"/>
        <color rgb="FF004F8A"/>
      </dataBar>
      <extLst>
        <ext xmlns:x14="http://schemas.microsoft.com/office/spreadsheetml/2009/9/main" uri="{B025F937-C7B1-47D3-B67F-A62EFF666E3E}">
          <x14:id>{4E925D6F-51CE-4BEC-8374-86AC708D45C9}</x14:id>
        </ext>
      </extLst>
    </cfRule>
  </conditionalFormatting>
  <conditionalFormatting sqref="CH1:CH1048576">
    <cfRule type="dataBar" priority="28">
      <dataBar>
        <cfvo type="min"/>
        <cfvo type="max"/>
        <color rgb="FF004F8A"/>
      </dataBar>
      <extLst>
        <ext xmlns:x14="http://schemas.microsoft.com/office/spreadsheetml/2009/9/main" uri="{B025F937-C7B1-47D3-B67F-A62EFF666E3E}">
          <x14:id>{0D9DBF81-33A9-4BFD-B612-C43F932FA534}</x14:id>
        </ext>
      </extLst>
    </cfRule>
  </conditionalFormatting>
  <conditionalFormatting sqref="CI1:CI1048576">
    <cfRule type="dataBar" priority="27">
      <dataBar>
        <cfvo type="min"/>
        <cfvo type="max"/>
        <color rgb="FFD28C00"/>
      </dataBar>
      <extLst>
        <ext xmlns:x14="http://schemas.microsoft.com/office/spreadsheetml/2009/9/main" uri="{B025F937-C7B1-47D3-B67F-A62EFF666E3E}">
          <x14:id>{2911B82B-500D-4B47-9E5A-05C7C2B63896}</x14:id>
        </ext>
      </extLst>
    </cfRule>
  </conditionalFormatting>
  <conditionalFormatting sqref="CJ1:CJ1048576">
    <cfRule type="dataBar" priority="26">
      <dataBar>
        <cfvo type="min"/>
        <cfvo type="max"/>
        <color rgb="FFD28C00"/>
      </dataBar>
      <extLst>
        <ext xmlns:x14="http://schemas.microsoft.com/office/spreadsheetml/2009/9/main" uri="{B025F937-C7B1-47D3-B67F-A62EFF666E3E}">
          <x14:id>{FD0EF206-088C-432F-A024-9F0287D4A36D}</x14:id>
        </ext>
      </extLst>
    </cfRule>
  </conditionalFormatting>
  <conditionalFormatting sqref="CK1:CK1048576">
    <cfRule type="dataBar" priority="24">
      <dataBar>
        <cfvo type="min"/>
        <cfvo type="max"/>
        <color rgb="FF0060A8"/>
      </dataBar>
      <extLst>
        <ext xmlns:x14="http://schemas.microsoft.com/office/spreadsheetml/2009/9/main" uri="{B025F937-C7B1-47D3-B67F-A62EFF666E3E}">
          <x14:id>{25305FC2-B0E2-49AF-98D1-A0EE42AE54A0}</x14:id>
        </ext>
      </extLst>
    </cfRule>
  </conditionalFormatting>
  <conditionalFormatting sqref="CF1:CF1048576">
    <cfRule type="colorScale" priority="22">
      <colorScale>
        <cfvo type="min"/>
        <cfvo type="percentile" val="50"/>
        <cfvo type="max"/>
        <color rgb="FFF8696B"/>
        <color rgb="FFFFEB84"/>
        <color rgb="FF63BE7B"/>
      </colorScale>
    </cfRule>
    <cfRule type="iconSet" priority="23">
      <iconSet iconSet="5Arrows">
        <cfvo type="percent" val="0"/>
        <cfvo type="percent" val="20"/>
        <cfvo type="percent" val="40"/>
        <cfvo type="percent" val="60"/>
        <cfvo type="percent" val="80"/>
      </iconSet>
    </cfRule>
  </conditionalFormatting>
  <conditionalFormatting sqref="AE1:AE1048576">
    <cfRule type="iconSet" priority="19">
      <iconSet iconSet="5ArrowsGray" reverse="1">
        <cfvo type="percent" val="0"/>
        <cfvo type="percent" val="20"/>
        <cfvo type="percent" val="40"/>
        <cfvo type="percent" val="60"/>
        <cfvo type="percent" val="80"/>
      </iconSet>
    </cfRule>
    <cfRule type="colorScale" priority="21">
      <colorScale>
        <cfvo type="min"/>
        <cfvo type="percentile" val="50"/>
        <cfvo type="max"/>
        <color rgb="FFF8696B"/>
        <color rgb="FFFFEB84"/>
        <color rgb="FF63BE7B"/>
      </colorScale>
    </cfRule>
  </conditionalFormatting>
  <conditionalFormatting sqref="AF1:AF1048576">
    <cfRule type="iconSet" priority="18">
      <iconSet iconSet="5ArrowsGray" reverse="1">
        <cfvo type="percent" val="0"/>
        <cfvo type="percent" val="20"/>
        <cfvo type="percent" val="40"/>
        <cfvo type="percent" val="60"/>
        <cfvo type="percent" val="80"/>
      </iconSet>
    </cfRule>
    <cfRule type="colorScale" priority="20">
      <colorScale>
        <cfvo type="min"/>
        <cfvo type="percentile" val="50"/>
        <cfvo type="max"/>
        <color rgb="FFF8696B"/>
        <color rgb="FFFFEB84"/>
        <color rgb="FF63BE7B"/>
      </colorScale>
    </cfRule>
  </conditionalFormatting>
  <conditionalFormatting sqref="DA1:DA1048576">
    <cfRule type="dataBar" priority="5">
      <dataBar>
        <cfvo type="min"/>
        <cfvo type="max"/>
        <color rgb="FFD6007B"/>
      </dataBar>
      <extLst>
        <ext xmlns:x14="http://schemas.microsoft.com/office/spreadsheetml/2009/9/main" uri="{B025F937-C7B1-47D3-B67F-A62EFF666E3E}">
          <x14:id>{79CF31C5-F319-480F-86DB-F7A95B4F4E80}</x14:id>
        </ext>
      </extLst>
    </cfRule>
  </conditionalFormatting>
  <conditionalFormatting sqref="CZ1:CZ1048576">
    <cfRule type="dataBar" priority="4">
      <dataBar>
        <cfvo type="min"/>
        <cfvo type="max"/>
        <color rgb="FFD6007B"/>
      </dataBar>
      <extLst>
        <ext xmlns:x14="http://schemas.microsoft.com/office/spreadsheetml/2009/9/main" uri="{B025F937-C7B1-47D3-B67F-A62EFF666E3E}">
          <x14:id>{3B42185A-3754-4F1B-9E2C-29A0DCEE644D}</x14:id>
        </ext>
      </extLst>
    </cfRule>
  </conditionalFormatting>
  <conditionalFormatting sqref="AU12:AX1048576 AU1:AU11 AX1:AX11">
    <cfRule type="colorScale" priority="2795239">
      <colorScale>
        <cfvo type="min"/>
        <cfvo type="percentile" val="50"/>
        <cfvo type="max"/>
        <color rgb="FFF8696B"/>
        <color rgb="FFFFEB84"/>
        <color rgb="FF63BE7B"/>
      </colorScale>
    </cfRule>
  </conditionalFormatting>
  <conditionalFormatting sqref="AU12:AW1048576 AU1:AU11">
    <cfRule type="colorScale" priority="2795243">
      <colorScale>
        <cfvo type="min"/>
        <cfvo type="percentile" val="50"/>
        <cfvo type="max"/>
        <color rgb="FFF8696B"/>
        <color rgb="FFFFEB84"/>
        <color rgb="FF63BE7B"/>
      </colorScale>
    </cfRule>
  </conditionalFormatting>
  <conditionalFormatting sqref="AU12:AX1048576 AU1:AU11 AX1:AX11">
    <cfRule type="colorScale" priority="2795246">
      <colorScale>
        <cfvo type="min"/>
        <cfvo type="percentile" val="50"/>
        <cfvo type="max"/>
        <color rgb="FF63BE7B"/>
        <color rgb="FFFFEB84"/>
        <color rgb="FFF8696B"/>
      </colorScale>
    </cfRule>
  </conditionalFormatting>
  <conditionalFormatting sqref="DE12:DE1048576">
    <cfRule type="colorScale" priority="2795250">
      <colorScale>
        <cfvo type="min"/>
        <cfvo type="percentile" val="50"/>
        <cfvo type="max"/>
        <color rgb="FFF8696B"/>
        <color rgb="FFFFEB84"/>
        <color rgb="FF63BE7B"/>
      </colorScale>
    </cfRule>
  </conditionalFormatting>
  <conditionalFormatting sqref="BW2:BW11">
    <cfRule type="colorScale" priority="2795252">
      <colorScale>
        <cfvo type="min"/>
        <cfvo type="percentile" val="50"/>
        <cfvo type="max"/>
        <color rgb="FFF8696B"/>
        <color rgb="FFFFEB84"/>
        <color rgb="FF63BE7B"/>
      </colorScale>
    </cfRule>
  </conditionalFormatting>
  <conditionalFormatting sqref="BG2:BG11">
    <cfRule type="colorScale" priority="2795253">
      <colorScale>
        <cfvo type="min"/>
        <cfvo type="percentile" val="50"/>
        <cfvo type="max"/>
        <color rgb="FFF8696B"/>
        <color rgb="FFFFEB84"/>
        <color rgb="FF63BE7B"/>
      </colorScale>
    </cfRule>
  </conditionalFormatting>
  <conditionalFormatting sqref="BI2:BI11">
    <cfRule type="colorScale" priority="2795254">
      <colorScale>
        <cfvo type="min"/>
        <cfvo type="percentile" val="50"/>
        <cfvo type="max"/>
        <color rgb="FFF8696B"/>
        <color rgb="FFFFEB84"/>
        <color rgb="FF63BE7B"/>
      </colorScale>
    </cfRule>
  </conditionalFormatting>
  <conditionalFormatting sqref="AU2:AU11 AX2:AX11">
    <cfRule type="colorScale" priority="2795255">
      <colorScale>
        <cfvo type="min"/>
        <cfvo type="percentile" val="50"/>
        <cfvo type="max"/>
        <color rgb="FFF8696B"/>
        <color rgb="FFFFEB84"/>
        <color rgb="FF63BE7B"/>
      </colorScale>
    </cfRule>
  </conditionalFormatting>
  <conditionalFormatting sqref="BZ2:BZ11">
    <cfRule type="colorScale" priority="2795257">
      <colorScale>
        <cfvo type="min"/>
        <cfvo type="percentile" val="50"/>
        <cfvo type="max"/>
        <color rgb="FFF8696B"/>
        <color rgb="FFFFEB84"/>
        <color rgb="FF63BE7B"/>
      </colorScale>
    </cfRule>
  </conditionalFormatting>
  <conditionalFormatting sqref="AV1:AW11">
    <cfRule type="colorScale" priority="2795258">
      <colorScale>
        <cfvo type="min"/>
        <cfvo type="max"/>
        <color rgb="FFFFEF9C"/>
        <color rgb="FF63BE7B"/>
      </colorScale>
    </cfRule>
  </conditionalFormatting>
  <conditionalFormatting sqref="BX2:BX11">
    <cfRule type="colorScale" priority="2795259">
      <colorScale>
        <cfvo type="min"/>
        <cfvo type="percentile" val="50"/>
        <cfvo type="max"/>
        <color rgb="FFF8696B"/>
        <color rgb="FFFFEB84"/>
        <color rgb="FF63BE7B"/>
      </colorScale>
    </cfRule>
  </conditionalFormatting>
  <conditionalFormatting sqref="BY2:BY11">
    <cfRule type="colorScale" priority="2795260">
      <colorScale>
        <cfvo type="min"/>
        <cfvo type="percentile" val="50"/>
        <cfvo type="max"/>
        <color rgb="FFF8696B"/>
        <color rgb="FFFFEB84"/>
        <color rgb="FF63BE7B"/>
      </colorScale>
    </cfRule>
  </conditionalFormatting>
  <conditionalFormatting sqref="DE2:DE11">
    <cfRule type="colorScale" priority="2795261">
      <colorScale>
        <cfvo type="min"/>
        <cfvo type="percentile" val="50"/>
        <cfvo type="max"/>
        <color rgb="FFF8696B"/>
        <color rgb="FFFFEB84"/>
        <color rgb="FF63BE7B"/>
      </colorScale>
    </cfRule>
  </conditionalFormatting>
  <conditionalFormatting sqref="DE2:DE11">
    <cfRule type="colorScale" priority="2795262">
      <colorScale>
        <cfvo type="min"/>
        <cfvo type="percentile" val="50"/>
        <cfvo type="max"/>
        <color rgb="FF63BE7B"/>
        <color rgb="FFFFEB84"/>
        <color rgb="FFF8696B"/>
      </colorScale>
    </cfRule>
  </conditionalFormatting>
  <conditionalFormatting sqref="DE2:DE11">
    <cfRule type="colorScale" priority="2795263">
      <colorScale>
        <cfvo type="min"/>
        <cfvo type="max"/>
        <color rgb="FFFFEF9C"/>
        <color rgb="FF63BE7B"/>
      </colorScale>
    </cfRule>
  </conditionalFormatting>
  <conditionalFormatting sqref="CW2:CW11">
    <cfRule type="colorScale" priority="2795264">
      <colorScale>
        <cfvo type="min"/>
        <cfvo type="percentile" val="50"/>
        <cfvo type="max"/>
        <color rgb="FFF8696B"/>
        <color rgb="FFFFEB84"/>
        <color rgb="FF63BE7B"/>
      </colorScale>
    </cfRule>
  </conditionalFormatting>
  <conditionalFormatting sqref="F1:F11">
    <cfRule type="colorScale" priority="2795265">
      <colorScale>
        <cfvo type="min"/>
        <cfvo type="percentile" val="50"/>
        <cfvo type="max"/>
        <color rgb="FFF8696B"/>
        <color rgb="FFFFEB84"/>
        <color rgb="FF63BE7B"/>
      </colorScale>
    </cfRule>
  </conditionalFormatting>
  <conditionalFormatting sqref="AS2:AS11">
    <cfRule type="colorScale" priority="2795266">
      <colorScale>
        <cfvo type="min"/>
        <cfvo type="percentile" val="50"/>
        <cfvo type="max"/>
        <color rgb="FFF8696B"/>
        <color rgb="FFFFEB84"/>
        <color rgb="FF63BE7B"/>
      </colorScale>
    </cfRule>
    <cfRule type="iconSet" priority="2795267">
      <iconSet iconSet="5Arrows">
        <cfvo type="percent" val="0"/>
        <cfvo type="percent" val="20"/>
        <cfvo type="percent" val="40"/>
        <cfvo type="percent" val="60"/>
        <cfvo type="percent" val="80"/>
      </iconSet>
    </cfRule>
  </conditionalFormatting>
  <conditionalFormatting sqref="N2:N11">
    <cfRule type="iconSet" priority="2795268">
      <iconSet iconSet="5Arrows">
        <cfvo type="percent" val="0"/>
        <cfvo type="percent" val="20"/>
        <cfvo type="percent" val="40"/>
        <cfvo type="percent" val="60"/>
        <cfvo type="percent" val="80"/>
      </iconSet>
    </cfRule>
    <cfRule type="colorScale" priority="2795269">
      <colorScale>
        <cfvo type="min"/>
        <cfvo type="num" val="75"/>
        <cfvo type="num" val="90"/>
        <color rgb="FFF8696B"/>
        <color rgb="FFFFEB84"/>
        <color rgb="FF63BE7B"/>
      </colorScale>
    </cfRule>
  </conditionalFormatting>
  <conditionalFormatting sqref="O2:O11">
    <cfRule type="dataBar" priority="2795270">
      <dataBar>
        <cfvo type="min"/>
        <cfvo type="max"/>
        <color rgb="FF008AEF"/>
      </dataBar>
      <extLst>
        <ext xmlns:x14="http://schemas.microsoft.com/office/spreadsheetml/2009/9/main" uri="{B025F937-C7B1-47D3-B67F-A62EFF666E3E}">
          <x14:id>{2604A568-33B0-48A5-9F1B-7CD2A22703DC}</x14:id>
        </ext>
      </extLst>
    </cfRule>
    <cfRule type="colorScale" priority="2795271">
      <colorScale>
        <cfvo type="min"/>
        <cfvo type="percentile" val="50"/>
        <cfvo type="max"/>
        <color rgb="FFF8696B"/>
        <color rgb="FFFFEB84"/>
        <color rgb="FF63BE7B"/>
      </colorScale>
    </cfRule>
  </conditionalFormatting>
  <conditionalFormatting sqref="M2:M11">
    <cfRule type="colorScale" priority="2795272">
      <colorScale>
        <cfvo type="min"/>
        <cfvo type="percentile" val="50"/>
        <cfvo type="max"/>
        <color rgb="FFF8696B"/>
        <color rgb="FFFFEB84"/>
        <color rgb="FF63BE7B"/>
      </colorScale>
    </cfRule>
  </conditionalFormatting>
  <conditionalFormatting sqref="P1:P1048576">
    <cfRule type="dataBar" priority="3">
      <dataBar>
        <cfvo type="min"/>
        <cfvo type="max"/>
        <color rgb="FF23559B"/>
      </dataBar>
      <extLst>
        <ext xmlns:x14="http://schemas.microsoft.com/office/spreadsheetml/2009/9/main" uri="{B025F937-C7B1-47D3-B67F-A62EFF666E3E}">
          <x14:id>{91DE6D09-4B97-410D-A9ED-4184D80CE2B1}</x14:id>
        </ext>
      </extLst>
    </cfRule>
  </conditionalFormatting>
  <conditionalFormatting sqref="Q1:Q1048576">
    <cfRule type="dataBar" priority="2">
      <dataBar>
        <cfvo type="min"/>
        <cfvo type="max"/>
        <color rgb="FF23559B"/>
      </dataBar>
      <extLst>
        <ext xmlns:x14="http://schemas.microsoft.com/office/spreadsheetml/2009/9/main" uri="{B025F937-C7B1-47D3-B67F-A62EFF666E3E}">
          <x14:id>{218024EE-AD32-4A4B-8EED-40AE0FF5D305}</x14:id>
        </ext>
      </extLst>
    </cfRule>
  </conditionalFormatting>
  <conditionalFormatting sqref="R1:R1048576">
    <cfRule type="dataBar" priority="1">
      <dataBar>
        <cfvo type="min"/>
        <cfvo type="max"/>
        <color rgb="FF23559B"/>
      </dataBar>
      <extLst>
        <ext xmlns:x14="http://schemas.microsoft.com/office/spreadsheetml/2009/9/main" uri="{B025F937-C7B1-47D3-B67F-A62EFF666E3E}">
          <x14:id>{EC772808-D0E6-4F20-BFA8-5D06D71A15C6}</x14:id>
        </ext>
      </extLst>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6322CF6E-982D-4EF5-A921-E48E07C9E478}">
            <x14:dataBar minLength="0" maxLength="100" gradient="0">
              <x14:cfvo type="autoMin"/>
              <x14:cfvo type="autoMax"/>
              <x14:negativeFillColor rgb="FFFF0000"/>
              <x14:axisColor rgb="FF000000"/>
            </x14:dataBar>
          </x14:cfRule>
          <xm:sqref>BU1:BU1048576</xm:sqref>
        </x14:conditionalFormatting>
        <x14:conditionalFormatting xmlns:xm="http://schemas.microsoft.com/office/excel/2006/main">
          <x14:cfRule type="dataBar" id="{33AF2B08-521E-42D6-983D-1F91EB9507C2}">
            <x14:dataBar minLength="0" maxLength="100" gradient="0">
              <x14:cfvo type="autoMin"/>
              <x14:cfvo type="autoMax"/>
              <x14:negativeFillColor rgb="FFFF0000"/>
              <x14:axisColor rgb="FF000000"/>
            </x14:dataBar>
          </x14:cfRule>
          <xm:sqref>BV1:BV1048576</xm:sqref>
        </x14:conditionalFormatting>
        <x14:conditionalFormatting xmlns:xm="http://schemas.microsoft.com/office/excel/2006/main">
          <x14:cfRule type="dataBar" id="{D4780F37-89FC-473F-886B-2CBBE6F2DF30}">
            <x14:dataBar minLength="0" maxLength="100" gradient="0">
              <x14:cfvo type="autoMin"/>
              <x14:cfvo type="autoMax"/>
              <x14:negativeFillColor rgb="FFFF0000"/>
              <x14:axisColor rgb="FF000000"/>
            </x14:dataBar>
          </x14:cfRule>
          <xm:sqref>AY1:AY1048576</xm:sqref>
        </x14:conditionalFormatting>
        <x14:conditionalFormatting xmlns:xm="http://schemas.microsoft.com/office/excel/2006/main">
          <x14:cfRule type="dataBar" id="{3320697B-D653-46C0-90A9-EDC530394320}">
            <x14:dataBar minLength="0" maxLength="100" gradient="0">
              <x14:cfvo type="autoMin"/>
              <x14:cfvo type="autoMax"/>
              <x14:negativeFillColor rgb="FFFF0000"/>
              <x14:axisColor rgb="FF000000"/>
            </x14:dataBar>
          </x14:cfRule>
          <xm:sqref>AZ1:AZ1048576</xm:sqref>
        </x14:conditionalFormatting>
        <x14:conditionalFormatting xmlns:xm="http://schemas.microsoft.com/office/excel/2006/main">
          <x14:cfRule type="dataBar" id="{D2DCCE4B-E845-4E8C-A2FE-5C5D28B88C1F}">
            <x14:dataBar minLength="0" maxLength="100" gradient="0">
              <x14:cfvo type="autoMin"/>
              <x14:cfvo type="autoMax"/>
              <x14:negativeFillColor rgb="FFFF0000"/>
              <x14:axisColor rgb="FF000000"/>
            </x14:dataBar>
          </x14:cfRule>
          <xm:sqref>DB1:DB1048576</xm:sqref>
        </x14:conditionalFormatting>
        <x14:conditionalFormatting xmlns:xm="http://schemas.microsoft.com/office/excel/2006/main">
          <x14:cfRule type="dataBar" id="{C060681A-C656-45E0-8539-4E875510F5D4}">
            <x14:dataBar minLength="0" maxLength="100" gradient="0">
              <x14:cfvo type="autoMin"/>
              <x14:cfvo type="autoMax"/>
              <x14:negativeFillColor rgb="FFFF0000"/>
              <x14:axisColor rgb="FF000000"/>
            </x14:dataBar>
          </x14:cfRule>
          <xm:sqref>DC1:DC1048576</xm:sqref>
        </x14:conditionalFormatting>
        <x14:conditionalFormatting xmlns:xm="http://schemas.microsoft.com/office/excel/2006/main">
          <x14:cfRule type="dataBar" id="{D9BB43F1-728D-4B92-B0DD-CA57D870D211}">
            <x14:dataBar minLength="0" maxLength="100" gradient="0">
              <x14:cfvo type="autoMin"/>
              <x14:cfvo type="autoMax"/>
              <x14:negativeFillColor rgb="FFFF0000"/>
              <x14:axisColor rgb="FF000000"/>
            </x14:dataBar>
          </x14:cfRule>
          <xm:sqref>DD1:DD1048576</xm:sqref>
        </x14:conditionalFormatting>
        <x14:conditionalFormatting xmlns:xm="http://schemas.microsoft.com/office/excel/2006/main">
          <x14:cfRule type="dataBar" id="{9AB0871F-A595-4E65-9B7E-63E5D0EEBC4C}">
            <x14:dataBar minLength="0" maxLength="100" border="1" negativeBarBorderColorSameAsPositive="0">
              <x14:cfvo type="autoMin"/>
              <x14:cfvo type="autoMax"/>
              <x14:borderColor rgb="FF008AEF"/>
              <x14:negativeFillColor rgb="FFFF0000"/>
              <x14:negativeBorderColor rgb="FFFF0000"/>
              <x14:axisColor rgb="FF000000"/>
            </x14:dataBar>
          </x14:cfRule>
          <xm:sqref>CS1:CS1048576</xm:sqref>
        </x14:conditionalFormatting>
        <x14:conditionalFormatting xmlns:xm="http://schemas.microsoft.com/office/excel/2006/main">
          <x14:cfRule type="dataBar" id="{033250E9-938B-45FC-B9EC-091259CA6FAF}">
            <x14:dataBar minLength="0" maxLength="100" border="1" negativeBarBorderColorSameAsPositive="0">
              <x14:cfvo type="autoMin"/>
              <x14:cfvo type="autoMax"/>
              <x14:borderColor rgb="FF008AEF"/>
              <x14:negativeFillColor rgb="FFFF0000"/>
              <x14:negativeBorderColor rgb="FFFF0000"/>
              <x14:axisColor rgb="FF000000"/>
            </x14:dataBar>
          </x14:cfRule>
          <xm:sqref>CT1:CT1048576</xm:sqref>
        </x14:conditionalFormatting>
        <x14:conditionalFormatting xmlns:xm="http://schemas.microsoft.com/office/excel/2006/main">
          <x14:cfRule type="dataBar" id="{6C5A4904-E225-4B19-B1E4-F6349AA9AC2C}">
            <x14:dataBar minLength="0" maxLength="100">
              <x14:cfvo type="autoMin"/>
              <x14:cfvo type="autoMax"/>
              <x14:negativeFillColor rgb="FFFF0000"/>
              <x14:axisColor rgb="FF000000"/>
            </x14:dataBar>
          </x14:cfRule>
          <xm:sqref>AC1:AC1048576</xm:sqref>
        </x14:conditionalFormatting>
        <x14:conditionalFormatting xmlns:xm="http://schemas.microsoft.com/office/excel/2006/main">
          <x14:cfRule type="dataBar" id="{0E442C20-D516-4CD0-8A99-6BF460A7C53D}">
            <x14:dataBar minLength="0" maxLength="100" gradient="0">
              <x14:cfvo type="autoMin"/>
              <x14:cfvo type="autoMax"/>
              <x14:negativeFillColor rgb="FFFF0000"/>
              <x14:axisColor rgb="FF000000"/>
            </x14:dataBar>
          </x14:cfRule>
          <xm:sqref>CP1:CP1048576</xm:sqref>
        </x14:conditionalFormatting>
        <x14:conditionalFormatting xmlns:xm="http://schemas.microsoft.com/office/excel/2006/main">
          <x14:cfRule type="dataBar" id="{43D8EAAB-E007-493A-9E5C-181644F867E1}">
            <x14:dataBar minLength="0" maxLength="100" gradient="0">
              <x14:cfvo type="autoMin"/>
              <x14:cfvo type="autoMax"/>
              <x14:negativeFillColor rgb="FFFF0000"/>
              <x14:axisColor rgb="FF000000"/>
            </x14:dataBar>
          </x14:cfRule>
          <xm:sqref>CQ1:CQ1048576</xm:sqref>
        </x14:conditionalFormatting>
        <x14:conditionalFormatting xmlns:xm="http://schemas.microsoft.com/office/excel/2006/main">
          <x14:cfRule type="dataBar" id="{A0DAB158-559C-4FD2-8C3A-ACFC4A12C498}">
            <x14:dataBar minLength="0" maxLength="100" gradient="0">
              <x14:cfvo type="autoMin"/>
              <x14:cfvo type="autoMax"/>
              <x14:negativeFillColor rgb="FFFF0000"/>
              <x14:axisColor rgb="FF000000"/>
            </x14:dataBar>
          </x14:cfRule>
          <xm:sqref>CY1:CY1048576</xm:sqref>
        </x14:conditionalFormatting>
        <x14:conditionalFormatting xmlns:xm="http://schemas.microsoft.com/office/excel/2006/main">
          <x14:cfRule type="dataBar" id="{1B17DBE5-B936-4B4C-9B09-2942DB906136}">
            <x14:dataBar minLength="0" maxLength="100" gradient="0">
              <x14:cfvo type="autoMin"/>
              <x14:cfvo type="autoMax"/>
              <x14:negativeFillColor rgb="FFFF0000"/>
              <x14:axisColor rgb="FF000000"/>
            </x14:dataBar>
          </x14:cfRule>
          <xm:sqref>Y1:Y1048576</xm:sqref>
        </x14:conditionalFormatting>
        <x14:conditionalFormatting xmlns:xm="http://schemas.microsoft.com/office/excel/2006/main">
          <x14:cfRule type="dataBar" id="{A10A3539-B0FC-4298-A6BE-FB8462039FE7}">
            <x14:dataBar minLength="0" maxLength="100" gradient="0">
              <x14:cfvo type="autoMin"/>
              <x14:cfvo type="autoMax"/>
              <x14:negativeFillColor rgb="FFFF0000"/>
              <x14:axisColor rgb="FF000000"/>
            </x14:dataBar>
          </x14:cfRule>
          <xm:sqref>Z1:Z1048576</xm:sqref>
        </x14:conditionalFormatting>
        <x14:conditionalFormatting xmlns:xm="http://schemas.microsoft.com/office/excel/2006/main">
          <x14:cfRule type="dataBar" id="{9447FF01-D52A-49D2-8A63-ECF566AE0774}">
            <x14:dataBar minLength="0" maxLength="100">
              <x14:cfvo type="autoMin"/>
              <x14:cfvo type="autoMax"/>
              <x14:negativeFillColor rgb="FFFF0000"/>
              <x14:axisColor rgb="FF000000"/>
            </x14:dataBar>
          </x14:cfRule>
          <xm:sqref>AD1:AD1048576</xm:sqref>
        </x14:conditionalFormatting>
        <x14:conditionalFormatting xmlns:xm="http://schemas.microsoft.com/office/excel/2006/main">
          <x14:cfRule type="dataBar" id="{85E3D835-4381-4009-8A98-3B3643784A80}">
            <x14:dataBar minLength="0" maxLength="100" gradient="0">
              <x14:cfvo type="autoMin"/>
              <x14:cfvo type="autoMax"/>
              <x14:negativeFillColor rgb="FFFF0000"/>
              <x14:axisColor rgb="FF000000"/>
            </x14:dataBar>
          </x14:cfRule>
          <xm:sqref>AA1:AA1048576</xm:sqref>
        </x14:conditionalFormatting>
        <x14:conditionalFormatting xmlns:xm="http://schemas.microsoft.com/office/excel/2006/main">
          <x14:cfRule type="dataBar" id="{4E925D6F-51CE-4BEC-8374-86AC708D45C9}">
            <x14:dataBar minLength="0" maxLength="100" gradient="0">
              <x14:cfvo type="autoMin"/>
              <x14:cfvo type="autoMax"/>
              <x14:negativeFillColor rgb="FFFF0000"/>
              <x14:axisColor rgb="FF000000"/>
            </x14:dataBar>
          </x14:cfRule>
          <xm:sqref>CG1:CG1048576</xm:sqref>
        </x14:conditionalFormatting>
        <x14:conditionalFormatting xmlns:xm="http://schemas.microsoft.com/office/excel/2006/main">
          <x14:cfRule type="dataBar" id="{0D9DBF81-33A9-4BFD-B612-C43F932FA534}">
            <x14:dataBar minLength="0" maxLength="100" gradient="0">
              <x14:cfvo type="autoMin"/>
              <x14:cfvo type="autoMax"/>
              <x14:negativeFillColor rgb="FFFF0000"/>
              <x14:axisColor rgb="FF000000"/>
            </x14:dataBar>
          </x14:cfRule>
          <xm:sqref>CH1:CH1048576</xm:sqref>
        </x14:conditionalFormatting>
        <x14:conditionalFormatting xmlns:xm="http://schemas.microsoft.com/office/excel/2006/main">
          <x14:cfRule type="dataBar" id="{2911B82B-500D-4B47-9E5A-05C7C2B63896}">
            <x14:dataBar minLength="0" maxLength="100" gradient="0">
              <x14:cfvo type="autoMin"/>
              <x14:cfvo type="autoMax"/>
              <x14:negativeFillColor rgb="FFFF0000"/>
              <x14:axisColor rgb="FF000000"/>
            </x14:dataBar>
          </x14:cfRule>
          <xm:sqref>CI1:CI1048576</xm:sqref>
        </x14:conditionalFormatting>
        <x14:conditionalFormatting xmlns:xm="http://schemas.microsoft.com/office/excel/2006/main">
          <x14:cfRule type="dataBar" id="{FD0EF206-088C-432F-A024-9F0287D4A36D}">
            <x14:dataBar minLength="0" maxLength="100" gradient="0">
              <x14:cfvo type="autoMin"/>
              <x14:cfvo type="autoMax"/>
              <x14:negativeFillColor rgb="FFFF0000"/>
              <x14:axisColor rgb="FF000000"/>
            </x14:dataBar>
          </x14:cfRule>
          <xm:sqref>CJ1:CJ1048576</xm:sqref>
        </x14:conditionalFormatting>
        <x14:conditionalFormatting xmlns:xm="http://schemas.microsoft.com/office/excel/2006/main">
          <x14:cfRule type="dataBar" id="{25305FC2-B0E2-49AF-98D1-A0EE42AE54A0}">
            <x14:dataBar minLength="0" maxLength="100" border="1" gradient="0" negativeBarBorderColorSameAsPositive="0">
              <x14:cfvo type="autoMin"/>
              <x14:cfvo type="autoMax"/>
              <x14:borderColor rgb="FF008AEF"/>
              <x14:negativeFillColor rgb="FFFF0000"/>
              <x14:negativeBorderColor rgb="FFFF0000"/>
              <x14:axisColor rgb="FF000000"/>
            </x14:dataBar>
          </x14:cfRule>
          <xm:sqref>CK1:CK1048576</xm:sqref>
        </x14:conditionalFormatting>
        <x14:conditionalFormatting xmlns:xm="http://schemas.microsoft.com/office/excel/2006/main">
          <x14:cfRule type="dataBar" id="{79CF31C5-F319-480F-86DB-F7A95B4F4E80}">
            <x14:dataBar minLength="0" maxLength="100" gradient="0">
              <x14:cfvo type="autoMin"/>
              <x14:cfvo type="autoMax"/>
              <x14:negativeFillColor rgb="FFFF0000"/>
              <x14:axisColor rgb="FF000000"/>
            </x14:dataBar>
          </x14:cfRule>
          <xm:sqref>DA1:DA1048576</xm:sqref>
        </x14:conditionalFormatting>
        <x14:conditionalFormatting xmlns:xm="http://schemas.microsoft.com/office/excel/2006/main">
          <x14:cfRule type="dataBar" id="{3B42185A-3754-4F1B-9E2C-29A0DCEE644D}">
            <x14:dataBar minLength="0" maxLength="100" gradient="0">
              <x14:cfvo type="autoMin"/>
              <x14:cfvo type="autoMax"/>
              <x14:negativeFillColor rgb="FFFF0000"/>
              <x14:axisColor rgb="FF000000"/>
            </x14:dataBar>
          </x14:cfRule>
          <xm:sqref>CZ1:CZ1048576</xm:sqref>
        </x14:conditionalFormatting>
        <x14:conditionalFormatting xmlns:xm="http://schemas.microsoft.com/office/excel/2006/main">
          <x14:cfRule type="dataBar" id="{2604A568-33B0-48A5-9F1B-7CD2A22703DC}">
            <x14:dataBar minLength="0" maxLength="100" border="1" negativeBarBorderColorSameAsPositive="0">
              <x14:cfvo type="autoMin"/>
              <x14:cfvo type="autoMax"/>
              <x14:borderColor rgb="FF008AEF"/>
              <x14:negativeFillColor rgb="FFFF0000"/>
              <x14:negativeBorderColor rgb="FFFF0000"/>
              <x14:axisColor rgb="FF000000"/>
            </x14:dataBar>
          </x14:cfRule>
          <xm:sqref>O2:O11</xm:sqref>
        </x14:conditionalFormatting>
        <x14:conditionalFormatting xmlns:xm="http://schemas.microsoft.com/office/excel/2006/main">
          <x14:cfRule type="dataBar" id="{91DE6D09-4B97-410D-A9ED-4184D80CE2B1}">
            <x14:dataBar minLength="0" maxLength="100" gradient="0">
              <x14:cfvo type="autoMin"/>
              <x14:cfvo type="autoMax"/>
              <x14:negativeFillColor rgb="FFFF0000"/>
              <x14:axisColor rgb="FF000000"/>
            </x14:dataBar>
          </x14:cfRule>
          <xm:sqref>P1:P1048576</xm:sqref>
        </x14:conditionalFormatting>
        <x14:conditionalFormatting xmlns:xm="http://schemas.microsoft.com/office/excel/2006/main">
          <x14:cfRule type="dataBar" id="{218024EE-AD32-4A4B-8EED-40AE0FF5D305}">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EC772808-D0E6-4F20-BFA8-5D06D71A15C6}">
            <x14:dataBar minLength="0" maxLength="100" gradient="0">
              <x14:cfvo type="autoMin"/>
              <x14:cfvo type="autoMax"/>
              <x14:negativeFill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theme="9" tint="0.39997558519241921"/>
  </sheetPr>
  <dimension ref="A1:FQ1001"/>
  <sheetViews>
    <sheetView zoomScale="90" zoomScaleNormal="90" workbookViewId="0">
      <pane xSplit="4" ySplit="1" topLeftCell="E2" activePane="bottomRight" state="frozen"/>
      <selection pane="topRight" activeCell="E1" sqref="E1"/>
      <selection pane="bottomLeft" activeCell="A2" sqref="A2"/>
      <selection pane="bottomRight"/>
    </sheetView>
  </sheetViews>
  <sheetFormatPr defaultRowHeight="15" x14ac:dyDescent="0.25"/>
  <cols>
    <col min="2" max="2" width="30.7109375" customWidth="1"/>
    <col min="3" max="3" width="12.5703125" customWidth="1"/>
    <col min="4" max="4" width="21.140625" bestFit="1" customWidth="1"/>
    <col min="5" max="5" width="21.7109375" customWidth="1"/>
    <col min="6" max="6" width="14.7109375" customWidth="1"/>
    <col min="7" max="7" width="15.7109375" customWidth="1"/>
    <col min="8" max="8" width="19.85546875" style="13" customWidth="1"/>
    <col min="9" max="9" width="13.42578125" customWidth="1"/>
    <col min="10" max="10" width="17.28515625" bestFit="1" customWidth="1"/>
    <col min="11" max="11" width="15.7109375" customWidth="1"/>
    <col min="12" max="12" width="15.7109375" style="13" customWidth="1"/>
    <col min="13" max="19" width="18.7109375" style="13" customWidth="1"/>
    <col min="20" max="34" width="18.7109375" customWidth="1"/>
    <col min="35" max="35" width="18.7109375" style="13" customWidth="1"/>
    <col min="36" max="37" width="18.7109375" customWidth="1"/>
    <col min="38" max="50" width="18.7109375" style="13" customWidth="1"/>
    <col min="51" max="53" width="18.7109375" customWidth="1"/>
    <col min="54" max="55" width="18.7109375" style="13" customWidth="1"/>
    <col min="56" max="58" width="18.7109375" style="98" customWidth="1"/>
    <col min="59" max="70" width="18.7109375" customWidth="1"/>
    <col min="71" max="75" width="18.7109375" style="13" customWidth="1"/>
    <col min="76" max="103" width="18.7109375" customWidth="1"/>
    <col min="104" max="111" width="18.7109375" style="98" customWidth="1"/>
    <col min="112" max="115" width="18.7109375" customWidth="1"/>
    <col min="116" max="116" width="18.7109375" style="389" customWidth="1"/>
    <col min="117" max="120" width="18.7109375" customWidth="1"/>
    <col min="121" max="121" width="8.7109375" style="1" customWidth="1"/>
    <col min="122" max="172" width="11.7109375" style="1" customWidth="1"/>
    <col min="173" max="173" width="11.7109375" style="190" customWidth="1"/>
  </cols>
  <sheetData>
    <row r="1" spans="1:173" ht="50.1" customHeight="1" thickBot="1" x14ac:dyDescent="0.3">
      <c r="A1" s="103"/>
      <c r="B1" s="4" t="s">
        <v>20</v>
      </c>
      <c r="C1" s="4" t="s">
        <v>201</v>
      </c>
      <c r="D1" s="4" t="s">
        <v>28</v>
      </c>
      <c r="E1" s="87" t="s">
        <v>217</v>
      </c>
      <c r="F1" s="4" t="s">
        <v>29</v>
      </c>
      <c r="G1" s="4" t="s">
        <v>1</v>
      </c>
      <c r="H1" s="82" t="s">
        <v>3</v>
      </c>
      <c r="I1" s="4" t="s">
        <v>83</v>
      </c>
      <c r="J1" s="4" t="s">
        <v>21</v>
      </c>
      <c r="K1" s="4" t="s">
        <v>216</v>
      </c>
      <c r="L1" s="4" t="s">
        <v>111</v>
      </c>
      <c r="M1" s="30" t="s">
        <v>401</v>
      </c>
      <c r="N1" s="30" t="s">
        <v>402</v>
      </c>
      <c r="O1" s="30" t="s">
        <v>405</v>
      </c>
      <c r="P1" s="96" t="s">
        <v>226</v>
      </c>
      <c r="Q1" s="96" t="s">
        <v>223</v>
      </c>
      <c r="R1" s="97" t="s">
        <v>224</v>
      </c>
      <c r="S1" s="96" t="s">
        <v>225</v>
      </c>
      <c r="T1" s="207" t="s">
        <v>22</v>
      </c>
      <c r="U1" s="207" t="s">
        <v>59</v>
      </c>
      <c r="V1" s="207" t="s">
        <v>60</v>
      </c>
      <c r="W1" s="41" t="s">
        <v>690</v>
      </c>
      <c r="X1" s="41" t="s">
        <v>314</v>
      </c>
      <c r="Y1" s="351" t="s">
        <v>689</v>
      </c>
      <c r="Z1" s="351" t="s">
        <v>688</v>
      </c>
      <c r="AA1" s="41" t="s">
        <v>313</v>
      </c>
      <c r="AB1" s="41" t="s">
        <v>417</v>
      </c>
      <c r="AC1" s="355" t="s">
        <v>692</v>
      </c>
      <c r="AD1" s="355" t="s">
        <v>693</v>
      </c>
      <c r="AE1" s="363" t="s">
        <v>694</v>
      </c>
      <c r="AF1" s="40" t="s">
        <v>55</v>
      </c>
      <c r="AG1" s="40" t="s">
        <v>79</v>
      </c>
      <c r="AH1" s="160" t="s">
        <v>380</v>
      </c>
      <c r="AI1" s="131" t="s">
        <v>590</v>
      </c>
      <c r="AJ1" s="207" t="s">
        <v>604</v>
      </c>
      <c r="AK1" s="207" t="s">
        <v>303</v>
      </c>
      <c r="AL1" s="207" t="s">
        <v>227</v>
      </c>
      <c r="AM1" s="207" t="s">
        <v>684</v>
      </c>
      <c r="AN1" s="207" t="s">
        <v>685</v>
      </c>
      <c r="AO1" s="207" t="s">
        <v>686</v>
      </c>
      <c r="AP1" s="207" t="s">
        <v>687</v>
      </c>
      <c r="AQ1" s="46" t="s">
        <v>315</v>
      </c>
      <c r="AR1" s="46" t="s">
        <v>316</v>
      </c>
      <c r="AS1" s="46" t="s">
        <v>317</v>
      </c>
      <c r="AT1" s="46" t="s">
        <v>318</v>
      </c>
      <c r="AU1" s="46" t="s">
        <v>319</v>
      </c>
      <c r="AV1" s="46" t="s">
        <v>320</v>
      </c>
      <c r="AW1" s="46" t="s">
        <v>339</v>
      </c>
      <c r="AX1" s="46" t="s">
        <v>312</v>
      </c>
      <c r="AY1" s="90" t="s">
        <v>35</v>
      </c>
      <c r="AZ1" s="90" t="s">
        <v>398</v>
      </c>
      <c r="BA1" s="90" t="s">
        <v>397</v>
      </c>
      <c r="BB1" s="45" t="s">
        <v>470</v>
      </c>
      <c r="BC1" s="45" t="s">
        <v>471</v>
      </c>
      <c r="BD1" s="151" t="s">
        <v>368</v>
      </c>
      <c r="BE1" s="151" t="s">
        <v>326</v>
      </c>
      <c r="BF1" s="51" t="s">
        <v>294</v>
      </c>
      <c r="BG1" s="51" t="s">
        <v>129</v>
      </c>
      <c r="BH1" s="85" t="s">
        <v>169</v>
      </c>
      <c r="BI1" s="85" t="s">
        <v>206</v>
      </c>
      <c r="BJ1" s="85" t="s">
        <v>103</v>
      </c>
      <c r="BK1" s="85" t="s">
        <v>489</v>
      </c>
      <c r="BL1" s="85" t="s">
        <v>232</v>
      </c>
      <c r="BM1" s="85" t="s">
        <v>237</v>
      </c>
      <c r="BN1" s="85" t="s">
        <v>64</v>
      </c>
      <c r="BO1" s="22" t="s">
        <v>63</v>
      </c>
      <c r="BP1" s="22" t="s">
        <v>472</v>
      </c>
      <c r="BQ1" s="22" t="s">
        <v>90</v>
      </c>
      <c r="BR1" s="22" t="s">
        <v>94</v>
      </c>
      <c r="BS1" s="88" t="s">
        <v>211</v>
      </c>
      <c r="BT1" s="88" t="s">
        <v>212</v>
      </c>
      <c r="BU1" s="88" t="s">
        <v>213</v>
      </c>
      <c r="BV1" s="88" t="s">
        <v>214</v>
      </c>
      <c r="BW1" s="88" t="s">
        <v>215</v>
      </c>
      <c r="BX1" s="22" t="s">
        <v>61</v>
      </c>
      <c r="BY1" s="22" t="s">
        <v>58</v>
      </c>
      <c r="BZ1" s="23" t="s">
        <v>62</v>
      </c>
      <c r="CA1" s="22" t="s">
        <v>91</v>
      </c>
      <c r="CB1" s="22" t="s">
        <v>93</v>
      </c>
      <c r="CC1" s="22" t="s">
        <v>92</v>
      </c>
      <c r="CD1" s="22" t="s">
        <v>89</v>
      </c>
      <c r="CE1" s="51" t="s">
        <v>445</v>
      </c>
      <c r="CF1" s="51" t="s">
        <v>446</v>
      </c>
      <c r="CG1" s="26" t="s">
        <v>371</v>
      </c>
      <c r="CH1" s="26" t="s">
        <v>372</v>
      </c>
      <c r="CI1" s="4" t="s">
        <v>373</v>
      </c>
      <c r="CJ1" s="4" t="s">
        <v>71</v>
      </c>
      <c r="CK1" s="4" t="s">
        <v>43</v>
      </c>
      <c r="CL1" s="4" t="s">
        <v>72</v>
      </c>
      <c r="CM1" s="4" t="s">
        <v>27</v>
      </c>
      <c r="CN1" s="4" t="s">
        <v>70</v>
      </c>
      <c r="CO1" s="25" t="s">
        <v>322</v>
      </c>
      <c r="CP1" s="25" t="s">
        <v>325</v>
      </c>
      <c r="CQ1" s="25" t="s">
        <v>323</v>
      </c>
      <c r="CR1" s="132" t="s">
        <v>282</v>
      </c>
      <c r="CS1" s="25" t="s">
        <v>324</v>
      </c>
      <c r="CT1" s="14" t="s">
        <v>140</v>
      </c>
      <c r="CU1" s="15" t="s">
        <v>243</v>
      </c>
      <c r="CV1" s="15" t="s">
        <v>242</v>
      </c>
      <c r="CW1" s="52" t="s">
        <v>207</v>
      </c>
      <c r="CX1" s="52" t="s">
        <v>244</v>
      </c>
      <c r="CY1" s="34" t="s">
        <v>208</v>
      </c>
      <c r="CZ1" s="391" t="s">
        <v>375</v>
      </c>
      <c r="DA1" s="391" t="s">
        <v>68</v>
      </c>
      <c r="DB1" s="392" t="s">
        <v>414</v>
      </c>
      <c r="DC1" s="392" t="s">
        <v>99</v>
      </c>
      <c r="DD1" s="40" t="s">
        <v>424</v>
      </c>
      <c r="DE1" s="160" t="s">
        <v>425</v>
      </c>
      <c r="DF1" s="17" t="s">
        <v>423</v>
      </c>
      <c r="DG1" s="46" t="s">
        <v>430</v>
      </c>
      <c r="DH1" s="392" t="s">
        <v>448</v>
      </c>
      <c r="DI1" s="392" t="s">
        <v>376</v>
      </c>
      <c r="DJ1" s="47" t="s">
        <v>18</v>
      </c>
      <c r="DK1" s="47" t="s">
        <v>74</v>
      </c>
      <c r="DL1" s="388" t="s">
        <v>570</v>
      </c>
      <c r="DM1" s="43" t="s">
        <v>395</v>
      </c>
      <c r="DN1" s="43" t="s">
        <v>396</v>
      </c>
      <c r="DO1" s="43" t="s">
        <v>167</v>
      </c>
      <c r="DP1" s="108" t="s">
        <v>25</v>
      </c>
      <c r="DQ1" s="261" t="s">
        <v>14</v>
      </c>
      <c r="DR1" s="262" t="s">
        <v>566</v>
      </c>
      <c r="DS1" s="262" t="s">
        <v>20</v>
      </c>
      <c r="DT1" s="262" t="s">
        <v>1</v>
      </c>
      <c r="DU1" s="262" t="s">
        <v>0</v>
      </c>
      <c r="DV1" s="262" t="s">
        <v>29</v>
      </c>
      <c r="DW1" s="262" t="s">
        <v>37</v>
      </c>
      <c r="DX1" s="262" t="s">
        <v>2</v>
      </c>
      <c r="DY1" s="262" t="s">
        <v>3</v>
      </c>
      <c r="DZ1" s="262" t="s">
        <v>81</v>
      </c>
      <c r="EA1" s="262" t="s">
        <v>567</v>
      </c>
      <c r="EB1" s="262" t="s">
        <v>580</v>
      </c>
      <c r="EC1" s="262" t="s">
        <v>30</v>
      </c>
      <c r="ED1" s="262" t="s">
        <v>568</v>
      </c>
      <c r="EE1" s="262" t="s">
        <v>581</v>
      </c>
      <c r="EF1" s="262" t="s">
        <v>582</v>
      </c>
      <c r="EG1" s="262" t="s">
        <v>57</v>
      </c>
      <c r="EH1" s="262" t="s">
        <v>249</v>
      </c>
      <c r="EI1" s="262" t="s">
        <v>4</v>
      </c>
      <c r="EJ1" s="262" t="s">
        <v>591</v>
      </c>
      <c r="EK1" s="262" t="s">
        <v>166</v>
      </c>
      <c r="EL1" s="262" t="s">
        <v>7</v>
      </c>
      <c r="EM1" s="262" t="s">
        <v>153</v>
      </c>
      <c r="EN1" s="262" t="s">
        <v>575</v>
      </c>
      <c r="EO1" s="262" t="s">
        <v>576</v>
      </c>
      <c r="EP1" s="262" t="s">
        <v>11</v>
      </c>
      <c r="EQ1" s="262" t="s">
        <v>17</v>
      </c>
      <c r="ER1" s="262" t="s">
        <v>174</v>
      </c>
      <c r="ES1" s="262" t="s">
        <v>15</v>
      </c>
      <c r="ET1" s="262" t="s">
        <v>16</v>
      </c>
      <c r="EU1" s="262" t="s">
        <v>578</v>
      </c>
      <c r="EV1" s="262" t="s">
        <v>577</v>
      </c>
      <c r="EW1" s="262" t="s">
        <v>10</v>
      </c>
      <c r="EX1" s="262" t="s">
        <v>8</v>
      </c>
      <c r="EY1" s="262" t="s">
        <v>9</v>
      </c>
      <c r="EZ1" s="262" t="s">
        <v>176</v>
      </c>
      <c r="FA1" s="262" t="s">
        <v>177</v>
      </c>
      <c r="FB1" s="262" t="s">
        <v>96</v>
      </c>
      <c r="FC1" s="262" t="s">
        <v>569</v>
      </c>
      <c r="FD1" s="262" t="s">
        <v>45</v>
      </c>
      <c r="FE1" s="262" t="s">
        <v>238</v>
      </c>
      <c r="FF1" s="262" t="s">
        <v>38</v>
      </c>
      <c r="FG1" s="262" t="s">
        <v>221</v>
      </c>
      <c r="FH1" s="262" t="s">
        <v>46</v>
      </c>
      <c r="FI1" s="262" t="s">
        <v>152</v>
      </c>
      <c r="FJ1" s="262" t="s">
        <v>588</v>
      </c>
      <c r="FK1" s="262" t="s">
        <v>85</v>
      </c>
      <c r="FL1" s="262" t="s">
        <v>86</v>
      </c>
      <c r="FM1" s="262" t="s">
        <v>583</v>
      </c>
      <c r="FN1" s="262" t="s">
        <v>5</v>
      </c>
      <c r="FO1" s="262" t="s">
        <v>95</v>
      </c>
      <c r="FP1" s="262" t="s">
        <v>18</v>
      </c>
      <c r="FQ1" s="263" t="s">
        <v>572</v>
      </c>
    </row>
    <row r="2" spans="1:173" ht="24.95" customHeight="1" thickBot="1" x14ac:dyDescent="0.3">
      <c r="A2" s="29" t="str">
        <f t="shared" ref="A2:A11" si="0">ROW()-1 &amp; "º"</f>
        <v>1º</v>
      </c>
      <c r="B2" s="67" t="str">
        <f t="shared" ref="B2:B11" si="1">DS2</f>
        <v>Aimar</v>
      </c>
      <c r="C2" s="83" t="str">
        <f t="shared" ref="C2:C11" si="2">DR2</f>
        <v>ESP</v>
      </c>
      <c r="D2" s="28" t="str">
        <f t="shared" ref="D2:D11" si="3">DU2</f>
        <v>Osasuna</v>
      </c>
      <c r="E2" s="91" t="str">
        <f t="shared" ref="E2:E11" si="4">DW2</f>
        <v>Pé Direito</v>
      </c>
      <c r="F2" s="155">
        <f t="shared" ref="F2:F11" si="5">IFERROR(SUBSTITUTE(DV2," cm","")/100,0)</f>
        <v>1.77</v>
      </c>
      <c r="G2" s="36">
        <f t="shared" ref="G2:G11" si="6">DT2</f>
        <v>24</v>
      </c>
      <c r="H2" s="297" t="str">
        <f t="shared" ref="H2:H11" si="7">DY2</f>
        <v>240m € p/m</v>
      </c>
      <c r="I2" s="35">
        <f t="shared" ref="I2:I11" si="8">IF(DZ2="-", "Sem Data Final", DZ2)</f>
        <v>48029</v>
      </c>
      <c r="J2" s="28" t="str">
        <f t="shared" ref="J2:J11" si="9">DX2</f>
        <v>60M € - 74M €</v>
      </c>
      <c r="K2" s="89">
        <f t="shared" ref="K2:K11" si="10">AVERAGE(L:L)</f>
        <v>15.507777777777779</v>
      </c>
      <c r="L2" s="134">
        <f t="shared" ref="L2:L11" si="11">IFERROR(EA2/90,0)</f>
        <v>14.477777777777778</v>
      </c>
      <c r="M2" s="134">
        <f t="shared" ref="M2:M11" si="12">IF(ISERROR(FIND("(",EB2)), VALUE(EB2), VALUE(LEFT(EB2,FIND("(",EB2)-2)) + VALUE(MID(EB2,FIND("(",EB2)+1,FIND(")",EB2)-FIND("(",EB2)-1)))</f>
        <v>16</v>
      </c>
      <c r="N2" s="134">
        <f t="shared" ref="N2:N11" si="13">IFERROR(EA2/M2,0)</f>
        <v>81.4375</v>
      </c>
      <c r="O2" s="173">
        <f t="shared" ref="O2:O11" si="14">IFERROR(IF(ISERROR(FIND("(",DZ2)), "100%", TEXT(VALUE(LEFT(DZ2,FIND("(",DZ2)-2)) / (VALUE(LEFT(DZ2,FIND("(",DZ2)-2)) + VALUE(MID(DZ2,FIND("(",DZ2)+1,FIND(")",DZ2)-FIND("(",DZ2)-1))),"0%")),0)*1</f>
        <v>1</v>
      </c>
      <c r="P2" s="6">
        <f t="shared" ref="P2:P11" si="15">FN2</f>
        <v>3</v>
      </c>
      <c r="Q2" s="6">
        <f t="shared" ref="Q2:Q11" si="16">FO2</f>
        <v>2</v>
      </c>
      <c r="R2" s="6">
        <f t="shared" ref="R2:R11" si="17">IFERROR(P2-Q2,0)</f>
        <v>1</v>
      </c>
      <c r="S2" s="21">
        <f t="shared" ref="S2:S11" si="18">IFERROR((Q2*1)/P2,0.0000001)</f>
        <v>0.66666666666666663</v>
      </c>
      <c r="T2" s="402">
        <f t="shared" ref="T2:T11" si="19">EE2</f>
        <v>5</v>
      </c>
      <c r="U2" s="402">
        <f t="shared" ref="U2:U11" si="20">EF2</f>
        <v>1</v>
      </c>
      <c r="V2" s="403">
        <f t="shared" ref="V2:V11" si="21">IFERROR(T2+U2,0)</f>
        <v>6</v>
      </c>
      <c r="W2" s="6">
        <f t="shared" ref="W2:W11" si="22">EX2</f>
        <v>39</v>
      </c>
      <c r="X2" s="5">
        <f t="shared" ref="X2:X11" si="23">W2/L2</f>
        <v>2.6937835763622409</v>
      </c>
      <c r="Y2" s="6">
        <f t="shared" ref="Y2:Y11" si="24">EX2-EY2</f>
        <v>24</v>
      </c>
      <c r="Z2" s="5">
        <f t="shared" ref="Z2:Z11" si="25">Y2/L2</f>
        <v>1.6577129700690714</v>
      </c>
      <c r="AA2" s="6">
        <f t="shared" ref="AA2:AA11" si="26">EY2</f>
        <v>15</v>
      </c>
      <c r="AB2" s="5">
        <f t="shared" ref="AB2:AB11" si="27">AA2/L2</f>
        <v>1.0360706062931695</v>
      </c>
      <c r="AC2" s="6">
        <f t="shared" ref="AC2:AC11" si="28">EX2-EE2</f>
        <v>34</v>
      </c>
      <c r="AD2" s="5">
        <f t="shared" ref="AD2:AD11" si="29">AC2/L2</f>
        <v>2.3484267075978509</v>
      </c>
      <c r="AE2" s="21">
        <f t="shared" ref="AE2:AE11" si="30">EY2/EX2</f>
        <v>0.38461538461538464</v>
      </c>
      <c r="AF2" s="5">
        <f t="shared" ref="AF2:AF11" si="31">IFERROR((EX2-FN2)/(EE2-FO2),100)</f>
        <v>12</v>
      </c>
      <c r="AG2" s="5">
        <f t="shared" ref="AG2:AG11" si="32">IFERROR((EY2-FN2)/(EE2-FO2),0)</f>
        <v>4</v>
      </c>
      <c r="AH2" s="99">
        <f t="shared" ref="AH2:AH11" si="33">IFERROR((EE2-FO2)/(EX2-FN2),0)</f>
        <v>8.3333333333333329E-2</v>
      </c>
      <c r="AI2" s="290">
        <f t="shared" ref="AI2:AI11" si="34">EE2/EX2</f>
        <v>0.12820512820512819</v>
      </c>
      <c r="AJ2" s="326">
        <f t="shared" ref="AJ2:AJ11" si="35">EE2-AK2-AL2</f>
        <v>2</v>
      </c>
      <c r="AK2" s="325">
        <f t="shared" ref="AK2:AK11" si="36">EJ2</f>
        <v>1</v>
      </c>
      <c r="AL2" s="326">
        <f t="shared" ref="AL2:AL11" si="37">FO2</f>
        <v>2</v>
      </c>
      <c r="AM2" s="329">
        <f t="shared" ref="AM2:AM11" si="38">IFERROR(AK2/L2,0)</f>
        <v>6.9071373752877974E-2</v>
      </c>
      <c r="AN2" s="349">
        <f t="shared" ref="AN2:AN11" si="39">IFERROR(FJ2*L2,0)</f>
        <v>14.477777777777778</v>
      </c>
      <c r="AO2" s="329">
        <f t="shared" ref="AO2:AO11" si="40">IFERROR(FJ2,0)</f>
        <v>1</v>
      </c>
      <c r="AP2" s="350">
        <f t="shared" ref="AP2:AP11" si="41">IFERROR(MIN(AM2/AO2,1),0)</f>
        <v>6.9071373752877974E-2</v>
      </c>
      <c r="AQ2" s="5">
        <f t="shared" ref="AQ2:AQ11" si="42">IFERROR(SUBSTITUTE(EL2,".","," )*1,0)</f>
        <v>6.75</v>
      </c>
      <c r="AR2" s="5">
        <f t="shared" ref="AR2:AR11" si="43">IFERROR(AQ2/L2,0)</f>
        <v>0.46623177283192629</v>
      </c>
      <c r="AS2" s="5">
        <f t="shared" ref="AS2:AS11" si="44">(AQ2)-(FN2*0.79)</f>
        <v>4.38</v>
      </c>
      <c r="AT2" s="5">
        <f t="shared" ref="AT2:AT11" si="45">IFERROR((AS2/L2),0)</f>
        <v>0.30253261703760553</v>
      </c>
      <c r="AU2" s="5">
        <f t="shared" ref="AU2:AU11" si="46">IFERROR(SUBSTITUTE(EM2,".","," )*1,0)</f>
        <v>2.04</v>
      </c>
      <c r="AV2" s="5">
        <f t="shared" ref="AV2:AV11" si="47">IFERROR(AU2/L2,0)</f>
        <v>0.14090560245587108</v>
      </c>
      <c r="AW2" s="5">
        <f t="shared" ref="AW2:AW11" si="48">AU2+AS2</f>
        <v>6.42</v>
      </c>
      <c r="AX2" s="5">
        <f t="shared" ref="AX2:AX11" si="49">IFERROR(AW2/L2,0)</f>
        <v>0.44343821949347656</v>
      </c>
      <c r="AY2" s="2">
        <f t="shared" ref="AY2:AY11" si="50">EC2</f>
        <v>3</v>
      </c>
      <c r="AZ2" s="5">
        <f t="shared" ref="AZ2:AZ11" si="51">IFERROR(EA2/AY2,5000)</f>
        <v>434.33333333333331</v>
      </c>
      <c r="BA2" s="21">
        <f t="shared" ref="BA2:BA11" si="52">IFERROR((AY2*1)/L2,0)</f>
        <v>0.20721412125863392</v>
      </c>
      <c r="BB2" s="195">
        <f t="shared" ref="BB2:BB11" si="53">IFERROR(FC2+FF2+FD2+(FI2*L2),0)</f>
        <v>176.40444444444444</v>
      </c>
      <c r="BC2" s="5">
        <f t="shared" ref="BC2:BC11" si="54">IFERROR(BB2/L2,0)</f>
        <v>12.18449731389102</v>
      </c>
      <c r="BD2" s="6">
        <f t="shared" ref="BD2:BD11" si="55">IFERROR(FH2+FF2+FE2+FG2+(FD2*0.5),0)</f>
        <v>45.5</v>
      </c>
      <c r="BE2" s="5">
        <f t="shared" ref="BE2:BE11" si="56">IFERROR(BD2/L2,0)</f>
        <v>3.1427475057559477</v>
      </c>
      <c r="BF2" s="6">
        <f t="shared" ref="BF2:BF11" si="57">IFERROR(FC2+FA2+(FD2*0.5),0)</f>
        <v>30.5</v>
      </c>
      <c r="BG2" s="5">
        <f t="shared" ref="BG2:BG11" si="58">IFERROR(BF2/L2,0)</f>
        <v>2.1066768994627783</v>
      </c>
      <c r="BH2" s="6">
        <f t="shared" ref="BH2:BH11" si="59">FB2+EN2</f>
        <v>27</v>
      </c>
      <c r="BI2" s="5">
        <f t="shared" ref="BI2:BI11" si="60">IFERROR(BH2/L2,0)</f>
        <v>1.8649270913277052</v>
      </c>
      <c r="BJ2" s="6">
        <f t="shared" ref="BJ2:BJ11" si="61">FC2</f>
        <v>12</v>
      </c>
      <c r="BK2" s="5">
        <f t="shared" ref="BK2:BK11" si="62">BJ2/L2</f>
        <v>0.82885648503453568</v>
      </c>
      <c r="BL2" s="6">
        <f t="shared" ref="BL2:BL11" si="63">IFERROR(BH2-BJ2,0)</f>
        <v>15</v>
      </c>
      <c r="BM2" s="5">
        <f t="shared" ref="BM2:BM11" si="64">BL2/L2</f>
        <v>1.0360706062931695</v>
      </c>
      <c r="BN2" s="20">
        <f t="shared" ref="BN2:BN11" si="65">IFERROR(BJ2/BH2,0)</f>
        <v>0.44444444444444442</v>
      </c>
      <c r="BO2" s="2">
        <f t="shared" ref="BO2:BO11" si="66">EN2</f>
        <v>9</v>
      </c>
      <c r="BP2" s="5">
        <f t="shared" ref="BP2:BP11" si="67">IFERROR(BO2/L2,0)</f>
        <v>0.62164236377590176</v>
      </c>
      <c r="BQ2" s="2">
        <f t="shared" ref="BQ2:BQ11" si="68">IFERROR(BO2-(BX2+BY2),0)</f>
        <v>9</v>
      </c>
      <c r="BR2" s="12">
        <f t="shared" ref="BR2:BR11" si="69">IFERROR((BZ2*1)/BO2,0)</f>
        <v>0</v>
      </c>
      <c r="BS2" s="6">
        <f t="shared" ref="BS2:BS11" si="70">EZ2</f>
        <v>115</v>
      </c>
      <c r="BT2" s="5">
        <f t="shared" ref="BT2:BT11" si="71">IFERROR(BS2/L2,0)</f>
        <v>7.9432079815809669</v>
      </c>
      <c r="BU2" s="6">
        <f t="shared" ref="BU2:BU11" si="72">FA2</f>
        <v>18</v>
      </c>
      <c r="BV2" s="5">
        <f t="shared" ref="BV2:BV11" si="73">IFERROR(BU2/L2,0)</f>
        <v>1.2432847275518035</v>
      </c>
      <c r="BW2" s="21">
        <f t="shared" ref="BW2:BW11" si="74">IFERROR((BU2*1)/BS2,0)</f>
        <v>0.15652173913043479</v>
      </c>
      <c r="BX2" s="2">
        <f t="shared" ref="BX2:BX11" si="75">EG2</f>
        <v>0</v>
      </c>
      <c r="BY2" s="2">
        <f t="shared" ref="BY2:BY11" si="76">EH2</f>
        <v>0</v>
      </c>
      <c r="BZ2" s="2">
        <f t="shared" ref="BZ2:BZ11" si="77">IFERROR(EG2+EH2,0)</f>
        <v>0</v>
      </c>
      <c r="CA2" s="2">
        <f t="shared" ref="CA2:CA11" si="78">IFERROR((BO2+FD2+FC2),0)</f>
        <v>22</v>
      </c>
      <c r="CB2" s="2">
        <f t="shared" ref="CB2:CB11" si="79">IFERROR(CA2-BO2,0)</f>
        <v>13</v>
      </c>
      <c r="CC2" s="21">
        <f t="shared" ref="CC2:CC11" si="80">IFERROR((CB2*1)/CA2,0)</f>
        <v>0.59090909090909094</v>
      </c>
      <c r="CD2" s="21">
        <f t="shared" ref="CD2:CD11" si="81">IFERROR((BQ2)/BO2,0)</f>
        <v>1</v>
      </c>
      <c r="CE2" s="6">
        <f t="shared" ref="CE2:CE11" si="82">FD2</f>
        <v>1</v>
      </c>
      <c r="CF2" s="5">
        <f t="shared" ref="CF2:CF11" si="83">IFERROR(CE2/L2,0)</f>
        <v>6.9071373752877974E-2</v>
      </c>
      <c r="CG2" s="167">
        <f t="shared" ref="CG2:CG11" si="84">FK2</f>
        <v>16</v>
      </c>
      <c r="CH2" s="167">
        <f t="shared" ref="CH2:CH11" si="85">FL2</f>
        <v>5</v>
      </c>
      <c r="CI2" s="168">
        <f t="shared" ref="CI2:CI11" si="86">IFERROR((CH2*1)/CG2,0)</f>
        <v>0.3125</v>
      </c>
      <c r="CJ2" s="6">
        <f t="shared" ref="CJ2:CJ11" si="87">ES2</f>
        <v>785</v>
      </c>
      <c r="CK2" s="6">
        <f t="shared" ref="CK2:CK11" si="88">ET2</f>
        <v>682</v>
      </c>
      <c r="CL2" s="5">
        <f t="shared" ref="CL2:CL11" si="89">IFERROR((CK2-CM2)/(EA2/90),0)</f>
        <v>39.99232540291635</v>
      </c>
      <c r="CM2" s="6">
        <f t="shared" ref="CM2:CM11" si="90">IFERROR(CJ2-CK2,0)</f>
        <v>103</v>
      </c>
      <c r="CN2" s="21">
        <f t="shared" ref="CN2:CN11" si="91">IFERROR(CK2/CJ2,0)</f>
        <v>0.86878980891719748</v>
      </c>
      <c r="CO2" s="6">
        <f t="shared" ref="CO2:CO11" si="92">EP2</f>
        <v>40</v>
      </c>
      <c r="CP2" s="5">
        <f t="shared" ref="CP2:CP11" si="93">IFERROR(CO2/L2,0)</f>
        <v>2.7628549501151189</v>
      </c>
      <c r="CQ2" s="6">
        <f t="shared" ref="CQ2:CQ11" si="94">EQ2</f>
        <v>12</v>
      </c>
      <c r="CR2" s="6">
        <f t="shared" ref="CR2:CR11" si="95">IFERROR(EP2-EQ2,0)</f>
        <v>28</v>
      </c>
      <c r="CS2" s="20">
        <f t="shared" ref="CS2:CS11" si="96">IFERROR((EQ2*1)/EP2,0)</f>
        <v>0.3</v>
      </c>
      <c r="CT2" s="5">
        <f t="shared" ref="CT2:CT11" si="97">IFERROR((EE2+EF2+EO2+FC2+FF2+FD2+EP2+EW2+EI2+EU2+ES2)/L2,0)</f>
        <v>66.653875671527246</v>
      </c>
      <c r="CU2" s="6">
        <f t="shared" ref="CU2:CU11" si="98">IFERROR((AU2+BH2+CA2+CJ2+CO2+EX2+EZ2+FK2),0)</f>
        <v>1046.04</v>
      </c>
      <c r="CV2" s="5">
        <f t="shared" ref="CV2:CV11" si="99">IFERROR(CU2/L2,0)</f>
        <v>72.251419800460468</v>
      </c>
      <c r="CW2" s="6">
        <f t="shared" ref="CW2:CW11" si="100">IFERROR((T2*1.5)+(BJ2+CB2+CK2+CQ2+FA2+FL2)+(EY2*0.75)+(EE2*0.75),0)</f>
        <v>764.5</v>
      </c>
      <c r="CX2" s="5">
        <f t="shared" ref="CX2:CX11" si="101">IFERROR(CW2/L2,0)</f>
        <v>52.805065234075208</v>
      </c>
      <c r="CY2" s="21">
        <f t="shared" ref="CY2:CY11" si="102">IFERROR((CW2*1)/CU2,0)</f>
        <v>0.73085159267332034</v>
      </c>
      <c r="CZ2" s="6">
        <f t="shared" ref="CZ2:CZ11" si="103">IFERROR(EU2+EI2+AU2+FL2,0)</f>
        <v>44.04</v>
      </c>
      <c r="DA2" s="5">
        <f t="shared" ref="DA2:DA11" si="104">IFERROR(CZ2/L2,0)</f>
        <v>3.0419033000767457</v>
      </c>
      <c r="DB2" s="6">
        <f t="shared" ref="DB2:DB11" si="105">EU2</f>
        <v>29</v>
      </c>
      <c r="DC2" s="5">
        <f t="shared" ref="DC2:DC11" si="106">IFERROR(DB2/L2,0)</f>
        <v>2.0030698388334613</v>
      </c>
      <c r="DD2" s="5">
        <f t="shared" ref="DD2:DD11" si="107">IFERROR(EU2/EF2,25)</f>
        <v>29</v>
      </c>
      <c r="DE2" s="21">
        <f t="shared" ref="DE2:DE11" si="108">IFERROR(EF2/EU2,0)</f>
        <v>3.4482758620689655E-2</v>
      </c>
      <c r="DF2" s="5">
        <f t="shared" ref="DF2:DF11" si="109">IFERROR(AU2/EU2,0)</f>
        <v>7.0344827586206901E-2</v>
      </c>
      <c r="DG2" s="287">
        <f t="shared" ref="DG2:DG11" si="110">IFERROR(AU2/EU2,0)</f>
        <v>7.0344827586206901E-2</v>
      </c>
      <c r="DH2" s="6">
        <f t="shared" ref="DH2:DH11" si="111">IFERROR(EX2+EU2+EI2+EW2+FL2,0)</f>
        <v>115</v>
      </c>
      <c r="DI2" s="5">
        <f t="shared" ref="DI2:DI11" si="112">IFERROR(DH2/L2,0)</f>
        <v>7.9432079815809669</v>
      </c>
      <c r="DJ2" s="142">
        <f t="shared" ref="DJ2:DJ11" si="113">IFERROR(VALUE(SUBSTITUTE(FP2, " km", "")),0)</f>
        <v>183.8</v>
      </c>
      <c r="DK2" s="5">
        <f t="shared" ref="DK2:DK11" si="114">IFERROR(DJ2/L2,0)</f>
        <v>12.695318495778972</v>
      </c>
      <c r="DL2" s="390">
        <f t="shared" ref="DL2:DL11" si="115">(DJ2/100)*10+(DK2/12)*10+(EZ2/100)*10+(FA2/50)*10+(FC2*10)+(FD2/0.1)*10+(ED2*-10)</f>
        <v>264.05943207981579</v>
      </c>
      <c r="DM2" s="169">
        <f t="shared" ref="DM2:DM11" si="116">IFERROR((EX2-EY2)+(ES2-ET2),0)</f>
        <v>127</v>
      </c>
      <c r="DN2" s="107">
        <f t="shared" ref="DN2:DN11" si="117">IFERROR(DM2/L2,0)</f>
        <v>8.7720644666155021</v>
      </c>
      <c r="DO2" s="107">
        <f t="shared" ref="DO2:DO11" si="118">EK2</f>
        <v>15.1</v>
      </c>
      <c r="DP2" s="107">
        <f t="shared" ref="DP2:DP11" si="119">IFERROR(VALUE(SUBSTITUTE(FQ2, ".", ",")),0)</f>
        <v>7.17</v>
      </c>
      <c r="DQ2" s="268"/>
      <c r="DR2" s="264" t="s">
        <v>613</v>
      </c>
      <c r="DS2" s="264" t="s">
        <v>620</v>
      </c>
      <c r="DT2" s="264">
        <v>24</v>
      </c>
      <c r="DU2" s="264" t="s">
        <v>619</v>
      </c>
      <c r="DV2" s="264" t="s">
        <v>605</v>
      </c>
      <c r="DW2" s="264" t="s">
        <v>573</v>
      </c>
      <c r="DX2" s="264" t="s">
        <v>655</v>
      </c>
      <c r="DY2" s="264" t="s">
        <v>656</v>
      </c>
      <c r="DZ2" s="265">
        <v>48029</v>
      </c>
      <c r="EA2" s="264">
        <v>1303</v>
      </c>
      <c r="EB2" s="264" t="s">
        <v>650</v>
      </c>
      <c r="EC2" s="264">
        <v>3</v>
      </c>
      <c r="ED2" s="264">
        <v>0</v>
      </c>
      <c r="EE2" s="264">
        <v>5</v>
      </c>
      <c r="EF2" s="264">
        <v>1</v>
      </c>
      <c r="EG2" s="264">
        <v>0</v>
      </c>
      <c r="EH2" s="264">
        <v>0</v>
      </c>
      <c r="EI2" s="264">
        <v>8</v>
      </c>
      <c r="EJ2" s="264">
        <v>1</v>
      </c>
      <c r="EK2" s="264">
        <v>15.1</v>
      </c>
      <c r="EL2" s="264" t="s">
        <v>678</v>
      </c>
      <c r="EM2" s="264" t="s">
        <v>679</v>
      </c>
      <c r="EN2" s="264">
        <v>9</v>
      </c>
      <c r="EO2" s="264">
        <v>14</v>
      </c>
      <c r="EP2" s="264">
        <v>40</v>
      </c>
      <c r="EQ2" s="264">
        <v>12</v>
      </c>
      <c r="ER2" s="264">
        <v>0</v>
      </c>
      <c r="ES2" s="264">
        <v>785</v>
      </c>
      <c r="ET2" s="264">
        <v>682</v>
      </c>
      <c r="EU2" s="264">
        <v>29</v>
      </c>
      <c r="EV2" s="264">
        <v>50</v>
      </c>
      <c r="EW2" s="264">
        <v>34</v>
      </c>
      <c r="EX2" s="264">
        <v>39</v>
      </c>
      <c r="EY2" s="264">
        <v>15</v>
      </c>
      <c r="EZ2" s="264">
        <v>115</v>
      </c>
      <c r="FA2" s="264">
        <v>18</v>
      </c>
      <c r="FB2" s="264">
        <v>18</v>
      </c>
      <c r="FC2" s="264">
        <v>12</v>
      </c>
      <c r="FD2" s="264">
        <v>1</v>
      </c>
      <c r="FE2" s="264">
        <v>2</v>
      </c>
      <c r="FF2" s="264">
        <v>36</v>
      </c>
      <c r="FG2" s="264">
        <v>0</v>
      </c>
      <c r="FH2" s="264">
        <v>7</v>
      </c>
      <c r="FI2" s="264">
        <v>8.8000000000000007</v>
      </c>
      <c r="FJ2" s="264">
        <v>1</v>
      </c>
      <c r="FK2" s="264">
        <v>16</v>
      </c>
      <c r="FL2" s="264">
        <v>5</v>
      </c>
      <c r="FM2" s="264">
        <v>3</v>
      </c>
      <c r="FN2" s="264">
        <v>3</v>
      </c>
      <c r="FO2" s="264">
        <v>2</v>
      </c>
      <c r="FP2" s="264" t="s">
        <v>657</v>
      </c>
      <c r="FQ2" s="269">
        <v>7.17</v>
      </c>
    </row>
    <row r="3" spans="1:173" ht="24.95" customHeight="1" thickBot="1" x14ac:dyDescent="0.3">
      <c r="A3" s="29" t="str">
        <f t="shared" si="0"/>
        <v>2º</v>
      </c>
      <c r="B3" s="67" t="str">
        <f t="shared" si="1"/>
        <v>Andy Escudero</v>
      </c>
      <c r="C3" s="83" t="str">
        <f t="shared" si="2"/>
        <v>ESP</v>
      </c>
      <c r="D3" s="28" t="str">
        <f t="shared" si="3"/>
        <v>Andorra</v>
      </c>
      <c r="E3" s="91" t="str">
        <f t="shared" si="4"/>
        <v>Pé Esquerdo</v>
      </c>
      <c r="F3" s="155">
        <f t="shared" si="5"/>
        <v>1.76</v>
      </c>
      <c r="G3" s="36">
        <f t="shared" si="6"/>
        <v>27</v>
      </c>
      <c r="H3" s="297" t="str">
        <f t="shared" si="7"/>
        <v>17,25m € p/m</v>
      </c>
      <c r="I3" s="35">
        <f t="shared" si="8"/>
        <v>47299</v>
      </c>
      <c r="J3" s="28" t="str">
        <f t="shared" si="9"/>
        <v>120m € - 1,2M €</v>
      </c>
      <c r="K3" s="89">
        <f t="shared" si="10"/>
        <v>15.507777777777779</v>
      </c>
      <c r="L3" s="134">
        <f t="shared" si="11"/>
        <v>13.722222222222221</v>
      </c>
      <c r="M3" s="134">
        <f t="shared" si="12"/>
        <v>17</v>
      </c>
      <c r="N3" s="134">
        <f t="shared" si="13"/>
        <v>72.647058823529406</v>
      </c>
      <c r="O3" s="173">
        <f t="shared" si="14"/>
        <v>1</v>
      </c>
      <c r="P3" s="6">
        <f t="shared" si="15"/>
        <v>0</v>
      </c>
      <c r="Q3" s="6">
        <f t="shared" si="16"/>
        <v>0</v>
      </c>
      <c r="R3" s="6">
        <f t="shared" si="17"/>
        <v>0</v>
      </c>
      <c r="S3" s="21">
        <f t="shared" si="18"/>
        <v>9.9999999999999995E-8</v>
      </c>
      <c r="T3" s="402">
        <f t="shared" si="19"/>
        <v>4</v>
      </c>
      <c r="U3" s="402">
        <f t="shared" si="20"/>
        <v>1</v>
      </c>
      <c r="V3" s="403">
        <f t="shared" si="21"/>
        <v>5</v>
      </c>
      <c r="W3" s="6">
        <f t="shared" si="22"/>
        <v>18</v>
      </c>
      <c r="X3" s="5">
        <f t="shared" si="23"/>
        <v>1.3117408906882593</v>
      </c>
      <c r="Y3" s="6">
        <f t="shared" si="24"/>
        <v>7</v>
      </c>
      <c r="Z3" s="5">
        <f t="shared" si="25"/>
        <v>0.51012145748987858</v>
      </c>
      <c r="AA3" s="6">
        <f t="shared" si="26"/>
        <v>11</v>
      </c>
      <c r="AB3" s="5">
        <f t="shared" si="27"/>
        <v>0.80161943319838058</v>
      </c>
      <c r="AC3" s="6">
        <f t="shared" si="28"/>
        <v>14</v>
      </c>
      <c r="AD3" s="5">
        <f t="shared" si="29"/>
        <v>1.0202429149797572</v>
      </c>
      <c r="AE3" s="21">
        <f t="shared" si="30"/>
        <v>0.61111111111111116</v>
      </c>
      <c r="AF3" s="5">
        <f t="shared" si="31"/>
        <v>4.5</v>
      </c>
      <c r="AG3" s="5">
        <f t="shared" si="32"/>
        <v>2.75</v>
      </c>
      <c r="AH3" s="99">
        <f t="shared" si="33"/>
        <v>0.22222222222222221</v>
      </c>
      <c r="AI3" s="290">
        <f t="shared" si="34"/>
        <v>0.22222222222222221</v>
      </c>
      <c r="AJ3" s="326">
        <f t="shared" si="35"/>
        <v>3</v>
      </c>
      <c r="AK3" s="325">
        <f t="shared" si="36"/>
        <v>1</v>
      </c>
      <c r="AL3" s="326">
        <f t="shared" si="37"/>
        <v>0</v>
      </c>
      <c r="AM3" s="329">
        <f t="shared" si="38"/>
        <v>7.2874493927125514E-2</v>
      </c>
      <c r="AN3" s="349">
        <f t="shared" si="39"/>
        <v>5.4888888888888889</v>
      </c>
      <c r="AO3" s="329">
        <f t="shared" si="40"/>
        <v>0.4</v>
      </c>
      <c r="AP3" s="350">
        <f t="shared" si="41"/>
        <v>0.18218623481781376</v>
      </c>
      <c r="AQ3" s="5">
        <f t="shared" si="42"/>
        <v>2.76</v>
      </c>
      <c r="AR3" s="5">
        <f t="shared" si="43"/>
        <v>0.20113360323886639</v>
      </c>
      <c r="AS3" s="5">
        <f t="shared" si="44"/>
        <v>2.76</v>
      </c>
      <c r="AT3" s="5">
        <f t="shared" si="45"/>
        <v>0.20113360323886639</v>
      </c>
      <c r="AU3" s="5">
        <f t="shared" si="46"/>
        <v>2.94</v>
      </c>
      <c r="AV3" s="5">
        <f t="shared" si="47"/>
        <v>0.21425101214574899</v>
      </c>
      <c r="AW3" s="5">
        <f t="shared" si="48"/>
        <v>5.6999999999999993</v>
      </c>
      <c r="AX3" s="5">
        <f t="shared" si="49"/>
        <v>0.41538461538461535</v>
      </c>
      <c r="AY3" s="2">
        <f t="shared" si="50"/>
        <v>3</v>
      </c>
      <c r="AZ3" s="5">
        <f t="shared" si="51"/>
        <v>411.66666666666669</v>
      </c>
      <c r="BA3" s="21">
        <f t="shared" si="52"/>
        <v>0.21862348178137653</v>
      </c>
      <c r="BB3" s="195">
        <f t="shared" si="53"/>
        <v>120.98333333333332</v>
      </c>
      <c r="BC3" s="5">
        <f t="shared" si="54"/>
        <v>8.8165991902833998</v>
      </c>
      <c r="BD3" s="6">
        <f t="shared" si="55"/>
        <v>39</v>
      </c>
      <c r="BE3" s="5">
        <f t="shared" si="56"/>
        <v>2.8421052631578947</v>
      </c>
      <c r="BF3" s="6">
        <f t="shared" si="57"/>
        <v>46</v>
      </c>
      <c r="BG3" s="5">
        <f t="shared" si="58"/>
        <v>3.3522267206477734</v>
      </c>
      <c r="BH3" s="6">
        <f t="shared" si="59"/>
        <v>35</v>
      </c>
      <c r="BI3" s="5">
        <f t="shared" si="60"/>
        <v>2.550607287449393</v>
      </c>
      <c r="BJ3" s="6">
        <f t="shared" si="61"/>
        <v>20</v>
      </c>
      <c r="BK3" s="5">
        <f t="shared" si="62"/>
        <v>1.4574898785425101</v>
      </c>
      <c r="BL3" s="6">
        <f t="shared" si="63"/>
        <v>15</v>
      </c>
      <c r="BM3" s="5">
        <f t="shared" si="64"/>
        <v>1.0931174089068827</v>
      </c>
      <c r="BN3" s="20">
        <f t="shared" si="65"/>
        <v>0.5714285714285714</v>
      </c>
      <c r="BO3" s="2">
        <f t="shared" si="66"/>
        <v>14</v>
      </c>
      <c r="BP3" s="5">
        <f t="shared" si="67"/>
        <v>1.0202429149797572</v>
      </c>
      <c r="BQ3" s="2">
        <f t="shared" si="68"/>
        <v>14</v>
      </c>
      <c r="BR3" s="12">
        <f t="shared" si="69"/>
        <v>0</v>
      </c>
      <c r="BS3" s="6">
        <f t="shared" si="70"/>
        <v>137</v>
      </c>
      <c r="BT3" s="5">
        <f t="shared" si="71"/>
        <v>9.9838056680161955</v>
      </c>
      <c r="BU3" s="6">
        <f t="shared" si="72"/>
        <v>26</v>
      </c>
      <c r="BV3" s="5">
        <f t="shared" si="73"/>
        <v>1.8947368421052633</v>
      </c>
      <c r="BW3" s="21">
        <f t="shared" si="74"/>
        <v>0.18978102189781021</v>
      </c>
      <c r="BX3" s="2">
        <f t="shared" si="75"/>
        <v>0</v>
      </c>
      <c r="BY3" s="2">
        <f t="shared" si="76"/>
        <v>0</v>
      </c>
      <c r="BZ3" s="2">
        <f t="shared" si="77"/>
        <v>0</v>
      </c>
      <c r="CA3" s="2">
        <f t="shared" si="78"/>
        <v>34</v>
      </c>
      <c r="CB3" s="2">
        <f t="shared" si="79"/>
        <v>20</v>
      </c>
      <c r="CC3" s="21">
        <f t="shared" si="80"/>
        <v>0.58823529411764708</v>
      </c>
      <c r="CD3" s="21">
        <f t="shared" si="81"/>
        <v>1</v>
      </c>
      <c r="CE3" s="6">
        <f t="shared" si="82"/>
        <v>0</v>
      </c>
      <c r="CF3" s="5">
        <f t="shared" si="83"/>
        <v>0</v>
      </c>
      <c r="CG3" s="167">
        <f t="shared" si="84"/>
        <v>43</v>
      </c>
      <c r="CH3" s="167">
        <f t="shared" si="85"/>
        <v>6</v>
      </c>
      <c r="CI3" s="168">
        <f t="shared" si="86"/>
        <v>0.13953488372093023</v>
      </c>
      <c r="CJ3" s="6">
        <f t="shared" si="87"/>
        <v>578</v>
      </c>
      <c r="CK3" s="6">
        <f t="shared" si="88"/>
        <v>510</v>
      </c>
      <c r="CL3" s="5">
        <f t="shared" si="89"/>
        <v>32.210526315789473</v>
      </c>
      <c r="CM3" s="6">
        <f t="shared" si="90"/>
        <v>68</v>
      </c>
      <c r="CN3" s="21">
        <f t="shared" si="91"/>
        <v>0.88235294117647056</v>
      </c>
      <c r="CO3" s="6">
        <f t="shared" si="92"/>
        <v>51</v>
      </c>
      <c r="CP3" s="5">
        <f t="shared" si="93"/>
        <v>3.716599190283401</v>
      </c>
      <c r="CQ3" s="6">
        <f t="shared" si="94"/>
        <v>20</v>
      </c>
      <c r="CR3" s="6">
        <f t="shared" si="95"/>
        <v>31</v>
      </c>
      <c r="CS3" s="20">
        <f t="shared" si="96"/>
        <v>0.39215686274509803</v>
      </c>
      <c r="CT3" s="5">
        <f t="shared" si="97"/>
        <v>58.955465587044536</v>
      </c>
      <c r="CU3" s="6">
        <f t="shared" si="98"/>
        <v>898.94</v>
      </c>
      <c r="CV3" s="5">
        <f t="shared" si="99"/>
        <v>65.50979757085021</v>
      </c>
      <c r="CW3" s="6">
        <f t="shared" si="100"/>
        <v>619.25</v>
      </c>
      <c r="CX3" s="5">
        <f t="shared" si="101"/>
        <v>45.127530364372475</v>
      </c>
      <c r="CY3" s="21">
        <f t="shared" si="102"/>
        <v>0.68886688766769744</v>
      </c>
      <c r="CZ3" s="6">
        <f t="shared" si="103"/>
        <v>44.94</v>
      </c>
      <c r="DA3" s="5">
        <f t="shared" si="104"/>
        <v>3.2749797570850201</v>
      </c>
      <c r="DB3" s="6">
        <f t="shared" si="105"/>
        <v>30</v>
      </c>
      <c r="DC3" s="5">
        <f t="shared" si="106"/>
        <v>2.1862348178137654</v>
      </c>
      <c r="DD3" s="5">
        <f t="shared" si="107"/>
        <v>30</v>
      </c>
      <c r="DE3" s="21">
        <f t="shared" si="108"/>
        <v>3.3333333333333333E-2</v>
      </c>
      <c r="DF3" s="5">
        <f t="shared" si="109"/>
        <v>9.8000000000000004E-2</v>
      </c>
      <c r="DG3" s="287">
        <f t="shared" si="110"/>
        <v>9.8000000000000004E-2</v>
      </c>
      <c r="DH3" s="6">
        <f t="shared" si="111"/>
        <v>125</v>
      </c>
      <c r="DI3" s="5">
        <f t="shared" si="112"/>
        <v>9.1093117408906892</v>
      </c>
      <c r="DJ3" s="142">
        <f t="shared" si="113"/>
        <v>146.1</v>
      </c>
      <c r="DK3" s="5">
        <f t="shared" si="114"/>
        <v>10.646963562753037</v>
      </c>
      <c r="DL3" s="390">
        <f t="shared" si="115"/>
        <v>242.38246963562753</v>
      </c>
      <c r="DM3" s="169">
        <f t="shared" si="116"/>
        <v>75</v>
      </c>
      <c r="DN3" s="107">
        <f t="shared" si="117"/>
        <v>5.4655870445344137</v>
      </c>
      <c r="DO3" s="107">
        <f t="shared" si="118"/>
        <v>19</v>
      </c>
      <c r="DP3" s="107">
        <f t="shared" si="119"/>
        <v>7.08</v>
      </c>
      <c r="DQ3" s="270"/>
      <c r="DR3" s="266" t="s">
        <v>613</v>
      </c>
      <c r="DS3" s="266" t="s">
        <v>663</v>
      </c>
      <c r="DT3" s="266">
        <v>27</v>
      </c>
      <c r="DU3" s="266" t="s">
        <v>625</v>
      </c>
      <c r="DV3" s="266" t="s">
        <v>545</v>
      </c>
      <c r="DW3" s="266" t="s">
        <v>579</v>
      </c>
      <c r="DX3" s="266" t="s">
        <v>624</v>
      </c>
      <c r="DY3" s="266" t="s">
        <v>640</v>
      </c>
      <c r="DZ3" s="267">
        <v>47299</v>
      </c>
      <c r="EA3" s="266">
        <v>1235</v>
      </c>
      <c r="EB3" s="266" t="s">
        <v>626</v>
      </c>
      <c r="EC3" s="266">
        <v>3</v>
      </c>
      <c r="ED3" s="266">
        <v>0</v>
      </c>
      <c r="EE3" s="266">
        <v>4</v>
      </c>
      <c r="EF3" s="266">
        <v>1</v>
      </c>
      <c r="EG3" s="266">
        <v>0</v>
      </c>
      <c r="EH3" s="266">
        <v>0</v>
      </c>
      <c r="EI3" s="266">
        <v>6</v>
      </c>
      <c r="EJ3" s="266">
        <v>1</v>
      </c>
      <c r="EK3" s="266">
        <v>19</v>
      </c>
      <c r="EL3" s="266" t="s">
        <v>682</v>
      </c>
      <c r="EM3" s="266" t="s">
        <v>683</v>
      </c>
      <c r="EN3" s="266">
        <v>14</v>
      </c>
      <c r="EO3" s="266">
        <v>23</v>
      </c>
      <c r="EP3" s="266">
        <v>51</v>
      </c>
      <c r="EQ3" s="266">
        <v>20</v>
      </c>
      <c r="ER3" s="266">
        <v>0</v>
      </c>
      <c r="ES3" s="266">
        <v>578</v>
      </c>
      <c r="ET3" s="266">
        <v>510</v>
      </c>
      <c r="EU3" s="266">
        <v>30</v>
      </c>
      <c r="EV3" s="266">
        <v>54</v>
      </c>
      <c r="EW3" s="266">
        <v>65</v>
      </c>
      <c r="EX3" s="266">
        <v>18</v>
      </c>
      <c r="EY3" s="266">
        <v>11</v>
      </c>
      <c r="EZ3" s="266">
        <v>137</v>
      </c>
      <c r="FA3" s="266">
        <v>26</v>
      </c>
      <c r="FB3" s="266">
        <v>21</v>
      </c>
      <c r="FC3" s="266">
        <v>20</v>
      </c>
      <c r="FD3" s="266">
        <v>0</v>
      </c>
      <c r="FE3" s="266">
        <v>1</v>
      </c>
      <c r="FF3" s="266">
        <v>31</v>
      </c>
      <c r="FG3" s="266">
        <v>0</v>
      </c>
      <c r="FH3" s="266">
        <v>7</v>
      </c>
      <c r="FI3" s="266">
        <v>5.0999999999999996</v>
      </c>
      <c r="FJ3" s="266">
        <v>0.4</v>
      </c>
      <c r="FK3" s="266">
        <v>43</v>
      </c>
      <c r="FL3" s="266">
        <v>6</v>
      </c>
      <c r="FM3" s="266">
        <v>0</v>
      </c>
      <c r="FN3" s="266">
        <v>0</v>
      </c>
      <c r="FO3" s="266">
        <v>0</v>
      </c>
      <c r="FP3" s="266" t="s">
        <v>658</v>
      </c>
      <c r="FQ3" s="271">
        <v>7.08</v>
      </c>
    </row>
    <row r="4" spans="1:173" ht="24.95" customHeight="1" thickBot="1" x14ac:dyDescent="0.3">
      <c r="A4" s="29" t="str">
        <f t="shared" si="0"/>
        <v>3º</v>
      </c>
      <c r="B4" s="67" t="str">
        <f t="shared" si="1"/>
        <v>Bryan Cristante</v>
      </c>
      <c r="C4" s="83" t="str">
        <f t="shared" si="2"/>
        <v>ITA</v>
      </c>
      <c r="D4" s="28" t="str">
        <f t="shared" si="3"/>
        <v>Roma</v>
      </c>
      <c r="E4" s="91" t="str">
        <f t="shared" si="4"/>
        <v>Pé Direito</v>
      </c>
      <c r="F4" s="155">
        <f t="shared" si="5"/>
        <v>1.86</v>
      </c>
      <c r="G4" s="36">
        <f t="shared" si="6"/>
        <v>31</v>
      </c>
      <c r="H4" s="297" t="str">
        <f t="shared" si="7"/>
        <v>591m € p/m</v>
      </c>
      <c r="I4" s="35">
        <f t="shared" si="8"/>
        <v>46934</v>
      </c>
      <c r="J4" s="28" t="str">
        <f t="shared" si="9"/>
        <v>Não está à venda</v>
      </c>
      <c r="K4" s="89">
        <f t="shared" si="10"/>
        <v>15.507777777777779</v>
      </c>
      <c r="L4" s="134">
        <f t="shared" si="11"/>
        <v>16.577777777777779</v>
      </c>
      <c r="M4" s="134">
        <f t="shared" si="12"/>
        <v>17</v>
      </c>
      <c r="N4" s="134">
        <f t="shared" si="13"/>
        <v>87.764705882352942</v>
      </c>
      <c r="O4" s="173">
        <f t="shared" si="14"/>
        <v>1</v>
      </c>
      <c r="P4" s="6">
        <f t="shared" si="15"/>
        <v>0</v>
      </c>
      <c r="Q4" s="6">
        <f t="shared" si="16"/>
        <v>0</v>
      </c>
      <c r="R4" s="6">
        <f t="shared" si="17"/>
        <v>0</v>
      </c>
      <c r="S4" s="21">
        <f t="shared" si="18"/>
        <v>9.9999999999999995E-8</v>
      </c>
      <c r="T4" s="402">
        <f t="shared" si="19"/>
        <v>2</v>
      </c>
      <c r="U4" s="402">
        <f t="shared" si="20"/>
        <v>3</v>
      </c>
      <c r="V4" s="403">
        <f t="shared" si="21"/>
        <v>5</v>
      </c>
      <c r="W4" s="6">
        <f t="shared" si="22"/>
        <v>8</v>
      </c>
      <c r="X4" s="5">
        <f t="shared" si="23"/>
        <v>0.48257372654155489</v>
      </c>
      <c r="Y4" s="6">
        <f t="shared" si="24"/>
        <v>4</v>
      </c>
      <c r="Z4" s="5">
        <f t="shared" si="25"/>
        <v>0.24128686327077745</v>
      </c>
      <c r="AA4" s="6">
        <f t="shared" si="26"/>
        <v>4</v>
      </c>
      <c r="AB4" s="5">
        <f t="shared" si="27"/>
        <v>0.24128686327077745</v>
      </c>
      <c r="AC4" s="6">
        <f t="shared" si="28"/>
        <v>6</v>
      </c>
      <c r="AD4" s="5">
        <f t="shared" si="29"/>
        <v>0.36193029490616618</v>
      </c>
      <c r="AE4" s="21">
        <f t="shared" si="30"/>
        <v>0.5</v>
      </c>
      <c r="AF4" s="5">
        <f t="shared" si="31"/>
        <v>4</v>
      </c>
      <c r="AG4" s="5">
        <f t="shared" si="32"/>
        <v>2</v>
      </c>
      <c r="AH4" s="99">
        <f t="shared" si="33"/>
        <v>0.25</v>
      </c>
      <c r="AI4" s="290">
        <f t="shared" si="34"/>
        <v>0.25</v>
      </c>
      <c r="AJ4" s="326">
        <f t="shared" si="35"/>
        <v>1</v>
      </c>
      <c r="AK4" s="325">
        <f t="shared" si="36"/>
        <v>1</v>
      </c>
      <c r="AL4" s="326">
        <f t="shared" si="37"/>
        <v>0</v>
      </c>
      <c r="AM4" s="329">
        <f t="shared" si="38"/>
        <v>6.0321715817694362E-2</v>
      </c>
      <c r="AN4" s="349">
        <f t="shared" si="39"/>
        <v>1.657777777777778</v>
      </c>
      <c r="AO4" s="329">
        <f t="shared" si="40"/>
        <v>0.1</v>
      </c>
      <c r="AP4" s="350">
        <f t="shared" si="41"/>
        <v>0.60321715817694355</v>
      </c>
      <c r="AQ4" s="5">
        <f t="shared" si="42"/>
        <v>0.74</v>
      </c>
      <c r="AR4" s="5">
        <f t="shared" si="43"/>
        <v>4.4638069705093826E-2</v>
      </c>
      <c r="AS4" s="5">
        <f t="shared" si="44"/>
        <v>0.74</v>
      </c>
      <c r="AT4" s="5">
        <f t="shared" si="45"/>
        <v>4.4638069705093826E-2</v>
      </c>
      <c r="AU4" s="5">
        <f t="shared" si="46"/>
        <v>3.18</v>
      </c>
      <c r="AV4" s="5">
        <f t="shared" si="47"/>
        <v>0.19182305630026808</v>
      </c>
      <c r="AW4" s="5">
        <f t="shared" si="48"/>
        <v>3.92</v>
      </c>
      <c r="AX4" s="5">
        <f t="shared" si="49"/>
        <v>0.2364611260053619</v>
      </c>
      <c r="AY4" s="2">
        <f t="shared" si="50"/>
        <v>1</v>
      </c>
      <c r="AZ4" s="5">
        <f t="shared" si="51"/>
        <v>1492</v>
      </c>
      <c r="BA4" s="21">
        <f t="shared" si="52"/>
        <v>6.0321715817694362E-2</v>
      </c>
      <c r="BB4" s="195">
        <f t="shared" si="53"/>
        <v>253.64444444444447</v>
      </c>
      <c r="BC4" s="5">
        <f t="shared" si="54"/>
        <v>15.300268096514746</v>
      </c>
      <c r="BD4" s="6">
        <f t="shared" si="55"/>
        <v>66</v>
      </c>
      <c r="BE4" s="5">
        <f t="shared" si="56"/>
        <v>3.9812332439678282</v>
      </c>
      <c r="BF4" s="6">
        <f t="shared" si="57"/>
        <v>42</v>
      </c>
      <c r="BG4" s="5">
        <f t="shared" si="58"/>
        <v>2.5335120643431632</v>
      </c>
      <c r="BH4" s="6">
        <f t="shared" si="59"/>
        <v>32</v>
      </c>
      <c r="BI4" s="5">
        <f t="shared" si="60"/>
        <v>1.9302949061662196</v>
      </c>
      <c r="BJ4" s="6">
        <f t="shared" si="61"/>
        <v>20</v>
      </c>
      <c r="BK4" s="5">
        <f t="shared" si="62"/>
        <v>1.2064343163538873</v>
      </c>
      <c r="BL4" s="6">
        <f t="shared" si="63"/>
        <v>12</v>
      </c>
      <c r="BM4" s="5">
        <f t="shared" si="64"/>
        <v>0.72386058981233237</v>
      </c>
      <c r="BN4" s="20">
        <f t="shared" si="65"/>
        <v>0.625</v>
      </c>
      <c r="BO4" s="2">
        <f t="shared" si="66"/>
        <v>8</v>
      </c>
      <c r="BP4" s="5">
        <f t="shared" si="67"/>
        <v>0.48257372654155489</v>
      </c>
      <c r="BQ4" s="2">
        <f t="shared" si="68"/>
        <v>6</v>
      </c>
      <c r="BR4" s="12">
        <f t="shared" si="69"/>
        <v>0.25</v>
      </c>
      <c r="BS4" s="6">
        <f t="shared" si="70"/>
        <v>101</v>
      </c>
      <c r="BT4" s="5">
        <f t="shared" si="71"/>
        <v>6.0924932975871311</v>
      </c>
      <c r="BU4" s="6">
        <f t="shared" si="72"/>
        <v>22</v>
      </c>
      <c r="BV4" s="5">
        <f t="shared" si="73"/>
        <v>1.3270777479892759</v>
      </c>
      <c r="BW4" s="21">
        <f t="shared" si="74"/>
        <v>0.21782178217821782</v>
      </c>
      <c r="BX4" s="2">
        <f t="shared" si="75"/>
        <v>2</v>
      </c>
      <c r="BY4" s="2">
        <f t="shared" si="76"/>
        <v>0</v>
      </c>
      <c r="BZ4" s="2">
        <f t="shared" si="77"/>
        <v>2</v>
      </c>
      <c r="CA4" s="2">
        <f t="shared" si="78"/>
        <v>28</v>
      </c>
      <c r="CB4" s="2">
        <f t="shared" si="79"/>
        <v>20</v>
      </c>
      <c r="CC4" s="21">
        <f t="shared" si="80"/>
        <v>0.7142857142857143</v>
      </c>
      <c r="CD4" s="21">
        <f t="shared" si="81"/>
        <v>0.75</v>
      </c>
      <c r="CE4" s="6">
        <f t="shared" si="82"/>
        <v>0</v>
      </c>
      <c r="CF4" s="5">
        <f t="shared" si="83"/>
        <v>0</v>
      </c>
      <c r="CG4" s="167">
        <f t="shared" si="84"/>
        <v>2</v>
      </c>
      <c r="CH4" s="167">
        <f t="shared" si="85"/>
        <v>1</v>
      </c>
      <c r="CI4" s="168">
        <f t="shared" si="86"/>
        <v>0.5</v>
      </c>
      <c r="CJ4" s="6">
        <f t="shared" si="87"/>
        <v>1083</v>
      </c>
      <c r="CK4" s="6">
        <f t="shared" si="88"/>
        <v>1036</v>
      </c>
      <c r="CL4" s="5">
        <f t="shared" si="89"/>
        <v>59.658176943699729</v>
      </c>
      <c r="CM4" s="6">
        <f t="shared" si="90"/>
        <v>47</v>
      </c>
      <c r="CN4" s="21">
        <f t="shared" si="91"/>
        <v>0.95660203139427513</v>
      </c>
      <c r="CO4" s="6">
        <f t="shared" si="92"/>
        <v>57</v>
      </c>
      <c r="CP4" s="5">
        <f t="shared" si="93"/>
        <v>3.4383378016085788</v>
      </c>
      <c r="CQ4" s="6">
        <f t="shared" si="94"/>
        <v>33</v>
      </c>
      <c r="CR4" s="6">
        <f t="shared" si="95"/>
        <v>24</v>
      </c>
      <c r="CS4" s="20">
        <f t="shared" si="96"/>
        <v>0.57894736842105265</v>
      </c>
      <c r="CT4" s="5">
        <f t="shared" si="97"/>
        <v>74.376675603217151</v>
      </c>
      <c r="CU4" s="6">
        <f t="shared" si="98"/>
        <v>1314.18</v>
      </c>
      <c r="CV4" s="5">
        <f t="shared" si="99"/>
        <v>79.273592493297585</v>
      </c>
      <c r="CW4" s="6">
        <f t="shared" si="100"/>
        <v>1139.5</v>
      </c>
      <c r="CX4" s="5">
        <f t="shared" si="101"/>
        <v>68.736595174262732</v>
      </c>
      <c r="CY4" s="21">
        <f t="shared" si="102"/>
        <v>0.86708061300582873</v>
      </c>
      <c r="CZ4" s="6">
        <f t="shared" si="103"/>
        <v>20.18</v>
      </c>
      <c r="DA4" s="5">
        <f t="shared" si="104"/>
        <v>1.2172922252010723</v>
      </c>
      <c r="DB4" s="6">
        <f t="shared" si="105"/>
        <v>12</v>
      </c>
      <c r="DC4" s="5">
        <f t="shared" si="106"/>
        <v>0.72386058981233237</v>
      </c>
      <c r="DD4" s="5">
        <f t="shared" si="107"/>
        <v>4</v>
      </c>
      <c r="DE4" s="21">
        <f t="shared" si="108"/>
        <v>0.25</v>
      </c>
      <c r="DF4" s="5">
        <f t="shared" si="109"/>
        <v>0.26500000000000001</v>
      </c>
      <c r="DG4" s="287">
        <f t="shared" si="110"/>
        <v>0.26500000000000001</v>
      </c>
      <c r="DH4" s="6">
        <f t="shared" si="111"/>
        <v>25</v>
      </c>
      <c r="DI4" s="5">
        <f t="shared" si="112"/>
        <v>1.508042895442359</v>
      </c>
      <c r="DJ4" s="142">
        <f t="shared" si="113"/>
        <v>193.4</v>
      </c>
      <c r="DK4" s="5">
        <f t="shared" si="114"/>
        <v>11.666219839142091</v>
      </c>
      <c r="DL4" s="390">
        <f t="shared" si="115"/>
        <v>243.56184986595173</v>
      </c>
      <c r="DM4" s="169">
        <f t="shared" si="116"/>
        <v>51</v>
      </c>
      <c r="DN4" s="107">
        <f t="shared" si="117"/>
        <v>3.0764075067024126</v>
      </c>
      <c r="DO4" s="107">
        <f t="shared" si="118"/>
        <v>6.2</v>
      </c>
      <c r="DP4" s="107">
        <f t="shared" si="119"/>
        <v>7.12</v>
      </c>
      <c r="DQ4" s="268"/>
      <c r="DR4" s="264" t="s">
        <v>614</v>
      </c>
      <c r="DS4" s="264" t="s">
        <v>618</v>
      </c>
      <c r="DT4" s="264">
        <v>31</v>
      </c>
      <c r="DU4" s="264" t="s">
        <v>616</v>
      </c>
      <c r="DV4" s="264" t="s">
        <v>541</v>
      </c>
      <c r="DW4" s="264" t="s">
        <v>573</v>
      </c>
      <c r="DX4" s="264" t="s">
        <v>394</v>
      </c>
      <c r="DY4" s="264" t="s">
        <v>638</v>
      </c>
      <c r="DZ4" s="265">
        <v>46934</v>
      </c>
      <c r="EA4" s="264">
        <v>1492</v>
      </c>
      <c r="EB4" s="264">
        <v>17</v>
      </c>
      <c r="EC4" s="264">
        <v>1</v>
      </c>
      <c r="ED4" s="264">
        <v>0</v>
      </c>
      <c r="EE4" s="264">
        <v>2</v>
      </c>
      <c r="EF4" s="264">
        <v>3</v>
      </c>
      <c r="EG4" s="264">
        <v>2</v>
      </c>
      <c r="EH4" s="264">
        <v>0</v>
      </c>
      <c r="EI4" s="264">
        <v>4</v>
      </c>
      <c r="EJ4" s="264">
        <v>1</v>
      </c>
      <c r="EK4" s="264">
        <v>6.2</v>
      </c>
      <c r="EL4" s="264" t="s">
        <v>670</v>
      </c>
      <c r="EM4" s="264" t="s">
        <v>665</v>
      </c>
      <c r="EN4" s="264">
        <v>8</v>
      </c>
      <c r="EO4" s="264">
        <v>9</v>
      </c>
      <c r="EP4" s="264">
        <v>57</v>
      </c>
      <c r="EQ4" s="264">
        <v>33</v>
      </c>
      <c r="ER4" s="264">
        <v>0.4</v>
      </c>
      <c r="ES4" s="264">
        <v>1083</v>
      </c>
      <c r="ET4" s="264">
        <v>1036</v>
      </c>
      <c r="EU4" s="264">
        <v>12</v>
      </c>
      <c r="EV4" s="264">
        <v>112</v>
      </c>
      <c r="EW4" s="264">
        <v>0</v>
      </c>
      <c r="EX4" s="264">
        <v>8</v>
      </c>
      <c r="EY4" s="264">
        <v>4</v>
      </c>
      <c r="EZ4" s="264">
        <v>101</v>
      </c>
      <c r="FA4" s="264">
        <v>22</v>
      </c>
      <c r="FB4" s="264">
        <v>24</v>
      </c>
      <c r="FC4" s="264">
        <v>20</v>
      </c>
      <c r="FD4" s="264">
        <v>0</v>
      </c>
      <c r="FE4" s="264">
        <v>9</v>
      </c>
      <c r="FF4" s="264">
        <v>43</v>
      </c>
      <c r="FG4" s="264">
        <v>1</v>
      </c>
      <c r="FH4" s="264">
        <v>13</v>
      </c>
      <c r="FI4" s="264">
        <v>11.5</v>
      </c>
      <c r="FJ4" s="264">
        <v>0.1</v>
      </c>
      <c r="FK4" s="264">
        <v>2</v>
      </c>
      <c r="FL4" s="264">
        <v>1</v>
      </c>
      <c r="FM4" s="264">
        <v>0</v>
      </c>
      <c r="FN4" s="264">
        <v>0</v>
      </c>
      <c r="FO4" s="264">
        <v>0</v>
      </c>
      <c r="FP4" s="264" t="s">
        <v>639</v>
      </c>
      <c r="FQ4" s="269">
        <v>7.12</v>
      </c>
    </row>
    <row r="5" spans="1:173" ht="24.95" customHeight="1" thickBot="1" x14ac:dyDescent="0.3">
      <c r="A5" s="29" t="str">
        <f t="shared" si="0"/>
        <v>4º</v>
      </c>
      <c r="B5" s="67" t="str">
        <f t="shared" si="1"/>
        <v>Fermín</v>
      </c>
      <c r="C5" s="83" t="str">
        <f t="shared" si="2"/>
        <v>ESP</v>
      </c>
      <c r="D5" s="28" t="str">
        <f t="shared" si="3"/>
        <v>Barcelona</v>
      </c>
      <c r="E5" s="91" t="str">
        <f t="shared" si="4"/>
        <v>Pé Direito</v>
      </c>
      <c r="F5" s="155">
        <f t="shared" si="5"/>
        <v>1.75</v>
      </c>
      <c r="G5" s="36">
        <f t="shared" si="6"/>
        <v>23</v>
      </c>
      <c r="H5" s="297" t="str">
        <f t="shared" si="7"/>
        <v>704m € p/m</v>
      </c>
      <c r="I5" s="35">
        <f t="shared" si="8"/>
        <v>47664</v>
      </c>
      <c r="J5" s="28" t="str">
        <f t="shared" si="9"/>
        <v>54M € - 80M €</v>
      </c>
      <c r="K5" s="89">
        <f t="shared" si="10"/>
        <v>15.507777777777779</v>
      </c>
      <c r="L5" s="134">
        <f t="shared" si="11"/>
        <v>13.988888888888889</v>
      </c>
      <c r="M5" s="134">
        <f t="shared" si="12"/>
        <v>22</v>
      </c>
      <c r="N5" s="134">
        <f t="shared" si="13"/>
        <v>57.227272727272727</v>
      </c>
      <c r="O5" s="173">
        <f t="shared" si="14"/>
        <v>1</v>
      </c>
      <c r="P5" s="6">
        <f t="shared" si="15"/>
        <v>0</v>
      </c>
      <c r="Q5" s="6">
        <f t="shared" si="16"/>
        <v>0</v>
      </c>
      <c r="R5" s="6">
        <f t="shared" si="17"/>
        <v>0</v>
      </c>
      <c r="S5" s="21">
        <f t="shared" si="18"/>
        <v>9.9999999999999995E-8</v>
      </c>
      <c r="T5" s="402">
        <f t="shared" si="19"/>
        <v>7</v>
      </c>
      <c r="U5" s="402">
        <f t="shared" si="20"/>
        <v>1</v>
      </c>
      <c r="V5" s="403">
        <f t="shared" si="21"/>
        <v>8</v>
      </c>
      <c r="W5" s="6">
        <f t="shared" si="22"/>
        <v>31</v>
      </c>
      <c r="X5" s="5">
        <f t="shared" si="23"/>
        <v>2.2160444797458299</v>
      </c>
      <c r="Y5" s="6">
        <f t="shared" si="24"/>
        <v>16</v>
      </c>
      <c r="Z5" s="5">
        <f t="shared" si="25"/>
        <v>1.1437648927720414</v>
      </c>
      <c r="AA5" s="6">
        <f t="shared" si="26"/>
        <v>15</v>
      </c>
      <c r="AB5" s="5">
        <f t="shared" si="27"/>
        <v>1.0722795869737887</v>
      </c>
      <c r="AC5" s="6">
        <f t="shared" si="28"/>
        <v>24</v>
      </c>
      <c r="AD5" s="5">
        <f t="shared" si="29"/>
        <v>1.715647339158062</v>
      </c>
      <c r="AE5" s="21">
        <f t="shared" si="30"/>
        <v>0.4838709677419355</v>
      </c>
      <c r="AF5" s="5">
        <f t="shared" si="31"/>
        <v>4.4285714285714288</v>
      </c>
      <c r="AG5" s="5">
        <f t="shared" si="32"/>
        <v>2.1428571428571428</v>
      </c>
      <c r="AH5" s="99">
        <f t="shared" si="33"/>
        <v>0.22580645161290322</v>
      </c>
      <c r="AI5" s="290">
        <f t="shared" si="34"/>
        <v>0.22580645161290322</v>
      </c>
      <c r="AJ5" s="326">
        <f t="shared" si="35"/>
        <v>5</v>
      </c>
      <c r="AK5" s="325">
        <f t="shared" si="36"/>
        <v>2</v>
      </c>
      <c r="AL5" s="326">
        <f t="shared" si="37"/>
        <v>0</v>
      </c>
      <c r="AM5" s="329">
        <f t="shared" si="38"/>
        <v>0.14297061159650518</v>
      </c>
      <c r="AN5" s="349">
        <f t="shared" si="39"/>
        <v>15.38777777777778</v>
      </c>
      <c r="AO5" s="329">
        <f t="shared" si="40"/>
        <v>1.1000000000000001</v>
      </c>
      <c r="AP5" s="350">
        <f t="shared" si="41"/>
        <v>0.12997328326955015</v>
      </c>
      <c r="AQ5" s="5">
        <f t="shared" si="42"/>
        <v>2.7</v>
      </c>
      <c r="AR5" s="5">
        <f t="shared" si="43"/>
        <v>0.19301032565528198</v>
      </c>
      <c r="AS5" s="5">
        <f t="shared" si="44"/>
        <v>2.7</v>
      </c>
      <c r="AT5" s="5">
        <f t="shared" si="45"/>
        <v>0.19301032565528198</v>
      </c>
      <c r="AU5" s="5">
        <f t="shared" si="46"/>
        <v>2.27</v>
      </c>
      <c r="AV5" s="5">
        <f t="shared" si="47"/>
        <v>0.16227164416203335</v>
      </c>
      <c r="AW5" s="5">
        <f t="shared" si="48"/>
        <v>4.9700000000000006</v>
      </c>
      <c r="AX5" s="5">
        <f t="shared" si="49"/>
        <v>0.35528196981731536</v>
      </c>
      <c r="AY5" s="2">
        <f t="shared" si="50"/>
        <v>1</v>
      </c>
      <c r="AZ5" s="5">
        <f t="shared" si="51"/>
        <v>1259</v>
      </c>
      <c r="BA5" s="21">
        <f t="shared" si="52"/>
        <v>7.1485305798252588E-2</v>
      </c>
      <c r="BB5" s="195">
        <f t="shared" si="53"/>
        <v>155.31555555555553</v>
      </c>
      <c r="BC5" s="5">
        <f t="shared" si="54"/>
        <v>11.102779984114376</v>
      </c>
      <c r="BD5" s="6">
        <f t="shared" si="55"/>
        <v>43.5</v>
      </c>
      <c r="BE5" s="5">
        <f t="shared" si="56"/>
        <v>3.1096108022239872</v>
      </c>
      <c r="BF5" s="6">
        <f t="shared" si="57"/>
        <v>37.5</v>
      </c>
      <c r="BG5" s="5">
        <f t="shared" si="58"/>
        <v>2.6806989674344717</v>
      </c>
      <c r="BH5" s="6">
        <f t="shared" si="59"/>
        <v>32</v>
      </c>
      <c r="BI5" s="5">
        <f t="shared" si="60"/>
        <v>2.2875297855440828</v>
      </c>
      <c r="BJ5" s="6">
        <f t="shared" si="61"/>
        <v>15</v>
      </c>
      <c r="BK5" s="5">
        <f t="shared" si="62"/>
        <v>1.0722795869737887</v>
      </c>
      <c r="BL5" s="6">
        <f t="shared" si="63"/>
        <v>17</v>
      </c>
      <c r="BM5" s="5">
        <f t="shared" si="64"/>
        <v>1.2152501985702939</v>
      </c>
      <c r="BN5" s="20">
        <f t="shared" si="65"/>
        <v>0.46875</v>
      </c>
      <c r="BO5" s="2">
        <f t="shared" si="66"/>
        <v>13</v>
      </c>
      <c r="BP5" s="5">
        <f t="shared" si="67"/>
        <v>0.92930897537728352</v>
      </c>
      <c r="BQ5" s="2">
        <f t="shared" si="68"/>
        <v>12</v>
      </c>
      <c r="BR5" s="12">
        <f t="shared" si="69"/>
        <v>7.6923076923076927E-2</v>
      </c>
      <c r="BS5" s="6">
        <f t="shared" si="70"/>
        <v>110</v>
      </c>
      <c r="BT5" s="5">
        <f t="shared" si="71"/>
        <v>7.8633836378077842</v>
      </c>
      <c r="BU5" s="6">
        <f t="shared" si="72"/>
        <v>22</v>
      </c>
      <c r="BV5" s="5">
        <f t="shared" si="73"/>
        <v>1.5726767275615567</v>
      </c>
      <c r="BW5" s="21">
        <f t="shared" si="74"/>
        <v>0.2</v>
      </c>
      <c r="BX5" s="2">
        <f t="shared" si="75"/>
        <v>1</v>
      </c>
      <c r="BY5" s="2">
        <f t="shared" si="76"/>
        <v>0</v>
      </c>
      <c r="BZ5" s="2">
        <f t="shared" si="77"/>
        <v>1</v>
      </c>
      <c r="CA5" s="2">
        <f t="shared" si="78"/>
        <v>29</v>
      </c>
      <c r="CB5" s="2">
        <f t="shared" si="79"/>
        <v>16</v>
      </c>
      <c r="CC5" s="21">
        <f t="shared" si="80"/>
        <v>0.55172413793103448</v>
      </c>
      <c r="CD5" s="21">
        <f t="shared" si="81"/>
        <v>0.92307692307692313</v>
      </c>
      <c r="CE5" s="6">
        <f t="shared" si="82"/>
        <v>1</v>
      </c>
      <c r="CF5" s="5">
        <f t="shared" si="83"/>
        <v>7.1485305798252588E-2</v>
      </c>
      <c r="CG5" s="167">
        <f t="shared" si="84"/>
        <v>28</v>
      </c>
      <c r="CH5" s="167">
        <f t="shared" si="85"/>
        <v>8</v>
      </c>
      <c r="CI5" s="168">
        <f t="shared" si="86"/>
        <v>0.2857142857142857</v>
      </c>
      <c r="CJ5" s="6">
        <f t="shared" si="87"/>
        <v>707</v>
      </c>
      <c r="CK5" s="6">
        <f t="shared" si="88"/>
        <v>635</v>
      </c>
      <c r="CL5" s="5">
        <f t="shared" si="89"/>
        <v>40.246227164416204</v>
      </c>
      <c r="CM5" s="6">
        <f t="shared" si="90"/>
        <v>72</v>
      </c>
      <c r="CN5" s="21">
        <f t="shared" si="91"/>
        <v>0.8981612446958982</v>
      </c>
      <c r="CO5" s="6">
        <f t="shared" si="92"/>
        <v>34</v>
      </c>
      <c r="CP5" s="5">
        <f t="shared" si="93"/>
        <v>2.4305003971405879</v>
      </c>
      <c r="CQ5" s="6">
        <f t="shared" si="94"/>
        <v>10</v>
      </c>
      <c r="CR5" s="6">
        <f t="shared" si="95"/>
        <v>24</v>
      </c>
      <c r="CS5" s="20">
        <f t="shared" si="96"/>
        <v>0.29411764705882354</v>
      </c>
      <c r="CT5" s="5">
        <f t="shared" si="97"/>
        <v>62.406671961874501</v>
      </c>
      <c r="CU5" s="6">
        <f t="shared" si="98"/>
        <v>973.27</v>
      </c>
      <c r="CV5" s="5">
        <f t="shared" si="99"/>
        <v>69.574503574265293</v>
      </c>
      <c r="CW5" s="6">
        <f t="shared" si="100"/>
        <v>733</v>
      </c>
      <c r="CX5" s="5">
        <f t="shared" si="101"/>
        <v>52.398729150119145</v>
      </c>
      <c r="CY5" s="21">
        <f t="shared" si="102"/>
        <v>0.7531311968929485</v>
      </c>
      <c r="CZ5" s="6">
        <f t="shared" si="103"/>
        <v>39.269999999999996</v>
      </c>
      <c r="DA5" s="5">
        <f t="shared" si="104"/>
        <v>2.8072279586973785</v>
      </c>
      <c r="DB5" s="6">
        <f t="shared" si="105"/>
        <v>25</v>
      </c>
      <c r="DC5" s="5">
        <f t="shared" si="106"/>
        <v>1.7871326449563145</v>
      </c>
      <c r="DD5" s="5">
        <f t="shared" si="107"/>
        <v>25</v>
      </c>
      <c r="DE5" s="21">
        <f t="shared" si="108"/>
        <v>0.04</v>
      </c>
      <c r="DF5" s="5">
        <f t="shared" si="109"/>
        <v>9.0800000000000006E-2</v>
      </c>
      <c r="DG5" s="287">
        <f t="shared" si="110"/>
        <v>9.0800000000000006E-2</v>
      </c>
      <c r="DH5" s="6">
        <f t="shared" si="111"/>
        <v>98</v>
      </c>
      <c r="DI5" s="5">
        <f t="shared" si="112"/>
        <v>7.005559968228753</v>
      </c>
      <c r="DJ5" s="142">
        <f t="shared" si="113"/>
        <v>179.7</v>
      </c>
      <c r="DK5" s="5">
        <f t="shared" si="114"/>
        <v>12.845909451945989</v>
      </c>
      <c r="DL5" s="390">
        <f t="shared" si="115"/>
        <v>294.07492454328832</v>
      </c>
      <c r="DM5" s="169">
        <f t="shared" si="116"/>
        <v>88</v>
      </c>
      <c r="DN5" s="107">
        <f t="shared" si="117"/>
        <v>6.290706910246227</v>
      </c>
      <c r="DO5" s="107">
        <f t="shared" si="118"/>
        <v>13</v>
      </c>
      <c r="DP5" s="107">
        <f t="shared" si="119"/>
        <v>7.07</v>
      </c>
      <c r="DQ5" s="268" t="s">
        <v>19</v>
      </c>
      <c r="DR5" s="264" t="s">
        <v>613</v>
      </c>
      <c r="DS5" s="264" t="s">
        <v>659</v>
      </c>
      <c r="DT5" s="264">
        <v>23</v>
      </c>
      <c r="DU5" s="264" t="s">
        <v>615</v>
      </c>
      <c r="DV5" s="264" t="s">
        <v>546</v>
      </c>
      <c r="DW5" s="264" t="s">
        <v>573</v>
      </c>
      <c r="DX5" s="264" t="s">
        <v>660</v>
      </c>
      <c r="DY5" s="264" t="s">
        <v>661</v>
      </c>
      <c r="DZ5" s="265">
        <v>47664</v>
      </c>
      <c r="EA5" s="264">
        <v>1259</v>
      </c>
      <c r="EB5" s="264" t="s">
        <v>662</v>
      </c>
      <c r="EC5" s="264">
        <v>1</v>
      </c>
      <c r="ED5" s="264">
        <v>0</v>
      </c>
      <c r="EE5" s="264">
        <v>7</v>
      </c>
      <c r="EF5" s="264">
        <v>1</v>
      </c>
      <c r="EG5" s="264">
        <v>1</v>
      </c>
      <c r="EH5" s="264">
        <v>0</v>
      </c>
      <c r="EI5" s="264">
        <v>4</v>
      </c>
      <c r="EJ5" s="264">
        <v>2</v>
      </c>
      <c r="EK5" s="264">
        <v>13</v>
      </c>
      <c r="EL5" s="264" t="s">
        <v>680</v>
      </c>
      <c r="EM5" s="264" t="s">
        <v>681</v>
      </c>
      <c r="EN5" s="264">
        <v>13</v>
      </c>
      <c r="EO5" s="264">
        <v>16</v>
      </c>
      <c r="EP5" s="264">
        <v>34</v>
      </c>
      <c r="EQ5" s="264">
        <v>10</v>
      </c>
      <c r="ER5" s="264">
        <v>0</v>
      </c>
      <c r="ES5" s="264">
        <v>707</v>
      </c>
      <c r="ET5" s="264">
        <v>635</v>
      </c>
      <c r="EU5" s="264">
        <v>25</v>
      </c>
      <c r="EV5" s="264">
        <v>67</v>
      </c>
      <c r="EW5" s="264">
        <v>30</v>
      </c>
      <c r="EX5" s="264">
        <v>31</v>
      </c>
      <c r="EY5" s="264">
        <v>15</v>
      </c>
      <c r="EZ5" s="264">
        <v>110</v>
      </c>
      <c r="FA5" s="264">
        <v>22</v>
      </c>
      <c r="FB5" s="264">
        <v>19</v>
      </c>
      <c r="FC5" s="264">
        <v>15</v>
      </c>
      <c r="FD5" s="264">
        <v>1</v>
      </c>
      <c r="FE5" s="264">
        <v>4</v>
      </c>
      <c r="FF5" s="264">
        <v>33</v>
      </c>
      <c r="FG5" s="264">
        <v>0</v>
      </c>
      <c r="FH5" s="264">
        <v>6</v>
      </c>
      <c r="FI5" s="264">
        <v>7.6</v>
      </c>
      <c r="FJ5" s="264">
        <v>1.1000000000000001</v>
      </c>
      <c r="FK5" s="264">
        <v>28</v>
      </c>
      <c r="FL5" s="264">
        <v>8</v>
      </c>
      <c r="FM5" s="264">
        <v>0</v>
      </c>
      <c r="FN5" s="264">
        <v>0</v>
      </c>
      <c r="FO5" s="264">
        <v>0</v>
      </c>
      <c r="FP5" s="264" t="s">
        <v>627</v>
      </c>
      <c r="FQ5" s="269">
        <v>7.07</v>
      </c>
    </row>
    <row r="6" spans="1:173" ht="24.95" customHeight="1" thickBot="1" x14ac:dyDescent="0.3">
      <c r="A6" s="29" t="str">
        <f t="shared" si="0"/>
        <v>5º</v>
      </c>
      <c r="B6" s="67" t="str">
        <f t="shared" si="1"/>
        <v>Gavi</v>
      </c>
      <c r="C6" s="83" t="str">
        <f t="shared" si="2"/>
        <v>ESP</v>
      </c>
      <c r="D6" s="28" t="str">
        <f t="shared" si="3"/>
        <v>Barcelona</v>
      </c>
      <c r="E6" s="91" t="str">
        <f t="shared" si="4"/>
        <v>Pé Direito</v>
      </c>
      <c r="F6" s="155">
        <f t="shared" si="5"/>
        <v>1.73</v>
      </c>
      <c r="G6" s="36">
        <f t="shared" si="6"/>
        <v>22</v>
      </c>
      <c r="H6" s="297" t="str">
        <f t="shared" si="7"/>
        <v>761m € p/m</v>
      </c>
      <c r="I6" s="35">
        <f t="shared" si="8"/>
        <v>48029</v>
      </c>
      <c r="J6" s="28" t="str">
        <f t="shared" si="9"/>
        <v>112M € - 133M €</v>
      </c>
      <c r="K6" s="89">
        <f t="shared" si="10"/>
        <v>15.507777777777779</v>
      </c>
      <c r="L6" s="134">
        <f t="shared" si="11"/>
        <v>17.366666666666667</v>
      </c>
      <c r="M6" s="134">
        <f t="shared" si="12"/>
        <v>21</v>
      </c>
      <c r="N6" s="134">
        <f t="shared" si="13"/>
        <v>74.428571428571431</v>
      </c>
      <c r="O6" s="173">
        <f t="shared" si="14"/>
        <v>1</v>
      </c>
      <c r="P6" s="6">
        <f t="shared" si="15"/>
        <v>0</v>
      </c>
      <c r="Q6" s="6">
        <f t="shared" si="16"/>
        <v>0</v>
      </c>
      <c r="R6" s="6">
        <f t="shared" si="17"/>
        <v>0</v>
      </c>
      <c r="S6" s="21">
        <f t="shared" si="18"/>
        <v>9.9999999999999995E-8</v>
      </c>
      <c r="T6" s="402">
        <f t="shared" si="19"/>
        <v>4</v>
      </c>
      <c r="U6" s="402">
        <f t="shared" si="20"/>
        <v>11</v>
      </c>
      <c r="V6" s="403">
        <f t="shared" si="21"/>
        <v>15</v>
      </c>
      <c r="W6" s="6">
        <f t="shared" si="22"/>
        <v>36</v>
      </c>
      <c r="X6" s="5">
        <f t="shared" si="23"/>
        <v>2.0729366602687138</v>
      </c>
      <c r="Y6" s="6">
        <f t="shared" si="24"/>
        <v>24</v>
      </c>
      <c r="Z6" s="5">
        <f t="shared" si="25"/>
        <v>1.381957773512476</v>
      </c>
      <c r="AA6" s="6">
        <f t="shared" si="26"/>
        <v>12</v>
      </c>
      <c r="AB6" s="5">
        <f t="shared" si="27"/>
        <v>0.69097888675623798</v>
      </c>
      <c r="AC6" s="6">
        <f t="shared" si="28"/>
        <v>32</v>
      </c>
      <c r="AD6" s="5">
        <f t="shared" si="29"/>
        <v>1.8426103646833012</v>
      </c>
      <c r="AE6" s="21">
        <f t="shared" si="30"/>
        <v>0.33333333333333331</v>
      </c>
      <c r="AF6" s="5">
        <f t="shared" si="31"/>
        <v>9</v>
      </c>
      <c r="AG6" s="5">
        <f t="shared" si="32"/>
        <v>3</v>
      </c>
      <c r="AH6" s="99">
        <f t="shared" si="33"/>
        <v>0.1111111111111111</v>
      </c>
      <c r="AI6" s="290">
        <f t="shared" si="34"/>
        <v>0.1111111111111111</v>
      </c>
      <c r="AJ6" s="326">
        <f t="shared" si="35"/>
        <v>3</v>
      </c>
      <c r="AK6" s="325">
        <f t="shared" si="36"/>
        <v>1</v>
      </c>
      <c r="AL6" s="326">
        <f t="shared" si="37"/>
        <v>0</v>
      </c>
      <c r="AM6" s="329">
        <f t="shared" si="38"/>
        <v>5.7581573896353162E-2</v>
      </c>
      <c r="AN6" s="349">
        <f t="shared" si="39"/>
        <v>10.42</v>
      </c>
      <c r="AO6" s="329">
        <f t="shared" si="40"/>
        <v>0.6</v>
      </c>
      <c r="AP6" s="350">
        <f t="shared" si="41"/>
        <v>9.5969289827255277E-2</v>
      </c>
      <c r="AQ6" s="5">
        <f t="shared" si="42"/>
        <v>5.03</v>
      </c>
      <c r="AR6" s="5">
        <f t="shared" si="43"/>
        <v>0.28963531669865644</v>
      </c>
      <c r="AS6" s="5">
        <f t="shared" si="44"/>
        <v>5.03</v>
      </c>
      <c r="AT6" s="5">
        <f t="shared" si="45"/>
        <v>0.28963531669865644</v>
      </c>
      <c r="AU6" s="5">
        <f t="shared" si="46"/>
        <v>3.92</v>
      </c>
      <c r="AV6" s="5">
        <f t="shared" si="47"/>
        <v>0.22571976967370441</v>
      </c>
      <c r="AW6" s="5">
        <f t="shared" si="48"/>
        <v>8.9499999999999993</v>
      </c>
      <c r="AX6" s="5">
        <f t="shared" si="49"/>
        <v>0.51535508637236083</v>
      </c>
      <c r="AY6" s="2">
        <f t="shared" si="50"/>
        <v>2</v>
      </c>
      <c r="AZ6" s="5">
        <f t="shared" si="51"/>
        <v>781.5</v>
      </c>
      <c r="BA6" s="21">
        <f t="shared" si="52"/>
        <v>0.11516314779270632</v>
      </c>
      <c r="BB6" s="195">
        <f t="shared" si="53"/>
        <v>196.46</v>
      </c>
      <c r="BC6" s="5">
        <f t="shared" si="54"/>
        <v>11.312476007677544</v>
      </c>
      <c r="BD6" s="6">
        <f t="shared" si="55"/>
        <v>57</v>
      </c>
      <c r="BE6" s="5">
        <f t="shared" si="56"/>
        <v>3.2821497120921306</v>
      </c>
      <c r="BF6" s="6">
        <f t="shared" si="57"/>
        <v>50</v>
      </c>
      <c r="BG6" s="5">
        <f t="shared" si="58"/>
        <v>2.8790786948176583</v>
      </c>
      <c r="BH6" s="6">
        <f t="shared" si="59"/>
        <v>44</v>
      </c>
      <c r="BI6" s="5">
        <f t="shared" si="60"/>
        <v>2.5335892514395391</v>
      </c>
      <c r="BJ6" s="6">
        <f t="shared" si="61"/>
        <v>21</v>
      </c>
      <c r="BK6" s="5">
        <f t="shared" si="62"/>
        <v>1.2092130518234165</v>
      </c>
      <c r="BL6" s="6">
        <f t="shared" si="63"/>
        <v>23</v>
      </c>
      <c r="BM6" s="5">
        <f t="shared" si="64"/>
        <v>1.3243761996161227</v>
      </c>
      <c r="BN6" s="20">
        <f t="shared" si="65"/>
        <v>0.47727272727272729</v>
      </c>
      <c r="BO6" s="2">
        <f t="shared" si="66"/>
        <v>20</v>
      </c>
      <c r="BP6" s="5">
        <f t="shared" si="67"/>
        <v>1.1516314779270633</v>
      </c>
      <c r="BQ6" s="2">
        <f t="shared" si="68"/>
        <v>18</v>
      </c>
      <c r="BR6" s="12">
        <f t="shared" si="69"/>
        <v>0.1</v>
      </c>
      <c r="BS6" s="6">
        <f t="shared" si="70"/>
        <v>112</v>
      </c>
      <c r="BT6" s="5">
        <f t="shared" si="71"/>
        <v>6.4491362763915543</v>
      </c>
      <c r="BU6" s="6">
        <f t="shared" si="72"/>
        <v>28</v>
      </c>
      <c r="BV6" s="5">
        <f t="shared" si="73"/>
        <v>1.6122840690978886</v>
      </c>
      <c r="BW6" s="21">
        <f t="shared" si="74"/>
        <v>0.25</v>
      </c>
      <c r="BX6" s="2">
        <f t="shared" si="75"/>
        <v>2</v>
      </c>
      <c r="BY6" s="2">
        <f t="shared" si="76"/>
        <v>0</v>
      </c>
      <c r="BZ6" s="2">
        <f t="shared" si="77"/>
        <v>2</v>
      </c>
      <c r="CA6" s="2">
        <f t="shared" si="78"/>
        <v>43</v>
      </c>
      <c r="CB6" s="2">
        <f t="shared" si="79"/>
        <v>23</v>
      </c>
      <c r="CC6" s="21">
        <f t="shared" si="80"/>
        <v>0.53488372093023251</v>
      </c>
      <c r="CD6" s="21">
        <f t="shared" si="81"/>
        <v>0.9</v>
      </c>
      <c r="CE6" s="6">
        <f t="shared" si="82"/>
        <v>2</v>
      </c>
      <c r="CF6" s="5">
        <f t="shared" si="83"/>
        <v>0.11516314779270632</v>
      </c>
      <c r="CG6" s="167">
        <f t="shared" si="84"/>
        <v>44</v>
      </c>
      <c r="CH6" s="167">
        <f t="shared" si="85"/>
        <v>16</v>
      </c>
      <c r="CI6" s="168">
        <f t="shared" si="86"/>
        <v>0.36363636363636365</v>
      </c>
      <c r="CJ6" s="6">
        <f t="shared" si="87"/>
        <v>1003</v>
      </c>
      <c r="CK6" s="6">
        <f t="shared" si="88"/>
        <v>934</v>
      </c>
      <c r="CL6" s="5">
        <f t="shared" si="89"/>
        <v>49.808061420345489</v>
      </c>
      <c r="CM6" s="6">
        <f t="shared" si="90"/>
        <v>69</v>
      </c>
      <c r="CN6" s="21">
        <f t="shared" si="91"/>
        <v>0.93120638085742768</v>
      </c>
      <c r="CO6" s="6">
        <f t="shared" si="92"/>
        <v>17</v>
      </c>
      <c r="CP6" s="5">
        <f t="shared" si="93"/>
        <v>0.97888675623800381</v>
      </c>
      <c r="CQ6" s="6">
        <f t="shared" si="94"/>
        <v>4</v>
      </c>
      <c r="CR6" s="6">
        <f t="shared" si="95"/>
        <v>13</v>
      </c>
      <c r="CS6" s="20">
        <f t="shared" si="96"/>
        <v>0.23529411764705882</v>
      </c>
      <c r="CT6" s="5">
        <f t="shared" si="97"/>
        <v>66.564299424184256</v>
      </c>
      <c r="CU6" s="6">
        <f t="shared" si="98"/>
        <v>1302.92</v>
      </c>
      <c r="CV6" s="5">
        <f t="shared" si="99"/>
        <v>75.024184261036467</v>
      </c>
      <c r="CW6" s="6">
        <f t="shared" si="100"/>
        <v>1044</v>
      </c>
      <c r="CX6" s="5">
        <f t="shared" si="101"/>
        <v>60.115163147792707</v>
      </c>
      <c r="CY6" s="21">
        <f t="shared" si="102"/>
        <v>0.80127713136646916</v>
      </c>
      <c r="CZ6" s="6">
        <f t="shared" si="103"/>
        <v>64.92</v>
      </c>
      <c r="DA6" s="5">
        <f t="shared" si="104"/>
        <v>3.7381957773512475</v>
      </c>
      <c r="DB6" s="6">
        <f t="shared" si="105"/>
        <v>34</v>
      </c>
      <c r="DC6" s="5">
        <f t="shared" si="106"/>
        <v>1.9577735124760076</v>
      </c>
      <c r="DD6" s="5">
        <f t="shared" si="107"/>
        <v>3.0909090909090908</v>
      </c>
      <c r="DE6" s="21">
        <f t="shared" si="108"/>
        <v>0.3235294117647059</v>
      </c>
      <c r="DF6" s="5">
        <f t="shared" si="109"/>
        <v>0.11529411764705882</v>
      </c>
      <c r="DG6" s="287">
        <f t="shared" si="110"/>
        <v>0.11529411764705882</v>
      </c>
      <c r="DH6" s="6">
        <f t="shared" si="111"/>
        <v>105</v>
      </c>
      <c r="DI6" s="5">
        <f t="shared" si="112"/>
        <v>6.046065259117082</v>
      </c>
      <c r="DJ6" s="142">
        <f t="shared" si="113"/>
        <v>224.1</v>
      </c>
      <c r="DK6" s="5">
        <f t="shared" si="114"/>
        <v>12.904030710172744</v>
      </c>
      <c r="DL6" s="390">
        <f t="shared" si="115"/>
        <v>459.96335892514395</v>
      </c>
      <c r="DM6" s="169">
        <f t="shared" si="116"/>
        <v>93</v>
      </c>
      <c r="DN6" s="107">
        <f t="shared" si="117"/>
        <v>5.3550863723608444</v>
      </c>
      <c r="DO6" s="107">
        <f t="shared" si="118"/>
        <v>6.9</v>
      </c>
      <c r="DP6" s="107">
        <f t="shared" si="119"/>
        <v>7.23</v>
      </c>
      <c r="DQ6" s="268"/>
      <c r="DR6" s="264" t="s">
        <v>613</v>
      </c>
      <c r="DS6" s="264" t="s">
        <v>617</v>
      </c>
      <c r="DT6" s="264">
        <v>22</v>
      </c>
      <c r="DU6" s="264" t="s">
        <v>615</v>
      </c>
      <c r="DV6" s="264" t="s">
        <v>586</v>
      </c>
      <c r="DW6" s="264" t="s">
        <v>573</v>
      </c>
      <c r="DX6" s="264" t="s">
        <v>628</v>
      </c>
      <c r="DY6" s="264" t="s">
        <v>629</v>
      </c>
      <c r="DZ6" s="265">
        <v>48029</v>
      </c>
      <c r="EA6" s="264">
        <v>1563</v>
      </c>
      <c r="EB6" s="264" t="s">
        <v>630</v>
      </c>
      <c r="EC6" s="264">
        <v>2</v>
      </c>
      <c r="ED6" s="264">
        <v>0</v>
      </c>
      <c r="EE6" s="264">
        <v>4</v>
      </c>
      <c r="EF6" s="264">
        <v>11</v>
      </c>
      <c r="EG6" s="264">
        <v>2</v>
      </c>
      <c r="EH6" s="264">
        <v>0</v>
      </c>
      <c r="EI6" s="264">
        <v>11</v>
      </c>
      <c r="EJ6" s="264">
        <v>1</v>
      </c>
      <c r="EK6" s="264">
        <v>6.9</v>
      </c>
      <c r="EL6" s="264" t="s">
        <v>666</v>
      </c>
      <c r="EM6" s="264" t="s">
        <v>667</v>
      </c>
      <c r="EN6" s="264">
        <v>20</v>
      </c>
      <c r="EO6" s="264">
        <v>7</v>
      </c>
      <c r="EP6" s="264">
        <v>17</v>
      </c>
      <c r="EQ6" s="264">
        <v>4</v>
      </c>
      <c r="ER6" s="264">
        <v>0</v>
      </c>
      <c r="ES6" s="264">
        <v>1003</v>
      </c>
      <c r="ET6" s="264">
        <v>934</v>
      </c>
      <c r="EU6" s="264">
        <v>34</v>
      </c>
      <c r="EV6" s="264">
        <v>97</v>
      </c>
      <c r="EW6" s="264">
        <v>8</v>
      </c>
      <c r="EX6" s="264">
        <v>36</v>
      </c>
      <c r="EY6" s="264">
        <v>12</v>
      </c>
      <c r="EZ6" s="264">
        <v>112</v>
      </c>
      <c r="FA6" s="264">
        <v>28</v>
      </c>
      <c r="FB6" s="264">
        <v>24</v>
      </c>
      <c r="FC6" s="264">
        <v>21</v>
      </c>
      <c r="FD6" s="264">
        <v>2</v>
      </c>
      <c r="FE6" s="264">
        <v>6</v>
      </c>
      <c r="FF6" s="264">
        <v>38</v>
      </c>
      <c r="FG6" s="264">
        <v>3</v>
      </c>
      <c r="FH6" s="264">
        <v>9</v>
      </c>
      <c r="FI6" s="264">
        <v>7.8</v>
      </c>
      <c r="FJ6" s="264">
        <v>0.6</v>
      </c>
      <c r="FK6" s="264">
        <v>44</v>
      </c>
      <c r="FL6" s="264">
        <v>16</v>
      </c>
      <c r="FM6" s="264">
        <v>1</v>
      </c>
      <c r="FN6" s="264">
        <v>0</v>
      </c>
      <c r="FO6" s="264">
        <v>0</v>
      </c>
      <c r="FP6" s="264" t="s">
        <v>631</v>
      </c>
      <c r="FQ6" s="269">
        <v>7.23</v>
      </c>
    </row>
    <row r="7" spans="1:173" ht="24.95" customHeight="1" thickBot="1" x14ac:dyDescent="0.3">
      <c r="A7" s="29" t="str">
        <f t="shared" si="0"/>
        <v>6º</v>
      </c>
      <c r="B7" s="67" t="str">
        <f t="shared" si="1"/>
        <v>Gui</v>
      </c>
      <c r="C7" s="83" t="str">
        <f t="shared" si="2"/>
        <v>POR</v>
      </c>
      <c r="D7" s="28" t="str">
        <f t="shared" si="3"/>
        <v>Almería</v>
      </c>
      <c r="E7" s="91" t="str">
        <f t="shared" si="4"/>
        <v>Pé Direito</v>
      </c>
      <c r="F7" s="155">
        <f t="shared" si="5"/>
        <v>1.84</v>
      </c>
      <c r="G7" s="36">
        <f t="shared" si="6"/>
        <v>24</v>
      </c>
      <c r="H7" s="297" t="str">
        <f t="shared" si="7"/>
        <v>32m € p/m</v>
      </c>
      <c r="I7" s="35">
        <f t="shared" si="8"/>
        <v>47299</v>
      </c>
      <c r="J7" s="28" t="str">
        <f t="shared" si="9"/>
        <v>150m € - 1,5M €</v>
      </c>
      <c r="K7" s="89">
        <f t="shared" si="10"/>
        <v>15.507777777777779</v>
      </c>
      <c r="L7" s="134">
        <f t="shared" si="11"/>
        <v>16.044444444444444</v>
      </c>
      <c r="M7" s="134">
        <f t="shared" si="12"/>
        <v>17</v>
      </c>
      <c r="N7" s="134">
        <f t="shared" si="13"/>
        <v>84.941176470588232</v>
      </c>
      <c r="O7" s="173">
        <f t="shared" si="14"/>
        <v>1</v>
      </c>
      <c r="P7" s="6">
        <f t="shared" si="15"/>
        <v>0</v>
      </c>
      <c r="Q7" s="6">
        <f t="shared" si="16"/>
        <v>0</v>
      </c>
      <c r="R7" s="6">
        <f t="shared" si="17"/>
        <v>0</v>
      </c>
      <c r="S7" s="21">
        <f t="shared" si="18"/>
        <v>9.9999999999999995E-8</v>
      </c>
      <c r="T7" s="402">
        <f t="shared" si="19"/>
        <v>1</v>
      </c>
      <c r="U7" s="402">
        <f t="shared" si="20"/>
        <v>2</v>
      </c>
      <c r="V7" s="403">
        <f t="shared" si="21"/>
        <v>3</v>
      </c>
      <c r="W7" s="6">
        <f t="shared" si="22"/>
        <v>21</v>
      </c>
      <c r="X7" s="5">
        <f t="shared" si="23"/>
        <v>1.3088642659279779</v>
      </c>
      <c r="Y7" s="6">
        <f t="shared" si="24"/>
        <v>17</v>
      </c>
      <c r="Z7" s="5">
        <f t="shared" si="25"/>
        <v>1.0595567867036011</v>
      </c>
      <c r="AA7" s="6">
        <f t="shared" si="26"/>
        <v>4</v>
      </c>
      <c r="AB7" s="5">
        <f t="shared" si="27"/>
        <v>0.24930747922437674</v>
      </c>
      <c r="AC7" s="6">
        <f t="shared" si="28"/>
        <v>20</v>
      </c>
      <c r="AD7" s="5">
        <f t="shared" si="29"/>
        <v>1.2465373961218837</v>
      </c>
      <c r="AE7" s="21">
        <f t="shared" si="30"/>
        <v>0.19047619047619047</v>
      </c>
      <c r="AF7" s="5">
        <f t="shared" si="31"/>
        <v>21</v>
      </c>
      <c r="AG7" s="5">
        <f t="shared" si="32"/>
        <v>4</v>
      </c>
      <c r="AH7" s="99">
        <f t="shared" si="33"/>
        <v>4.7619047619047616E-2</v>
      </c>
      <c r="AI7" s="290">
        <f t="shared" si="34"/>
        <v>4.7619047619047616E-2</v>
      </c>
      <c r="AJ7" s="326">
        <f t="shared" si="35"/>
        <v>0</v>
      </c>
      <c r="AK7" s="325">
        <f t="shared" si="36"/>
        <v>1</v>
      </c>
      <c r="AL7" s="326">
        <f t="shared" si="37"/>
        <v>0</v>
      </c>
      <c r="AM7" s="329">
        <f t="shared" si="38"/>
        <v>6.2326869806094184E-2</v>
      </c>
      <c r="AN7" s="349">
        <f t="shared" si="39"/>
        <v>9.6266666666666669</v>
      </c>
      <c r="AO7" s="329">
        <f t="shared" si="40"/>
        <v>0.6</v>
      </c>
      <c r="AP7" s="350">
        <f t="shared" si="41"/>
        <v>0.10387811634349031</v>
      </c>
      <c r="AQ7" s="5">
        <f t="shared" si="42"/>
        <v>1.53</v>
      </c>
      <c r="AR7" s="5">
        <f t="shared" si="43"/>
        <v>9.53601108033241E-2</v>
      </c>
      <c r="AS7" s="5">
        <f t="shared" si="44"/>
        <v>1.53</v>
      </c>
      <c r="AT7" s="5">
        <f t="shared" si="45"/>
        <v>9.53601108033241E-2</v>
      </c>
      <c r="AU7" s="5">
        <f t="shared" si="46"/>
        <v>3.15</v>
      </c>
      <c r="AV7" s="5">
        <f t="shared" si="47"/>
        <v>0.19632963988919666</v>
      </c>
      <c r="AW7" s="5">
        <f t="shared" si="48"/>
        <v>4.68</v>
      </c>
      <c r="AX7" s="5">
        <f t="shared" si="49"/>
        <v>0.29168975069252079</v>
      </c>
      <c r="AY7" s="2">
        <f t="shared" si="50"/>
        <v>0</v>
      </c>
      <c r="AZ7" s="5">
        <f t="shared" si="51"/>
        <v>5000</v>
      </c>
      <c r="BA7" s="21">
        <f t="shared" si="52"/>
        <v>0</v>
      </c>
      <c r="BB7" s="195">
        <f t="shared" si="53"/>
        <v>236.69777777777776</v>
      </c>
      <c r="BC7" s="5">
        <f t="shared" si="54"/>
        <v>14.752631578947367</v>
      </c>
      <c r="BD7" s="6">
        <f t="shared" si="55"/>
        <v>51</v>
      </c>
      <c r="BE7" s="5">
        <f t="shared" si="56"/>
        <v>3.1786703601108033</v>
      </c>
      <c r="BF7" s="6">
        <f t="shared" si="57"/>
        <v>54</v>
      </c>
      <c r="BG7" s="5">
        <f t="shared" si="58"/>
        <v>3.3656509695290859</v>
      </c>
      <c r="BH7" s="6">
        <f t="shared" si="59"/>
        <v>38</v>
      </c>
      <c r="BI7" s="5">
        <f t="shared" si="60"/>
        <v>2.3684210526315788</v>
      </c>
      <c r="BJ7" s="6">
        <f t="shared" si="61"/>
        <v>21</v>
      </c>
      <c r="BK7" s="5">
        <f t="shared" si="62"/>
        <v>1.3088642659279779</v>
      </c>
      <c r="BL7" s="6">
        <f t="shared" si="63"/>
        <v>17</v>
      </c>
      <c r="BM7" s="5">
        <f t="shared" si="64"/>
        <v>1.0595567867036011</v>
      </c>
      <c r="BN7" s="20">
        <f t="shared" si="65"/>
        <v>0.55263157894736847</v>
      </c>
      <c r="BO7" s="2">
        <f t="shared" si="66"/>
        <v>13</v>
      </c>
      <c r="BP7" s="5">
        <f t="shared" si="67"/>
        <v>0.81024930747922441</v>
      </c>
      <c r="BQ7" s="2">
        <f t="shared" si="68"/>
        <v>13</v>
      </c>
      <c r="BR7" s="12">
        <f t="shared" si="69"/>
        <v>0</v>
      </c>
      <c r="BS7" s="6">
        <f t="shared" si="70"/>
        <v>123</v>
      </c>
      <c r="BT7" s="5">
        <f t="shared" si="71"/>
        <v>7.6662049861495847</v>
      </c>
      <c r="BU7" s="6">
        <f t="shared" si="72"/>
        <v>33</v>
      </c>
      <c r="BV7" s="5">
        <f t="shared" si="73"/>
        <v>2.0567867036011083</v>
      </c>
      <c r="BW7" s="21">
        <f t="shared" si="74"/>
        <v>0.26829268292682928</v>
      </c>
      <c r="BX7" s="2">
        <f t="shared" si="75"/>
        <v>0</v>
      </c>
      <c r="BY7" s="2">
        <f t="shared" si="76"/>
        <v>0</v>
      </c>
      <c r="BZ7" s="2">
        <f t="shared" si="77"/>
        <v>0</v>
      </c>
      <c r="CA7" s="2">
        <f t="shared" si="78"/>
        <v>34</v>
      </c>
      <c r="CB7" s="2">
        <f t="shared" si="79"/>
        <v>21</v>
      </c>
      <c r="CC7" s="21">
        <f t="shared" si="80"/>
        <v>0.61764705882352944</v>
      </c>
      <c r="CD7" s="21">
        <f t="shared" si="81"/>
        <v>1</v>
      </c>
      <c r="CE7" s="6">
        <f t="shared" si="82"/>
        <v>0</v>
      </c>
      <c r="CF7" s="5">
        <f t="shared" si="83"/>
        <v>0</v>
      </c>
      <c r="CG7" s="167">
        <f t="shared" si="84"/>
        <v>0</v>
      </c>
      <c r="CH7" s="167">
        <f t="shared" si="85"/>
        <v>0</v>
      </c>
      <c r="CI7" s="168">
        <f t="shared" si="86"/>
        <v>0</v>
      </c>
      <c r="CJ7" s="6">
        <f t="shared" si="87"/>
        <v>863</v>
      </c>
      <c r="CK7" s="6">
        <f t="shared" si="88"/>
        <v>768</v>
      </c>
      <c r="CL7" s="5">
        <f t="shared" si="89"/>
        <v>41.945983379501385</v>
      </c>
      <c r="CM7" s="6">
        <f t="shared" si="90"/>
        <v>95</v>
      </c>
      <c r="CN7" s="21">
        <f t="shared" si="91"/>
        <v>0.88991888760139048</v>
      </c>
      <c r="CO7" s="6">
        <f t="shared" si="92"/>
        <v>31</v>
      </c>
      <c r="CP7" s="5">
        <f t="shared" si="93"/>
        <v>1.9321329639889198</v>
      </c>
      <c r="CQ7" s="6">
        <f t="shared" si="94"/>
        <v>16</v>
      </c>
      <c r="CR7" s="6">
        <f t="shared" si="95"/>
        <v>15</v>
      </c>
      <c r="CS7" s="20">
        <f t="shared" si="96"/>
        <v>0.5161290322580645</v>
      </c>
      <c r="CT7" s="5">
        <f t="shared" si="97"/>
        <v>61.578947368421055</v>
      </c>
      <c r="CU7" s="6">
        <f t="shared" si="98"/>
        <v>1113.1500000000001</v>
      </c>
      <c r="CV7" s="5">
        <f t="shared" si="99"/>
        <v>69.379155124653749</v>
      </c>
      <c r="CW7" s="6">
        <f t="shared" si="100"/>
        <v>864.25</v>
      </c>
      <c r="CX7" s="5">
        <f t="shared" si="101"/>
        <v>53.8659972299169</v>
      </c>
      <c r="CY7" s="21">
        <f t="shared" si="102"/>
        <v>0.77640030543951843</v>
      </c>
      <c r="CZ7" s="6">
        <f t="shared" si="103"/>
        <v>19.149999999999999</v>
      </c>
      <c r="DA7" s="5">
        <f t="shared" si="104"/>
        <v>1.1935595567867034</v>
      </c>
      <c r="DB7" s="6">
        <f t="shared" si="105"/>
        <v>12</v>
      </c>
      <c r="DC7" s="5">
        <f t="shared" si="106"/>
        <v>0.74792243767313016</v>
      </c>
      <c r="DD7" s="5">
        <f t="shared" si="107"/>
        <v>6</v>
      </c>
      <c r="DE7" s="21">
        <f t="shared" si="108"/>
        <v>0.16666666666666666</v>
      </c>
      <c r="DF7" s="5">
        <f t="shared" si="109"/>
        <v>0.26250000000000001</v>
      </c>
      <c r="DG7" s="287">
        <f t="shared" si="110"/>
        <v>0.26250000000000001</v>
      </c>
      <c r="DH7" s="6">
        <f t="shared" si="111"/>
        <v>45</v>
      </c>
      <c r="DI7" s="5">
        <f t="shared" si="112"/>
        <v>2.8047091412742384</v>
      </c>
      <c r="DJ7" s="142">
        <f t="shared" si="113"/>
        <v>192</v>
      </c>
      <c r="DK7" s="5">
        <f t="shared" si="114"/>
        <v>11.966759002770083</v>
      </c>
      <c r="DL7" s="390">
        <f t="shared" si="115"/>
        <v>258.07229916897506</v>
      </c>
      <c r="DM7" s="169">
        <f t="shared" si="116"/>
        <v>112</v>
      </c>
      <c r="DN7" s="107">
        <f t="shared" si="117"/>
        <v>6.9806094182825484</v>
      </c>
      <c r="DO7" s="107">
        <f t="shared" si="118"/>
        <v>5.0999999999999996</v>
      </c>
      <c r="DP7" s="107">
        <f t="shared" si="119"/>
        <v>7.05</v>
      </c>
      <c r="DQ7" s="268"/>
      <c r="DR7" s="264" t="s">
        <v>589</v>
      </c>
      <c r="DS7" s="264" t="s">
        <v>641</v>
      </c>
      <c r="DT7" s="264">
        <v>24</v>
      </c>
      <c r="DU7" s="264" t="s">
        <v>632</v>
      </c>
      <c r="DV7" s="264" t="s">
        <v>540</v>
      </c>
      <c r="DW7" s="264" t="s">
        <v>573</v>
      </c>
      <c r="DX7" s="264" t="s">
        <v>637</v>
      </c>
      <c r="DY7" s="264" t="s">
        <v>587</v>
      </c>
      <c r="DZ7" s="265">
        <v>47299</v>
      </c>
      <c r="EA7" s="264">
        <v>1444</v>
      </c>
      <c r="EB7" s="264">
        <v>17</v>
      </c>
      <c r="EC7" s="264">
        <v>0</v>
      </c>
      <c r="ED7" s="264">
        <v>0</v>
      </c>
      <c r="EE7" s="264">
        <v>1</v>
      </c>
      <c r="EF7" s="264">
        <v>2</v>
      </c>
      <c r="EG7" s="264">
        <v>0</v>
      </c>
      <c r="EH7" s="264">
        <v>0</v>
      </c>
      <c r="EI7" s="264">
        <v>4</v>
      </c>
      <c r="EJ7" s="264">
        <v>1</v>
      </c>
      <c r="EK7" s="264">
        <v>5.0999999999999996</v>
      </c>
      <c r="EL7" s="264" t="s">
        <v>671</v>
      </c>
      <c r="EM7" s="264" t="s">
        <v>672</v>
      </c>
      <c r="EN7" s="264">
        <v>13</v>
      </c>
      <c r="EO7" s="264">
        <v>10</v>
      </c>
      <c r="EP7" s="264">
        <v>31</v>
      </c>
      <c r="EQ7" s="264">
        <v>16</v>
      </c>
      <c r="ER7" s="264">
        <v>0.1</v>
      </c>
      <c r="ES7" s="264">
        <v>863</v>
      </c>
      <c r="ET7" s="264">
        <v>768</v>
      </c>
      <c r="EU7" s="264">
        <v>12</v>
      </c>
      <c r="EV7" s="264">
        <v>80</v>
      </c>
      <c r="EW7" s="264">
        <v>8</v>
      </c>
      <c r="EX7" s="264">
        <v>21</v>
      </c>
      <c r="EY7" s="264">
        <v>4</v>
      </c>
      <c r="EZ7" s="264">
        <v>123</v>
      </c>
      <c r="FA7" s="264">
        <v>33</v>
      </c>
      <c r="FB7" s="264">
        <v>25</v>
      </c>
      <c r="FC7" s="264">
        <v>21</v>
      </c>
      <c r="FD7" s="264">
        <v>0</v>
      </c>
      <c r="FE7" s="264">
        <v>3</v>
      </c>
      <c r="FF7" s="264">
        <v>36</v>
      </c>
      <c r="FG7" s="264">
        <v>1</v>
      </c>
      <c r="FH7" s="264">
        <v>11</v>
      </c>
      <c r="FI7" s="264">
        <v>11.2</v>
      </c>
      <c r="FJ7" s="264">
        <v>0.6</v>
      </c>
      <c r="FK7" s="264">
        <v>0</v>
      </c>
      <c r="FL7" s="264">
        <v>0</v>
      </c>
      <c r="FM7" s="264">
        <v>0</v>
      </c>
      <c r="FN7" s="264">
        <v>0</v>
      </c>
      <c r="FO7" s="264">
        <v>0</v>
      </c>
      <c r="FP7" s="264" t="s">
        <v>621</v>
      </c>
      <c r="FQ7" s="269">
        <v>7.05</v>
      </c>
    </row>
    <row r="8" spans="1:173" ht="24.95" customHeight="1" thickBot="1" x14ac:dyDescent="0.3">
      <c r="A8" s="29" t="str">
        <f t="shared" si="0"/>
        <v>7º</v>
      </c>
      <c r="B8" s="67" t="str">
        <f t="shared" si="1"/>
        <v>Iker Muñoz</v>
      </c>
      <c r="C8" s="83" t="str">
        <f t="shared" si="2"/>
        <v>ESP</v>
      </c>
      <c r="D8" s="28" t="str">
        <f t="shared" si="3"/>
        <v>Osasuna</v>
      </c>
      <c r="E8" s="91" t="str">
        <f t="shared" si="4"/>
        <v>Pé Direito</v>
      </c>
      <c r="F8" s="155">
        <f t="shared" si="5"/>
        <v>1.79</v>
      </c>
      <c r="G8" s="36">
        <f t="shared" si="6"/>
        <v>24</v>
      </c>
      <c r="H8" s="297" t="str">
        <f t="shared" si="7"/>
        <v>55m € p/m</v>
      </c>
      <c r="I8" s="35">
        <f t="shared" si="8"/>
        <v>47664</v>
      </c>
      <c r="J8" s="28" t="str">
        <f t="shared" si="9"/>
        <v>8,8M €</v>
      </c>
      <c r="K8" s="89">
        <f t="shared" si="10"/>
        <v>15.507777777777779</v>
      </c>
      <c r="L8" s="134">
        <f t="shared" si="11"/>
        <v>15.877777777777778</v>
      </c>
      <c r="M8" s="134">
        <f t="shared" si="12"/>
        <v>18</v>
      </c>
      <c r="N8" s="134">
        <f t="shared" si="13"/>
        <v>79.388888888888886</v>
      </c>
      <c r="O8" s="173">
        <f t="shared" si="14"/>
        <v>1</v>
      </c>
      <c r="P8" s="6">
        <f t="shared" si="15"/>
        <v>0</v>
      </c>
      <c r="Q8" s="6">
        <f t="shared" si="16"/>
        <v>0</v>
      </c>
      <c r="R8" s="6">
        <f t="shared" si="17"/>
        <v>0</v>
      </c>
      <c r="S8" s="21">
        <f t="shared" si="18"/>
        <v>9.9999999999999995E-8</v>
      </c>
      <c r="T8" s="402">
        <f t="shared" si="19"/>
        <v>1</v>
      </c>
      <c r="U8" s="402">
        <f t="shared" si="20"/>
        <v>3</v>
      </c>
      <c r="V8" s="403">
        <f t="shared" si="21"/>
        <v>4</v>
      </c>
      <c r="W8" s="6">
        <f t="shared" si="22"/>
        <v>12</v>
      </c>
      <c r="X8" s="5">
        <f t="shared" si="23"/>
        <v>0.7557732680195941</v>
      </c>
      <c r="Y8" s="6">
        <f t="shared" si="24"/>
        <v>8</v>
      </c>
      <c r="Z8" s="5">
        <f t="shared" si="25"/>
        <v>0.50384884534639607</v>
      </c>
      <c r="AA8" s="6">
        <f t="shared" si="26"/>
        <v>4</v>
      </c>
      <c r="AB8" s="5">
        <f t="shared" si="27"/>
        <v>0.25192442267319803</v>
      </c>
      <c r="AC8" s="6">
        <f t="shared" si="28"/>
        <v>11</v>
      </c>
      <c r="AD8" s="5">
        <f t="shared" si="29"/>
        <v>0.69279216235129459</v>
      </c>
      <c r="AE8" s="21">
        <f t="shared" si="30"/>
        <v>0.33333333333333331</v>
      </c>
      <c r="AF8" s="5">
        <f t="shared" si="31"/>
        <v>12</v>
      </c>
      <c r="AG8" s="5">
        <f t="shared" si="32"/>
        <v>4</v>
      </c>
      <c r="AH8" s="99">
        <f t="shared" si="33"/>
        <v>8.3333333333333329E-2</v>
      </c>
      <c r="AI8" s="290">
        <f t="shared" si="34"/>
        <v>8.3333333333333329E-2</v>
      </c>
      <c r="AJ8" s="326">
        <f t="shared" si="35"/>
        <v>0</v>
      </c>
      <c r="AK8" s="325">
        <f t="shared" si="36"/>
        <v>1</v>
      </c>
      <c r="AL8" s="326">
        <f t="shared" si="37"/>
        <v>0</v>
      </c>
      <c r="AM8" s="329">
        <f t="shared" si="38"/>
        <v>6.2981105668299509E-2</v>
      </c>
      <c r="AN8" s="349">
        <f t="shared" si="39"/>
        <v>9.5266666666666673</v>
      </c>
      <c r="AO8" s="329">
        <f t="shared" si="40"/>
        <v>0.6</v>
      </c>
      <c r="AP8" s="350">
        <f t="shared" si="41"/>
        <v>0.10496850944716585</v>
      </c>
      <c r="AQ8" s="5">
        <f t="shared" si="42"/>
        <v>0.6</v>
      </c>
      <c r="AR8" s="5">
        <f t="shared" si="43"/>
        <v>3.7788663400979701E-2</v>
      </c>
      <c r="AS8" s="5">
        <f t="shared" si="44"/>
        <v>0.6</v>
      </c>
      <c r="AT8" s="5">
        <f t="shared" si="45"/>
        <v>3.7788663400979701E-2</v>
      </c>
      <c r="AU8" s="5">
        <f t="shared" si="46"/>
        <v>1.64</v>
      </c>
      <c r="AV8" s="5">
        <f t="shared" si="47"/>
        <v>0.10328901329601119</v>
      </c>
      <c r="AW8" s="5">
        <f t="shared" si="48"/>
        <v>2.2399999999999998</v>
      </c>
      <c r="AX8" s="5">
        <f t="shared" si="49"/>
        <v>0.14107767669699089</v>
      </c>
      <c r="AY8" s="2">
        <f t="shared" si="50"/>
        <v>1</v>
      </c>
      <c r="AZ8" s="5">
        <f t="shared" si="51"/>
        <v>1429</v>
      </c>
      <c r="BA8" s="21">
        <f t="shared" si="52"/>
        <v>6.2981105668299509E-2</v>
      </c>
      <c r="BB8" s="195">
        <f t="shared" si="53"/>
        <v>215.42666666666668</v>
      </c>
      <c r="BC8" s="5">
        <f t="shared" si="54"/>
        <v>13.567809657102869</v>
      </c>
      <c r="BD8" s="6">
        <f t="shared" si="55"/>
        <v>71.5</v>
      </c>
      <c r="BE8" s="5">
        <f t="shared" si="56"/>
        <v>4.5031490552834148</v>
      </c>
      <c r="BF8" s="6">
        <f t="shared" si="57"/>
        <v>56.5</v>
      </c>
      <c r="BG8" s="5">
        <f t="shared" si="58"/>
        <v>3.5584324702589223</v>
      </c>
      <c r="BH8" s="6">
        <f t="shared" si="59"/>
        <v>31</v>
      </c>
      <c r="BI8" s="5">
        <f t="shared" si="60"/>
        <v>1.9524142757172847</v>
      </c>
      <c r="BJ8" s="6">
        <f t="shared" si="61"/>
        <v>16</v>
      </c>
      <c r="BK8" s="5">
        <f t="shared" si="62"/>
        <v>1.0076976906927921</v>
      </c>
      <c r="BL8" s="6">
        <f t="shared" si="63"/>
        <v>15</v>
      </c>
      <c r="BM8" s="5">
        <f t="shared" si="64"/>
        <v>0.94471658502449263</v>
      </c>
      <c r="BN8" s="20">
        <f t="shared" si="65"/>
        <v>0.5161290322580645</v>
      </c>
      <c r="BO8" s="2">
        <f t="shared" si="66"/>
        <v>3</v>
      </c>
      <c r="BP8" s="5">
        <f t="shared" si="67"/>
        <v>0.18894331700489853</v>
      </c>
      <c r="BQ8" s="2">
        <f t="shared" si="68"/>
        <v>3</v>
      </c>
      <c r="BR8" s="12">
        <f t="shared" si="69"/>
        <v>0</v>
      </c>
      <c r="BS8" s="6">
        <f t="shared" si="70"/>
        <v>138</v>
      </c>
      <c r="BT8" s="5">
        <f t="shared" si="71"/>
        <v>8.6913925822253315</v>
      </c>
      <c r="BU8" s="6">
        <f t="shared" si="72"/>
        <v>39</v>
      </c>
      <c r="BV8" s="5">
        <f t="shared" si="73"/>
        <v>2.4562631210636807</v>
      </c>
      <c r="BW8" s="21">
        <f t="shared" si="74"/>
        <v>0.28260869565217389</v>
      </c>
      <c r="BX8" s="2">
        <f t="shared" si="75"/>
        <v>0</v>
      </c>
      <c r="BY8" s="2">
        <f t="shared" si="76"/>
        <v>0</v>
      </c>
      <c r="BZ8" s="2">
        <f t="shared" si="77"/>
        <v>0</v>
      </c>
      <c r="CA8" s="2">
        <f t="shared" si="78"/>
        <v>22</v>
      </c>
      <c r="CB8" s="2">
        <f t="shared" si="79"/>
        <v>19</v>
      </c>
      <c r="CC8" s="21">
        <f t="shared" si="80"/>
        <v>0.86363636363636365</v>
      </c>
      <c r="CD8" s="21">
        <f t="shared" si="81"/>
        <v>1</v>
      </c>
      <c r="CE8" s="6">
        <f t="shared" si="82"/>
        <v>3</v>
      </c>
      <c r="CF8" s="5">
        <f t="shared" si="83"/>
        <v>0.18894331700489853</v>
      </c>
      <c r="CG8" s="167">
        <f t="shared" si="84"/>
        <v>8</v>
      </c>
      <c r="CH8" s="167">
        <f t="shared" si="85"/>
        <v>2</v>
      </c>
      <c r="CI8" s="168">
        <f t="shared" si="86"/>
        <v>0.25</v>
      </c>
      <c r="CJ8" s="6">
        <f t="shared" si="87"/>
        <v>1010</v>
      </c>
      <c r="CK8" s="6">
        <f t="shared" si="88"/>
        <v>943</v>
      </c>
      <c r="CL8" s="5">
        <f t="shared" si="89"/>
        <v>55.171448565430367</v>
      </c>
      <c r="CM8" s="6">
        <f t="shared" si="90"/>
        <v>67</v>
      </c>
      <c r="CN8" s="21">
        <f t="shared" si="91"/>
        <v>0.93366336633663372</v>
      </c>
      <c r="CO8" s="6">
        <f t="shared" si="92"/>
        <v>29</v>
      </c>
      <c r="CP8" s="5">
        <f t="shared" si="93"/>
        <v>1.8264520643806856</v>
      </c>
      <c r="CQ8" s="6">
        <f t="shared" si="94"/>
        <v>18</v>
      </c>
      <c r="CR8" s="6">
        <f t="shared" si="95"/>
        <v>11</v>
      </c>
      <c r="CS8" s="20">
        <f t="shared" si="96"/>
        <v>0.62068965517241381</v>
      </c>
      <c r="CT8" s="5">
        <f t="shared" si="97"/>
        <v>72.176347095871236</v>
      </c>
      <c r="CU8" s="6">
        <f t="shared" si="98"/>
        <v>1251.6400000000001</v>
      </c>
      <c r="CV8" s="5">
        <f t="shared" si="99"/>
        <v>78.829671098670403</v>
      </c>
      <c r="CW8" s="6">
        <f t="shared" si="100"/>
        <v>1042.25</v>
      </c>
      <c r="CX8" s="5">
        <f t="shared" si="101"/>
        <v>65.642057382785168</v>
      </c>
      <c r="CY8" s="21">
        <f t="shared" si="102"/>
        <v>0.83270748777603776</v>
      </c>
      <c r="CZ8" s="6">
        <f t="shared" si="103"/>
        <v>30.64</v>
      </c>
      <c r="DA8" s="5">
        <f t="shared" si="104"/>
        <v>1.929741077676697</v>
      </c>
      <c r="DB8" s="6">
        <f t="shared" si="105"/>
        <v>25</v>
      </c>
      <c r="DC8" s="5">
        <f t="shared" si="106"/>
        <v>1.5745276417074876</v>
      </c>
      <c r="DD8" s="5">
        <f t="shared" si="107"/>
        <v>8.3333333333333339</v>
      </c>
      <c r="DE8" s="21">
        <f t="shared" si="108"/>
        <v>0.12</v>
      </c>
      <c r="DF8" s="5">
        <f t="shared" si="109"/>
        <v>6.5599999999999992E-2</v>
      </c>
      <c r="DG8" s="287">
        <f t="shared" si="110"/>
        <v>6.5599999999999992E-2</v>
      </c>
      <c r="DH8" s="6">
        <f t="shared" si="111"/>
        <v>42</v>
      </c>
      <c r="DI8" s="5">
        <f t="shared" si="112"/>
        <v>2.6452064380685791</v>
      </c>
      <c r="DJ8" s="142">
        <f t="shared" si="113"/>
        <v>189.9</v>
      </c>
      <c r="DK8" s="5">
        <f t="shared" si="114"/>
        <v>11.960111966410077</v>
      </c>
      <c r="DL8" s="390">
        <f t="shared" si="115"/>
        <v>510.55675997200842</v>
      </c>
      <c r="DM8" s="169">
        <f t="shared" si="116"/>
        <v>75</v>
      </c>
      <c r="DN8" s="107">
        <f t="shared" si="117"/>
        <v>4.7235829251224635</v>
      </c>
      <c r="DO8" s="107">
        <f t="shared" si="118"/>
        <v>8.3000000000000007</v>
      </c>
      <c r="DP8" s="107">
        <f t="shared" si="119"/>
        <v>7.02</v>
      </c>
      <c r="DQ8" s="270"/>
      <c r="DR8" s="266" t="s">
        <v>613</v>
      </c>
      <c r="DS8" s="266" t="s">
        <v>642</v>
      </c>
      <c r="DT8" s="266">
        <v>24</v>
      </c>
      <c r="DU8" s="266" t="s">
        <v>619</v>
      </c>
      <c r="DV8" s="266" t="s">
        <v>565</v>
      </c>
      <c r="DW8" s="266" t="s">
        <v>573</v>
      </c>
      <c r="DX8" s="266" t="s">
        <v>612</v>
      </c>
      <c r="DY8" s="266" t="s">
        <v>643</v>
      </c>
      <c r="DZ8" s="267">
        <v>47664</v>
      </c>
      <c r="EA8" s="266">
        <v>1429</v>
      </c>
      <c r="EB8" s="266">
        <v>18</v>
      </c>
      <c r="EC8" s="266">
        <v>1</v>
      </c>
      <c r="ED8" s="266">
        <v>0</v>
      </c>
      <c r="EE8" s="266">
        <v>1</v>
      </c>
      <c r="EF8" s="266">
        <v>3</v>
      </c>
      <c r="EG8" s="266">
        <v>0</v>
      </c>
      <c r="EH8" s="266">
        <v>0</v>
      </c>
      <c r="EI8" s="266">
        <v>2</v>
      </c>
      <c r="EJ8" s="266">
        <v>1</v>
      </c>
      <c r="EK8" s="266">
        <v>8.3000000000000007</v>
      </c>
      <c r="EL8" s="266" t="s">
        <v>673</v>
      </c>
      <c r="EM8" s="266" t="s">
        <v>674</v>
      </c>
      <c r="EN8" s="266">
        <v>3</v>
      </c>
      <c r="EO8" s="266">
        <v>12</v>
      </c>
      <c r="EP8" s="266">
        <v>29</v>
      </c>
      <c r="EQ8" s="266">
        <v>18</v>
      </c>
      <c r="ER8" s="266">
        <v>0.3</v>
      </c>
      <c r="ES8" s="266">
        <v>1010</v>
      </c>
      <c r="ET8" s="266">
        <v>943</v>
      </c>
      <c r="EU8" s="266">
        <v>25</v>
      </c>
      <c r="EV8" s="266">
        <v>122</v>
      </c>
      <c r="EW8" s="266">
        <v>1</v>
      </c>
      <c r="EX8" s="266">
        <v>12</v>
      </c>
      <c r="EY8" s="266">
        <v>4</v>
      </c>
      <c r="EZ8" s="266">
        <v>138</v>
      </c>
      <c r="FA8" s="266">
        <v>39</v>
      </c>
      <c r="FB8" s="266">
        <v>28</v>
      </c>
      <c r="FC8" s="266">
        <v>16</v>
      </c>
      <c r="FD8" s="266">
        <v>3</v>
      </c>
      <c r="FE8" s="266">
        <v>8</v>
      </c>
      <c r="FF8" s="266">
        <v>44</v>
      </c>
      <c r="FG8" s="266">
        <v>3</v>
      </c>
      <c r="FH8" s="266">
        <v>15</v>
      </c>
      <c r="FI8" s="266">
        <v>9.6</v>
      </c>
      <c r="FJ8" s="266">
        <v>0.6</v>
      </c>
      <c r="FK8" s="266">
        <v>8</v>
      </c>
      <c r="FL8" s="266">
        <v>2</v>
      </c>
      <c r="FM8" s="266">
        <v>0</v>
      </c>
      <c r="FN8" s="266">
        <v>0</v>
      </c>
      <c r="FO8" s="266">
        <v>0</v>
      </c>
      <c r="FP8" s="266" t="s">
        <v>644</v>
      </c>
      <c r="FQ8" s="271">
        <v>7.02</v>
      </c>
    </row>
    <row r="9" spans="1:173" ht="24.95" customHeight="1" thickBot="1" x14ac:dyDescent="0.3">
      <c r="A9" s="29" t="str">
        <f t="shared" si="0"/>
        <v>8º</v>
      </c>
      <c r="B9" s="67" t="str">
        <f t="shared" si="1"/>
        <v>Jude Bellingham</v>
      </c>
      <c r="C9" s="83" t="str">
        <f t="shared" si="2"/>
        <v>ENG</v>
      </c>
      <c r="D9" s="28" t="str">
        <f t="shared" si="3"/>
        <v>Real Madrid</v>
      </c>
      <c r="E9" s="91" t="str">
        <f t="shared" si="4"/>
        <v>Pé Direito</v>
      </c>
      <c r="F9" s="155">
        <f t="shared" si="5"/>
        <v>1.86</v>
      </c>
      <c r="G9" s="36">
        <f t="shared" si="6"/>
        <v>23</v>
      </c>
      <c r="H9" s="297" t="str">
        <f t="shared" si="7"/>
        <v>1,84M € p/m</v>
      </c>
      <c r="I9" s="35">
        <f t="shared" si="8"/>
        <v>48029</v>
      </c>
      <c r="J9" s="28" t="str">
        <f t="shared" si="9"/>
        <v>344M € - 375M €</v>
      </c>
      <c r="K9" s="89">
        <f t="shared" si="10"/>
        <v>15.507777777777779</v>
      </c>
      <c r="L9" s="134">
        <f t="shared" si="11"/>
        <v>14.78888888888889</v>
      </c>
      <c r="M9" s="134">
        <f t="shared" si="12"/>
        <v>16</v>
      </c>
      <c r="N9" s="134">
        <f t="shared" si="13"/>
        <v>83.1875</v>
      </c>
      <c r="O9" s="173">
        <f t="shared" si="14"/>
        <v>1</v>
      </c>
      <c r="P9" s="6">
        <f t="shared" si="15"/>
        <v>1</v>
      </c>
      <c r="Q9" s="6">
        <f t="shared" si="16"/>
        <v>1</v>
      </c>
      <c r="R9" s="6">
        <f t="shared" si="17"/>
        <v>0</v>
      </c>
      <c r="S9" s="21">
        <f t="shared" si="18"/>
        <v>1</v>
      </c>
      <c r="T9" s="402">
        <f t="shared" si="19"/>
        <v>5</v>
      </c>
      <c r="U9" s="402">
        <f t="shared" si="20"/>
        <v>2</v>
      </c>
      <c r="V9" s="403">
        <f t="shared" si="21"/>
        <v>7</v>
      </c>
      <c r="W9" s="6">
        <f t="shared" si="22"/>
        <v>30</v>
      </c>
      <c r="X9" s="5">
        <f t="shared" si="23"/>
        <v>2.0285499624342598</v>
      </c>
      <c r="Y9" s="6">
        <f t="shared" si="24"/>
        <v>15</v>
      </c>
      <c r="Z9" s="5">
        <f t="shared" si="25"/>
        <v>1.0142749812171299</v>
      </c>
      <c r="AA9" s="6">
        <f t="shared" si="26"/>
        <v>15</v>
      </c>
      <c r="AB9" s="5">
        <f t="shared" si="27"/>
        <v>1.0142749812171299</v>
      </c>
      <c r="AC9" s="6">
        <f t="shared" si="28"/>
        <v>25</v>
      </c>
      <c r="AD9" s="5">
        <f t="shared" si="29"/>
        <v>1.69045830202855</v>
      </c>
      <c r="AE9" s="21">
        <f t="shared" si="30"/>
        <v>0.5</v>
      </c>
      <c r="AF9" s="5">
        <f t="shared" si="31"/>
        <v>7.25</v>
      </c>
      <c r="AG9" s="5">
        <f t="shared" si="32"/>
        <v>3.5</v>
      </c>
      <c r="AH9" s="99">
        <f t="shared" si="33"/>
        <v>0.13793103448275862</v>
      </c>
      <c r="AI9" s="290">
        <f t="shared" si="34"/>
        <v>0.16666666666666666</v>
      </c>
      <c r="AJ9" s="326">
        <f t="shared" si="35"/>
        <v>3</v>
      </c>
      <c r="AK9" s="325">
        <f t="shared" si="36"/>
        <v>1</v>
      </c>
      <c r="AL9" s="326">
        <f t="shared" si="37"/>
        <v>1</v>
      </c>
      <c r="AM9" s="329">
        <f t="shared" si="38"/>
        <v>6.7618332081141999E-2</v>
      </c>
      <c r="AN9" s="349">
        <f t="shared" si="39"/>
        <v>10.352222222222222</v>
      </c>
      <c r="AO9" s="329">
        <f t="shared" si="40"/>
        <v>0.7</v>
      </c>
      <c r="AP9" s="350">
        <f t="shared" si="41"/>
        <v>9.659761725877429E-2</v>
      </c>
      <c r="AQ9" s="5">
        <f t="shared" si="42"/>
        <v>3.86</v>
      </c>
      <c r="AR9" s="5">
        <f t="shared" si="43"/>
        <v>0.26100676183320809</v>
      </c>
      <c r="AS9" s="5">
        <f t="shared" si="44"/>
        <v>3.07</v>
      </c>
      <c r="AT9" s="5">
        <f t="shared" si="45"/>
        <v>0.20758827948910591</v>
      </c>
      <c r="AU9" s="5">
        <f t="shared" si="46"/>
        <v>4.3899999999999997</v>
      </c>
      <c r="AV9" s="5">
        <f t="shared" si="47"/>
        <v>0.29684447783621332</v>
      </c>
      <c r="AW9" s="5">
        <f t="shared" si="48"/>
        <v>7.4599999999999991</v>
      </c>
      <c r="AX9" s="5">
        <f t="shared" si="49"/>
        <v>0.50443275732531923</v>
      </c>
      <c r="AY9" s="2">
        <f t="shared" si="50"/>
        <v>1</v>
      </c>
      <c r="AZ9" s="5">
        <f t="shared" si="51"/>
        <v>1331</v>
      </c>
      <c r="BA9" s="21">
        <f t="shared" si="52"/>
        <v>6.7618332081141999E-2</v>
      </c>
      <c r="BB9" s="195">
        <f t="shared" si="53"/>
        <v>95.944444444444443</v>
      </c>
      <c r="BC9" s="5">
        <f t="shared" si="54"/>
        <v>6.4876033057851235</v>
      </c>
      <c r="BD9" s="6">
        <f t="shared" si="55"/>
        <v>23.5</v>
      </c>
      <c r="BE9" s="5">
        <f t="shared" si="56"/>
        <v>1.5890308039068368</v>
      </c>
      <c r="BF9" s="6">
        <f t="shared" si="57"/>
        <v>19.5</v>
      </c>
      <c r="BG9" s="5">
        <f t="shared" si="58"/>
        <v>1.3185574755822689</v>
      </c>
      <c r="BH9" s="6">
        <f t="shared" si="59"/>
        <v>16</v>
      </c>
      <c r="BI9" s="5">
        <f t="shared" si="60"/>
        <v>1.081893313298272</v>
      </c>
      <c r="BJ9" s="6">
        <f t="shared" si="61"/>
        <v>5</v>
      </c>
      <c r="BK9" s="5">
        <f t="shared" si="62"/>
        <v>0.33809166040570998</v>
      </c>
      <c r="BL9" s="6">
        <f t="shared" si="63"/>
        <v>11</v>
      </c>
      <c r="BM9" s="5">
        <f t="shared" si="64"/>
        <v>0.74380165289256195</v>
      </c>
      <c r="BN9" s="20">
        <f t="shared" si="65"/>
        <v>0.3125</v>
      </c>
      <c r="BO9" s="2">
        <f t="shared" si="66"/>
        <v>5</v>
      </c>
      <c r="BP9" s="5">
        <f t="shared" si="67"/>
        <v>0.33809166040570998</v>
      </c>
      <c r="BQ9" s="2">
        <f t="shared" si="68"/>
        <v>5</v>
      </c>
      <c r="BR9" s="12">
        <f t="shared" si="69"/>
        <v>0</v>
      </c>
      <c r="BS9" s="6">
        <f t="shared" si="70"/>
        <v>50</v>
      </c>
      <c r="BT9" s="5">
        <f t="shared" si="71"/>
        <v>3.3809166040570999</v>
      </c>
      <c r="BU9" s="6">
        <f t="shared" si="72"/>
        <v>14</v>
      </c>
      <c r="BV9" s="5">
        <f t="shared" si="73"/>
        <v>0.9466566491359879</v>
      </c>
      <c r="BW9" s="21">
        <f t="shared" si="74"/>
        <v>0.28000000000000003</v>
      </c>
      <c r="BX9" s="2">
        <f t="shared" si="75"/>
        <v>0</v>
      </c>
      <c r="BY9" s="2">
        <f t="shared" si="76"/>
        <v>0</v>
      </c>
      <c r="BZ9" s="2">
        <f t="shared" si="77"/>
        <v>0</v>
      </c>
      <c r="CA9" s="2">
        <f t="shared" si="78"/>
        <v>11</v>
      </c>
      <c r="CB9" s="2">
        <f t="shared" si="79"/>
        <v>6</v>
      </c>
      <c r="CC9" s="21">
        <f t="shared" si="80"/>
        <v>0.54545454545454541</v>
      </c>
      <c r="CD9" s="21">
        <f t="shared" si="81"/>
        <v>1</v>
      </c>
      <c r="CE9" s="6">
        <f t="shared" si="82"/>
        <v>1</v>
      </c>
      <c r="CF9" s="5">
        <f t="shared" si="83"/>
        <v>6.7618332081141999E-2</v>
      </c>
      <c r="CG9" s="167">
        <f t="shared" si="84"/>
        <v>19</v>
      </c>
      <c r="CH9" s="167">
        <f t="shared" si="85"/>
        <v>4</v>
      </c>
      <c r="CI9" s="168">
        <f t="shared" si="86"/>
        <v>0.21052631578947367</v>
      </c>
      <c r="CJ9" s="6">
        <f t="shared" si="87"/>
        <v>656</v>
      </c>
      <c r="CK9" s="6">
        <f t="shared" si="88"/>
        <v>592</v>
      </c>
      <c r="CL9" s="5">
        <f t="shared" si="89"/>
        <v>35.70247933884297</v>
      </c>
      <c r="CM9" s="6">
        <f t="shared" si="90"/>
        <v>64</v>
      </c>
      <c r="CN9" s="21">
        <f t="shared" si="91"/>
        <v>0.90243902439024393</v>
      </c>
      <c r="CO9" s="6">
        <f t="shared" si="92"/>
        <v>44</v>
      </c>
      <c r="CP9" s="5">
        <f t="shared" si="93"/>
        <v>2.9752066115702478</v>
      </c>
      <c r="CQ9" s="6">
        <f t="shared" si="94"/>
        <v>14</v>
      </c>
      <c r="CR9" s="6">
        <f t="shared" si="95"/>
        <v>30</v>
      </c>
      <c r="CS9" s="20">
        <f t="shared" si="96"/>
        <v>0.31818181818181818</v>
      </c>
      <c r="CT9" s="5">
        <f t="shared" si="97"/>
        <v>54.094665664913599</v>
      </c>
      <c r="CU9" s="6">
        <f t="shared" si="98"/>
        <v>830.39</v>
      </c>
      <c r="CV9" s="5">
        <f t="shared" si="99"/>
        <v>56.149586776859501</v>
      </c>
      <c r="CW9" s="6">
        <f t="shared" si="100"/>
        <v>657.5</v>
      </c>
      <c r="CX9" s="5">
        <f t="shared" si="101"/>
        <v>44.45905334335086</v>
      </c>
      <c r="CY9" s="21">
        <f t="shared" si="102"/>
        <v>0.79179662568190856</v>
      </c>
      <c r="CZ9" s="6">
        <f t="shared" si="103"/>
        <v>56.39</v>
      </c>
      <c r="DA9" s="5">
        <f t="shared" si="104"/>
        <v>3.812997746055597</v>
      </c>
      <c r="DB9" s="6">
        <f t="shared" si="105"/>
        <v>36</v>
      </c>
      <c r="DC9" s="5">
        <f t="shared" si="106"/>
        <v>2.4342599549211119</v>
      </c>
      <c r="DD9" s="5">
        <f t="shared" si="107"/>
        <v>18</v>
      </c>
      <c r="DE9" s="21">
        <f t="shared" si="108"/>
        <v>5.5555555555555552E-2</v>
      </c>
      <c r="DF9" s="5">
        <f t="shared" si="109"/>
        <v>0.12194444444444444</v>
      </c>
      <c r="DG9" s="287">
        <f t="shared" si="110"/>
        <v>0.12194444444444444</v>
      </c>
      <c r="DH9" s="6">
        <f t="shared" si="111"/>
        <v>95</v>
      </c>
      <c r="DI9" s="5">
        <f t="shared" si="112"/>
        <v>6.4237415477084898</v>
      </c>
      <c r="DJ9" s="142">
        <f t="shared" si="113"/>
        <v>153.69999999999999</v>
      </c>
      <c r="DK9" s="5">
        <f t="shared" si="114"/>
        <v>10.392937640871525</v>
      </c>
      <c r="DL9" s="390">
        <f t="shared" si="115"/>
        <v>181.83078136739294</v>
      </c>
      <c r="DM9" s="169">
        <f t="shared" si="116"/>
        <v>79</v>
      </c>
      <c r="DN9" s="107">
        <f t="shared" si="117"/>
        <v>5.3418482344102172</v>
      </c>
      <c r="DO9" s="107">
        <f t="shared" si="118"/>
        <v>7.4</v>
      </c>
      <c r="DP9" s="107">
        <f t="shared" si="119"/>
        <v>7.13</v>
      </c>
      <c r="DQ9" s="268"/>
      <c r="DR9" s="264" t="s">
        <v>609</v>
      </c>
      <c r="DS9" s="264" t="s">
        <v>651</v>
      </c>
      <c r="DT9" s="264">
        <v>23</v>
      </c>
      <c r="DU9" s="264" t="s">
        <v>645</v>
      </c>
      <c r="DV9" s="264" t="s">
        <v>541</v>
      </c>
      <c r="DW9" s="264" t="s">
        <v>573</v>
      </c>
      <c r="DX9" s="264" t="s">
        <v>652</v>
      </c>
      <c r="DY9" s="264" t="s">
        <v>653</v>
      </c>
      <c r="DZ9" s="265">
        <v>48029</v>
      </c>
      <c r="EA9" s="264">
        <v>1331</v>
      </c>
      <c r="EB9" s="264" t="s">
        <v>650</v>
      </c>
      <c r="EC9" s="264">
        <v>1</v>
      </c>
      <c r="ED9" s="264">
        <v>0</v>
      </c>
      <c r="EE9" s="264">
        <v>5</v>
      </c>
      <c r="EF9" s="264">
        <v>2</v>
      </c>
      <c r="EG9" s="264">
        <v>0</v>
      </c>
      <c r="EH9" s="264">
        <v>0</v>
      </c>
      <c r="EI9" s="264">
        <v>12</v>
      </c>
      <c r="EJ9" s="264">
        <v>1</v>
      </c>
      <c r="EK9" s="264">
        <v>7.4</v>
      </c>
      <c r="EL9" s="264" t="s">
        <v>676</v>
      </c>
      <c r="EM9" s="264" t="s">
        <v>677</v>
      </c>
      <c r="EN9" s="264">
        <v>5</v>
      </c>
      <c r="EO9" s="264">
        <v>10</v>
      </c>
      <c r="EP9" s="264">
        <v>44</v>
      </c>
      <c r="EQ9" s="264">
        <v>14</v>
      </c>
      <c r="ER9" s="264">
        <v>0.1</v>
      </c>
      <c r="ES9" s="264">
        <v>656</v>
      </c>
      <c r="ET9" s="264">
        <v>592</v>
      </c>
      <c r="EU9" s="264">
        <v>36</v>
      </c>
      <c r="EV9" s="264">
        <v>75</v>
      </c>
      <c r="EW9" s="264">
        <v>13</v>
      </c>
      <c r="EX9" s="264">
        <v>30</v>
      </c>
      <c r="EY9" s="264">
        <v>15</v>
      </c>
      <c r="EZ9" s="264">
        <v>50</v>
      </c>
      <c r="FA9" s="264">
        <v>14</v>
      </c>
      <c r="FB9" s="264">
        <v>11</v>
      </c>
      <c r="FC9" s="264">
        <v>5</v>
      </c>
      <c r="FD9" s="264">
        <v>1</v>
      </c>
      <c r="FE9" s="264">
        <v>1</v>
      </c>
      <c r="FF9" s="264">
        <v>16</v>
      </c>
      <c r="FG9" s="264">
        <v>1</v>
      </c>
      <c r="FH9" s="264">
        <v>5</v>
      </c>
      <c r="FI9" s="264">
        <v>5</v>
      </c>
      <c r="FJ9" s="264">
        <v>0.7</v>
      </c>
      <c r="FK9" s="264">
        <v>19</v>
      </c>
      <c r="FL9" s="264">
        <v>4</v>
      </c>
      <c r="FM9" s="264">
        <v>0</v>
      </c>
      <c r="FN9" s="264">
        <v>1</v>
      </c>
      <c r="FO9" s="264">
        <v>1</v>
      </c>
      <c r="FP9" s="264" t="s">
        <v>654</v>
      </c>
      <c r="FQ9" s="269">
        <v>7.13</v>
      </c>
    </row>
    <row r="10" spans="1:173" ht="24.95" customHeight="1" thickBot="1" x14ac:dyDescent="0.3">
      <c r="A10" s="29" t="str">
        <f t="shared" si="0"/>
        <v>9º</v>
      </c>
      <c r="B10" s="67" t="str">
        <f t="shared" si="1"/>
        <v>Khéphren Thuram</v>
      </c>
      <c r="C10" s="83" t="str">
        <f t="shared" si="2"/>
        <v>FRA</v>
      </c>
      <c r="D10" s="28" t="str">
        <f t="shared" si="3"/>
        <v>Juventus</v>
      </c>
      <c r="E10" s="91" t="str">
        <f t="shared" si="4"/>
        <v>Pé Direito</v>
      </c>
      <c r="F10" s="155">
        <f t="shared" si="5"/>
        <v>1.92</v>
      </c>
      <c r="G10" s="36">
        <f t="shared" si="6"/>
        <v>25</v>
      </c>
      <c r="H10" s="297" t="str">
        <f t="shared" si="7"/>
        <v>576m € p/m</v>
      </c>
      <c r="I10" s="35">
        <f t="shared" si="8"/>
        <v>48029</v>
      </c>
      <c r="J10" s="28" t="str">
        <f t="shared" si="9"/>
        <v>55M € - 81M €</v>
      </c>
      <c r="K10" s="89">
        <f t="shared" si="10"/>
        <v>15.507777777777779</v>
      </c>
      <c r="L10" s="134">
        <f t="shared" si="11"/>
        <v>16.966666666666665</v>
      </c>
      <c r="M10" s="134">
        <f t="shared" si="12"/>
        <v>17</v>
      </c>
      <c r="N10" s="134">
        <f t="shared" si="13"/>
        <v>89.82352941176471</v>
      </c>
      <c r="O10" s="173">
        <f t="shared" si="14"/>
        <v>1</v>
      </c>
      <c r="P10" s="6">
        <f t="shared" si="15"/>
        <v>0</v>
      </c>
      <c r="Q10" s="6">
        <f t="shared" si="16"/>
        <v>0</v>
      </c>
      <c r="R10" s="6">
        <f t="shared" si="17"/>
        <v>0</v>
      </c>
      <c r="S10" s="21">
        <f t="shared" si="18"/>
        <v>9.9999999999999995E-8</v>
      </c>
      <c r="T10" s="402">
        <f t="shared" si="19"/>
        <v>2</v>
      </c>
      <c r="U10" s="402">
        <f t="shared" si="20"/>
        <v>6</v>
      </c>
      <c r="V10" s="403">
        <f t="shared" si="21"/>
        <v>8</v>
      </c>
      <c r="W10" s="6">
        <f t="shared" si="22"/>
        <v>29</v>
      </c>
      <c r="X10" s="5">
        <f t="shared" si="23"/>
        <v>1.7092337917485267</v>
      </c>
      <c r="Y10" s="6">
        <f t="shared" si="24"/>
        <v>20</v>
      </c>
      <c r="Z10" s="5">
        <f t="shared" si="25"/>
        <v>1.1787819253438114</v>
      </c>
      <c r="AA10" s="6">
        <f t="shared" si="26"/>
        <v>9</v>
      </c>
      <c r="AB10" s="5">
        <f t="shared" si="27"/>
        <v>0.5304518664047152</v>
      </c>
      <c r="AC10" s="6">
        <f t="shared" si="28"/>
        <v>27</v>
      </c>
      <c r="AD10" s="5">
        <f t="shared" si="29"/>
        <v>1.5913555992141455</v>
      </c>
      <c r="AE10" s="21">
        <f t="shared" si="30"/>
        <v>0.31034482758620691</v>
      </c>
      <c r="AF10" s="5">
        <f t="shared" si="31"/>
        <v>14.5</v>
      </c>
      <c r="AG10" s="5">
        <f t="shared" si="32"/>
        <v>4.5</v>
      </c>
      <c r="AH10" s="99">
        <f t="shared" si="33"/>
        <v>6.8965517241379309E-2</v>
      </c>
      <c r="AI10" s="290">
        <f t="shared" si="34"/>
        <v>6.8965517241379309E-2</v>
      </c>
      <c r="AJ10" s="326">
        <f t="shared" si="35"/>
        <v>1</v>
      </c>
      <c r="AK10" s="325">
        <f t="shared" si="36"/>
        <v>1</v>
      </c>
      <c r="AL10" s="326">
        <f t="shared" si="37"/>
        <v>0</v>
      </c>
      <c r="AM10" s="329">
        <f t="shared" si="38"/>
        <v>5.8939096267190579E-2</v>
      </c>
      <c r="AN10" s="349">
        <f t="shared" si="39"/>
        <v>11.876666666666665</v>
      </c>
      <c r="AO10" s="329">
        <f t="shared" si="40"/>
        <v>0.7</v>
      </c>
      <c r="AP10" s="350">
        <f t="shared" si="41"/>
        <v>8.4198708953129406E-2</v>
      </c>
      <c r="AQ10" s="5">
        <f t="shared" si="42"/>
        <v>3.45</v>
      </c>
      <c r="AR10" s="5">
        <f t="shared" si="43"/>
        <v>0.20333988212180751</v>
      </c>
      <c r="AS10" s="5">
        <f t="shared" si="44"/>
        <v>3.45</v>
      </c>
      <c r="AT10" s="5">
        <f t="shared" si="45"/>
        <v>0.20333988212180751</v>
      </c>
      <c r="AU10" s="5">
        <f t="shared" si="46"/>
        <v>5.25</v>
      </c>
      <c r="AV10" s="5">
        <f t="shared" si="47"/>
        <v>0.30943025540275054</v>
      </c>
      <c r="AW10" s="5">
        <f t="shared" si="48"/>
        <v>8.6999999999999993</v>
      </c>
      <c r="AX10" s="5">
        <f t="shared" si="49"/>
        <v>0.51277013752455791</v>
      </c>
      <c r="AY10" s="2">
        <f t="shared" si="50"/>
        <v>4</v>
      </c>
      <c r="AZ10" s="5">
        <f t="shared" si="51"/>
        <v>381.75</v>
      </c>
      <c r="BA10" s="21">
        <f t="shared" si="52"/>
        <v>0.23575638506876231</v>
      </c>
      <c r="BB10" s="195">
        <f t="shared" si="53"/>
        <v>339.03999999999996</v>
      </c>
      <c r="BC10" s="5">
        <f t="shared" si="54"/>
        <v>19.982711198428291</v>
      </c>
      <c r="BD10" s="6">
        <f t="shared" si="55"/>
        <v>69</v>
      </c>
      <c r="BE10" s="5">
        <f t="shared" si="56"/>
        <v>4.0667976424361498</v>
      </c>
      <c r="BF10" s="6">
        <f t="shared" si="57"/>
        <v>32</v>
      </c>
      <c r="BG10" s="5">
        <f t="shared" si="58"/>
        <v>1.8860510805500985</v>
      </c>
      <c r="BH10" s="6">
        <f t="shared" si="59"/>
        <v>21</v>
      </c>
      <c r="BI10" s="5">
        <f t="shared" si="60"/>
        <v>1.2377210216110022</v>
      </c>
      <c r="BJ10" s="6">
        <f t="shared" si="61"/>
        <v>12</v>
      </c>
      <c r="BK10" s="5">
        <f t="shared" si="62"/>
        <v>0.70726915520628686</v>
      </c>
      <c r="BL10" s="6">
        <f t="shared" si="63"/>
        <v>9</v>
      </c>
      <c r="BM10" s="5">
        <f t="shared" si="64"/>
        <v>0.5304518664047152</v>
      </c>
      <c r="BN10" s="20">
        <f t="shared" si="65"/>
        <v>0.5714285714285714</v>
      </c>
      <c r="BO10" s="2">
        <f t="shared" si="66"/>
        <v>6</v>
      </c>
      <c r="BP10" s="5">
        <f t="shared" si="67"/>
        <v>0.35363457760314343</v>
      </c>
      <c r="BQ10" s="2">
        <f t="shared" si="68"/>
        <v>4</v>
      </c>
      <c r="BR10" s="12">
        <f t="shared" si="69"/>
        <v>0.33333333333333331</v>
      </c>
      <c r="BS10" s="6">
        <f t="shared" si="70"/>
        <v>122</v>
      </c>
      <c r="BT10" s="5">
        <f t="shared" si="71"/>
        <v>7.1905697445972505</v>
      </c>
      <c r="BU10" s="6">
        <f t="shared" si="72"/>
        <v>20</v>
      </c>
      <c r="BV10" s="5">
        <f t="shared" si="73"/>
        <v>1.1787819253438114</v>
      </c>
      <c r="BW10" s="21">
        <f t="shared" si="74"/>
        <v>0.16393442622950818</v>
      </c>
      <c r="BX10" s="2">
        <f t="shared" si="75"/>
        <v>2</v>
      </c>
      <c r="BY10" s="2">
        <f t="shared" si="76"/>
        <v>0</v>
      </c>
      <c r="BZ10" s="2">
        <f t="shared" si="77"/>
        <v>2</v>
      </c>
      <c r="CA10" s="2">
        <f t="shared" si="78"/>
        <v>18</v>
      </c>
      <c r="CB10" s="2">
        <f t="shared" si="79"/>
        <v>12</v>
      </c>
      <c r="CC10" s="21">
        <f t="shared" si="80"/>
        <v>0.66666666666666663</v>
      </c>
      <c r="CD10" s="21">
        <f t="shared" si="81"/>
        <v>0.66666666666666663</v>
      </c>
      <c r="CE10" s="6">
        <f t="shared" si="82"/>
        <v>0</v>
      </c>
      <c r="CF10" s="5">
        <f t="shared" si="83"/>
        <v>0</v>
      </c>
      <c r="CG10" s="167">
        <f t="shared" si="84"/>
        <v>1</v>
      </c>
      <c r="CH10" s="167">
        <f t="shared" si="85"/>
        <v>0</v>
      </c>
      <c r="CI10" s="168">
        <f t="shared" si="86"/>
        <v>0</v>
      </c>
      <c r="CJ10" s="6">
        <f t="shared" si="87"/>
        <v>1121</v>
      </c>
      <c r="CK10" s="6">
        <f t="shared" si="88"/>
        <v>1038</v>
      </c>
      <c r="CL10" s="5">
        <f t="shared" si="89"/>
        <v>56.286836935167003</v>
      </c>
      <c r="CM10" s="6">
        <f t="shared" si="90"/>
        <v>83</v>
      </c>
      <c r="CN10" s="21">
        <f t="shared" si="91"/>
        <v>0.92595896520963428</v>
      </c>
      <c r="CO10" s="6">
        <f t="shared" si="92"/>
        <v>50</v>
      </c>
      <c r="CP10" s="5">
        <f t="shared" si="93"/>
        <v>2.9469548133595289</v>
      </c>
      <c r="CQ10" s="6">
        <f t="shared" si="94"/>
        <v>32</v>
      </c>
      <c r="CR10" s="6">
        <f t="shared" si="95"/>
        <v>18</v>
      </c>
      <c r="CS10" s="20">
        <f t="shared" si="96"/>
        <v>0.64</v>
      </c>
      <c r="CT10" s="5">
        <f t="shared" si="97"/>
        <v>75.38310412573675</v>
      </c>
      <c r="CU10" s="6">
        <f t="shared" si="98"/>
        <v>1367.25</v>
      </c>
      <c r="CV10" s="5">
        <f t="shared" si="99"/>
        <v>80.58447937131632</v>
      </c>
      <c r="CW10" s="6">
        <f t="shared" si="100"/>
        <v>1125.25</v>
      </c>
      <c r="CX10" s="5">
        <f t="shared" si="101"/>
        <v>66.321218074656201</v>
      </c>
      <c r="CY10" s="21">
        <f t="shared" si="102"/>
        <v>0.82300237703419277</v>
      </c>
      <c r="CZ10" s="6">
        <f t="shared" si="103"/>
        <v>33.25</v>
      </c>
      <c r="DA10" s="5">
        <f t="shared" si="104"/>
        <v>1.9597249508840866</v>
      </c>
      <c r="DB10" s="6">
        <f t="shared" si="105"/>
        <v>21</v>
      </c>
      <c r="DC10" s="5">
        <f t="shared" si="106"/>
        <v>1.2377210216110022</v>
      </c>
      <c r="DD10" s="5">
        <f t="shared" si="107"/>
        <v>3.5</v>
      </c>
      <c r="DE10" s="21">
        <f t="shared" si="108"/>
        <v>0.2857142857142857</v>
      </c>
      <c r="DF10" s="5">
        <f t="shared" si="109"/>
        <v>0.25</v>
      </c>
      <c r="DG10" s="287">
        <f t="shared" si="110"/>
        <v>0.25</v>
      </c>
      <c r="DH10" s="6">
        <f t="shared" si="111"/>
        <v>60</v>
      </c>
      <c r="DI10" s="5">
        <f t="shared" si="112"/>
        <v>3.5363457760314345</v>
      </c>
      <c r="DJ10" s="142">
        <f t="shared" si="113"/>
        <v>211.8</v>
      </c>
      <c r="DK10" s="5">
        <f t="shared" si="114"/>
        <v>12.483300589390964</v>
      </c>
      <c r="DL10" s="390">
        <f t="shared" si="115"/>
        <v>167.78275049115913</v>
      </c>
      <c r="DM10" s="169">
        <f t="shared" si="116"/>
        <v>103</v>
      </c>
      <c r="DN10" s="107">
        <f t="shared" si="117"/>
        <v>6.0707269155206296</v>
      </c>
      <c r="DO10" s="107">
        <f t="shared" si="118"/>
        <v>4.0999999999999996</v>
      </c>
      <c r="DP10" s="107">
        <f t="shared" si="119"/>
        <v>7.45</v>
      </c>
      <c r="DQ10" s="270" t="s">
        <v>19</v>
      </c>
      <c r="DR10" s="266" t="s">
        <v>610</v>
      </c>
      <c r="DS10" s="266" t="s">
        <v>633</v>
      </c>
      <c r="DT10" s="266">
        <v>25</v>
      </c>
      <c r="DU10" s="266" t="s">
        <v>622</v>
      </c>
      <c r="DV10" s="266" t="s">
        <v>523</v>
      </c>
      <c r="DW10" s="266" t="s">
        <v>573</v>
      </c>
      <c r="DX10" s="266" t="s">
        <v>634</v>
      </c>
      <c r="DY10" s="266" t="s">
        <v>635</v>
      </c>
      <c r="DZ10" s="267">
        <v>48029</v>
      </c>
      <c r="EA10" s="266">
        <v>1527</v>
      </c>
      <c r="EB10" s="266">
        <v>17</v>
      </c>
      <c r="EC10" s="266">
        <v>4</v>
      </c>
      <c r="ED10" s="266">
        <v>0</v>
      </c>
      <c r="EE10" s="266">
        <v>2</v>
      </c>
      <c r="EF10" s="266">
        <v>6</v>
      </c>
      <c r="EG10" s="266">
        <v>2</v>
      </c>
      <c r="EH10" s="266">
        <v>0</v>
      </c>
      <c r="EI10" s="266">
        <v>7</v>
      </c>
      <c r="EJ10" s="266">
        <v>1</v>
      </c>
      <c r="EK10" s="266">
        <v>4.0999999999999996</v>
      </c>
      <c r="EL10" s="266" t="s">
        <v>668</v>
      </c>
      <c r="EM10" s="266" t="s">
        <v>669</v>
      </c>
      <c r="EN10" s="266">
        <v>6</v>
      </c>
      <c r="EO10" s="266">
        <v>15</v>
      </c>
      <c r="EP10" s="266">
        <v>50</v>
      </c>
      <c r="EQ10" s="266">
        <v>32</v>
      </c>
      <c r="ER10" s="266">
        <v>0.4</v>
      </c>
      <c r="ES10" s="266">
        <v>1121</v>
      </c>
      <c r="ET10" s="266">
        <v>1038</v>
      </c>
      <c r="EU10" s="266">
        <v>21</v>
      </c>
      <c r="EV10" s="266">
        <v>127</v>
      </c>
      <c r="EW10" s="266">
        <v>3</v>
      </c>
      <c r="EX10" s="266">
        <v>29</v>
      </c>
      <c r="EY10" s="266">
        <v>9</v>
      </c>
      <c r="EZ10" s="266">
        <v>122</v>
      </c>
      <c r="FA10" s="266">
        <v>20</v>
      </c>
      <c r="FB10" s="266">
        <v>15</v>
      </c>
      <c r="FC10" s="266">
        <v>12</v>
      </c>
      <c r="FD10" s="266">
        <v>0</v>
      </c>
      <c r="FE10" s="266">
        <v>9</v>
      </c>
      <c r="FF10" s="266">
        <v>42</v>
      </c>
      <c r="FG10" s="266">
        <v>1</v>
      </c>
      <c r="FH10" s="266">
        <v>17</v>
      </c>
      <c r="FI10" s="266">
        <v>16.8</v>
      </c>
      <c r="FJ10" s="266">
        <v>0.7</v>
      </c>
      <c r="FK10" s="266">
        <v>1</v>
      </c>
      <c r="FL10" s="266">
        <v>0</v>
      </c>
      <c r="FM10" s="266">
        <v>0</v>
      </c>
      <c r="FN10" s="266">
        <v>0</v>
      </c>
      <c r="FO10" s="266">
        <v>0</v>
      </c>
      <c r="FP10" s="266" t="s">
        <v>636</v>
      </c>
      <c r="FQ10" s="271">
        <v>7.45</v>
      </c>
    </row>
    <row r="11" spans="1:173" ht="24.95" customHeight="1" thickBot="1" x14ac:dyDescent="0.3">
      <c r="A11" s="29" t="str">
        <f t="shared" si="0"/>
        <v>10º</v>
      </c>
      <c r="B11" s="67" t="str">
        <f t="shared" si="1"/>
        <v>Pablo Barrios</v>
      </c>
      <c r="C11" s="83" t="str">
        <f t="shared" si="2"/>
        <v>ESP</v>
      </c>
      <c r="D11" s="28" t="str">
        <f t="shared" si="3"/>
        <v>Atlético de Madrid</v>
      </c>
      <c r="E11" s="91" t="str">
        <f t="shared" si="4"/>
        <v>Pé Direito</v>
      </c>
      <c r="F11" s="155">
        <f t="shared" si="5"/>
        <v>1.81</v>
      </c>
      <c r="G11" s="36">
        <f t="shared" si="6"/>
        <v>23</v>
      </c>
      <c r="H11" s="297" t="str">
        <f t="shared" si="7"/>
        <v>234m € p/m</v>
      </c>
      <c r="I11" s="35">
        <f t="shared" si="8"/>
        <v>48029</v>
      </c>
      <c r="J11" s="28" t="str">
        <f t="shared" si="9"/>
        <v>163M € - 241M €</v>
      </c>
      <c r="K11" s="89">
        <f t="shared" si="10"/>
        <v>15.507777777777779</v>
      </c>
      <c r="L11" s="134">
        <f t="shared" si="11"/>
        <v>15.266666666666667</v>
      </c>
      <c r="M11" s="134">
        <f t="shared" si="12"/>
        <v>17</v>
      </c>
      <c r="N11" s="134">
        <f t="shared" si="13"/>
        <v>80.82352941176471</v>
      </c>
      <c r="O11" s="173">
        <f t="shared" si="14"/>
        <v>1</v>
      </c>
      <c r="P11" s="6">
        <f t="shared" si="15"/>
        <v>0</v>
      </c>
      <c r="Q11" s="6">
        <f t="shared" si="16"/>
        <v>0</v>
      </c>
      <c r="R11" s="6">
        <f t="shared" si="17"/>
        <v>0</v>
      </c>
      <c r="S11" s="21">
        <f t="shared" si="18"/>
        <v>9.9999999999999995E-8</v>
      </c>
      <c r="T11" s="402">
        <f t="shared" si="19"/>
        <v>2</v>
      </c>
      <c r="U11" s="402">
        <f t="shared" si="20"/>
        <v>3</v>
      </c>
      <c r="V11" s="403">
        <f t="shared" si="21"/>
        <v>5</v>
      </c>
      <c r="W11" s="6">
        <f t="shared" si="22"/>
        <v>25</v>
      </c>
      <c r="X11" s="5">
        <f t="shared" si="23"/>
        <v>1.6375545851528384</v>
      </c>
      <c r="Y11" s="6">
        <f t="shared" si="24"/>
        <v>17</v>
      </c>
      <c r="Z11" s="5">
        <f t="shared" si="25"/>
        <v>1.1135371179039302</v>
      </c>
      <c r="AA11" s="6">
        <f t="shared" si="26"/>
        <v>8</v>
      </c>
      <c r="AB11" s="5">
        <f t="shared" si="27"/>
        <v>0.5240174672489083</v>
      </c>
      <c r="AC11" s="6">
        <f t="shared" si="28"/>
        <v>23</v>
      </c>
      <c r="AD11" s="5">
        <f t="shared" si="29"/>
        <v>1.5065502183406112</v>
      </c>
      <c r="AE11" s="21">
        <f t="shared" si="30"/>
        <v>0.32</v>
      </c>
      <c r="AF11" s="5">
        <f t="shared" si="31"/>
        <v>12.5</v>
      </c>
      <c r="AG11" s="5">
        <f t="shared" si="32"/>
        <v>4</v>
      </c>
      <c r="AH11" s="99">
        <f t="shared" si="33"/>
        <v>0.08</v>
      </c>
      <c r="AI11" s="290">
        <f t="shared" si="34"/>
        <v>0.08</v>
      </c>
      <c r="AJ11" s="326">
        <f t="shared" si="35"/>
        <v>0</v>
      </c>
      <c r="AK11" s="325">
        <f t="shared" si="36"/>
        <v>2</v>
      </c>
      <c r="AL11" s="326">
        <f t="shared" si="37"/>
        <v>0</v>
      </c>
      <c r="AM11" s="329">
        <f t="shared" si="38"/>
        <v>0.13100436681222707</v>
      </c>
      <c r="AN11" s="349">
        <f t="shared" si="39"/>
        <v>22.900000000000002</v>
      </c>
      <c r="AO11" s="329">
        <f t="shared" si="40"/>
        <v>1.5</v>
      </c>
      <c r="AP11" s="350">
        <f t="shared" si="41"/>
        <v>8.7336244541484712E-2</v>
      </c>
      <c r="AQ11" s="5">
        <f t="shared" si="42"/>
        <v>1.1599999999999999</v>
      </c>
      <c r="AR11" s="5">
        <f t="shared" si="43"/>
        <v>7.5982532751091694E-2</v>
      </c>
      <c r="AS11" s="5">
        <f t="shared" si="44"/>
        <v>1.1599999999999999</v>
      </c>
      <c r="AT11" s="5">
        <f t="shared" si="45"/>
        <v>7.5982532751091694E-2</v>
      </c>
      <c r="AU11" s="5">
        <f t="shared" si="46"/>
        <v>0.81</v>
      </c>
      <c r="AV11" s="5">
        <f t="shared" si="47"/>
        <v>5.3056768558951965E-2</v>
      </c>
      <c r="AW11" s="5">
        <f t="shared" si="48"/>
        <v>1.97</v>
      </c>
      <c r="AX11" s="5">
        <f t="shared" si="49"/>
        <v>0.12903930131004365</v>
      </c>
      <c r="AY11" s="2">
        <f t="shared" si="50"/>
        <v>1</v>
      </c>
      <c r="AZ11" s="5">
        <f t="shared" si="51"/>
        <v>1374</v>
      </c>
      <c r="BA11" s="21">
        <f t="shared" si="52"/>
        <v>6.5502183406113537E-2</v>
      </c>
      <c r="BB11" s="195">
        <f t="shared" si="53"/>
        <v>214.45333333333332</v>
      </c>
      <c r="BC11" s="5">
        <f t="shared" si="54"/>
        <v>14.047161572052399</v>
      </c>
      <c r="BD11" s="6">
        <f t="shared" si="55"/>
        <v>70.5</v>
      </c>
      <c r="BE11" s="5">
        <f t="shared" si="56"/>
        <v>4.6179039301310043</v>
      </c>
      <c r="BF11" s="6">
        <f t="shared" si="57"/>
        <v>58.5</v>
      </c>
      <c r="BG11" s="5">
        <f t="shared" si="58"/>
        <v>3.8318777292576418</v>
      </c>
      <c r="BH11" s="6">
        <f t="shared" si="59"/>
        <v>44</v>
      </c>
      <c r="BI11" s="5">
        <f t="shared" si="60"/>
        <v>2.8820960698689957</v>
      </c>
      <c r="BJ11" s="6">
        <f t="shared" si="61"/>
        <v>25</v>
      </c>
      <c r="BK11" s="5">
        <f t="shared" si="62"/>
        <v>1.6375545851528384</v>
      </c>
      <c r="BL11" s="6">
        <f t="shared" si="63"/>
        <v>19</v>
      </c>
      <c r="BM11" s="5">
        <f t="shared" si="64"/>
        <v>1.2445414847161571</v>
      </c>
      <c r="BN11" s="20">
        <f t="shared" si="65"/>
        <v>0.56818181818181823</v>
      </c>
      <c r="BO11" s="2">
        <f t="shared" si="66"/>
        <v>11</v>
      </c>
      <c r="BP11" s="5">
        <f t="shared" si="67"/>
        <v>0.72052401746724892</v>
      </c>
      <c r="BQ11" s="2">
        <f t="shared" si="68"/>
        <v>9</v>
      </c>
      <c r="BR11" s="12">
        <f t="shared" si="69"/>
        <v>0.18181818181818182</v>
      </c>
      <c r="BS11" s="6">
        <f t="shared" si="70"/>
        <v>116</v>
      </c>
      <c r="BT11" s="5">
        <f t="shared" si="71"/>
        <v>7.5982532751091698</v>
      </c>
      <c r="BU11" s="6">
        <f t="shared" si="72"/>
        <v>32</v>
      </c>
      <c r="BV11" s="5">
        <f t="shared" si="73"/>
        <v>2.0960698689956332</v>
      </c>
      <c r="BW11" s="21">
        <f t="shared" si="74"/>
        <v>0.27586206896551724</v>
      </c>
      <c r="BX11" s="2">
        <f t="shared" si="75"/>
        <v>2</v>
      </c>
      <c r="BY11" s="2">
        <f t="shared" si="76"/>
        <v>0</v>
      </c>
      <c r="BZ11" s="2">
        <f t="shared" si="77"/>
        <v>2</v>
      </c>
      <c r="CA11" s="2">
        <f t="shared" si="78"/>
        <v>39</v>
      </c>
      <c r="CB11" s="2">
        <f t="shared" si="79"/>
        <v>28</v>
      </c>
      <c r="CC11" s="21">
        <f t="shared" si="80"/>
        <v>0.71794871794871795</v>
      </c>
      <c r="CD11" s="21">
        <f t="shared" si="81"/>
        <v>0.81818181818181823</v>
      </c>
      <c r="CE11" s="6">
        <f t="shared" si="82"/>
        <v>3</v>
      </c>
      <c r="CF11" s="5">
        <f t="shared" si="83"/>
        <v>0.1965065502183406</v>
      </c>
      <c r="CG11" s="167">
        <f t="shared" si="84"/>
        <v>3</v>
      </c>
      <c r="CH11" s="167">
        <f t="shared" si="85"/>
        <v>1</v>
      </c>
      <c r="CI11" s="168">
        <f t="shared" si="86"/>
        <v>0.33333333333333331</v>
      </c>
      <c r="CJ11" s="6">
        <f t="shared" si="87"/>
        <v>1025</v>
      </c>
      <c r="CK11" s="6">
        <f t="shared" si="88"/>
        <v>954</v>
      </c>
      <c r="CL11" s="5">
        <f t="shared" si="89"/>
        <v>57.838427947598248</v>
      </c>
      <c r="CM11" s="6">
        <f t="shared" si="90"/>
        <v>71</v>
      </c>
      <c r="CN11" s="21">
        <f t="shared" si="91"/>
        <v>0.93073170731707322</v>
      </c>
      <c r="CO11" s="6">
        <f t="shared" si="92"/>
        <v>19</v>
      </c>
      <c r="CP11" s="5">
        <f t="shared" si="93"/>
        <v>1.2445414847161571</v>
      </c>
      <c r="CQ11" s="6">
        <f t="shared" si="94"/>
        <v>8</v>
      </c>
      <c r="CR11" s="6">
        <f t="shared" si="95"/>
        <v>11</v>
      </c>
      <c r="CS11" s="20">
        <f t="shared" si="96"/>
        <v>0.42105263157894735</v>
      </c>
      <c r="CT11" s="5">
        <f t="shared" si="97"/>
        <v>74.737991266375545</v>
      </c>
      <c r="CU11" s="6">
        <f t="shared" si="98"/>
        <v>1271.81</v>
      </c>
      <c r="CV11" s="5">
        <f t="shared" si="99"/>
        <v>83.306331877729249</v>
      </c>
      <c r="CW11" s="6">
        <f t="shared" si="100"/>
        <v>1058.5</v>
      </c>
      <c r="CX11" s="5">
        <f t="shared" si="101"/>
        <v>69.334061135371172</v>
      </c>
      <c r="CY11" s="21">
        <f t="shared" si="102"/>
        <v>0.83227840636573081</v>
      </c>
      <c r="CZ11" s="6">
        <f t="shared" si="103"/>
        <v>15.81</v>
      </c>
      <c r="DA11" s="5">
        <f t="shared" si="104"/>
        <v>1.035589519650655</v>
      </c>
      <c r="DB11" s="6">
        <f t="shared" si="105"/>
        <v>12</v>
      </c>
      <c r="DC11" s="5">
        <f t="shared" si="106"/>
        <v>0.78602620087336239</v>
      </c>
      <c r="DD11" s="5">
        <f t="shared" si="107"/>
        <v>4</v>
      </c>
      <c r="DE11" s="21">
        <f t="shared" si="108"/>
        <v>0.25</v>
      </c>
      <c r="DF11" s="5">
        <f t="shared" si="109"/>
        <v>6.7500000000000004E-2</v>
      </c>
      <c r="DG11" s="287">
        <f t="shared" si="110"/>
        <v>6.7500000000000004E-2</v>
      </c>
      <c r="DH11" s="6">
        <f t="shared" si="111"/>
        <v>43</v>
      </c>
      <c r="DI11" s="5">
        <f t="shared" si="112"/>
        <v>2.8165938864628819</v>
      </c>
      <c r="DJ11" s="142">
        <f t="shared" si="113"/>
        <v>181.8</v>
      </c>
      <c r="DK11" s="5">
        <f t="shared" si="114"/>
        <v>11.908296943231441</v>
      </c>
      <c r="DL11" s="390">
        <f t="shared" si="115"/>
        <v>596.10358078602621</v>
      </c>
      <c r="DM11" s="169">
        <f t="shared" si="116"/>
        <v>88</v>
      </c>
      <c r="DN11" s="107">
        <f t="shared" si="117"/>
        <v>5.7641921397379914</v>
      </c>
      <c r="DO11" s="107">
        <f t="shared" si="118"/>
        <v>5</v>
      </c>
      <c r="DP11" s="107">
        <f t="shared" si="119"/>
        <v>7.05</v>
      </c>
      <c r="DQ11" s="270"/>
      <c r="DR11" s="266" t="s">
        <v>613</v>
      </c>
      <c r="DS11" s="266" t="s">
        <v>646</v>
      </c>
      <c r="DT11" s="266">
        <v>23</v>
      </c>
      <c r="DU11" s="266" t="s">
        <v>611</v>
      </c>
      <c r="DV11" s="266" t="s">
        <v>557</v>
      </c>
      <c r="DW11" s="266" t="s">
        <v>573</v>
      </c>
      <c r="DX11" s="266" t="s">
        <v>647</v>
      </c>
      <c r="DY11" s="266" t="s">
        <v>648</v>
      </c>
      <c r="DZ11" s="267">
        <v>48029</v>
      </c>
      <c r="EA11" s="266">
        <v>1374</v>
      </c>
      <c r="EB11" s="266">
        <v>17</v>
      </c>
      <c r="EC11" s="266">
        <v>1</v>
      </c>
      <c r="ED11" s="266">
        <v>0</v>
      </c>
      <c r="EE11" s="266">
        <v>2</v>
      </c>
      <c r="EF11" s="266">
        <v>3</v>
      </c>
      <c r="EG11" s="266">
        <v>2</v>
      </c>
      <c r="EH11" s="266">
        <v>0</v>
      </c>
      <c r="EI11" s="266">
        <v>2</v>
      </c>
      <c r="EJ11" s="266">
        <v>2</v>
      </c>
      <c r="EK11" s="266">
        <v>5</v>
      </c>
      <c r="EL11" s="266" t="s">
        <v>675</v>
      </c>
      <c r="EM11" s="266" t="s">
        <v>664</v>
      </c>
      <c r="EN11" s="266">
        <v>11</v>
      </c>
      <c r="EO11" s="266">
        <v>1</v>
      </c>
      <c r="EP11" s="266">
        <v>19</v>
      </c>
      <c r="EQ11" s="266">
        <v>8</v>
      </c>
      <c r="ER11" s="266">
        <v>0.1</v>
      </c>
      <c r="ES11" s="266">
        <v>1025</v>
      </c>
      <c r="ET11" s="266">
        <v>954</v>
      </c>
      <c r="EU11" s="266">
        <v>12</v>
      </c>
      <c r="EV11" s="266">
        <v>118</v>
      </c>
      <c r="EW11" s="266">
        <v>3</v>
      </c>
      <c r="EX11" s="266">
        <v>25</v>
      </c>
      <c r="EY11" s="266">
        <v>8</v>
      </c>
      <c r="EZ11" s="266">
        <v>116</v>
      </c>
      <c r="FA11" s="266">
        <v>32</v>
      </c>
      <c r="FB11" s="266">
        <v>33</v>
      </c>
      <c r="FC11" s="266">
        <v>25</v>
      </c>
      <c r="FD11" s="266">
        <v>3</v>
      </c>
      <c r="FE11" s="266">
        <v>8</v>
      </c>
      <c r="FF11" s="266">
        <v>46</v>
      </c>
      <c r="FG11" s="266">
        <v>5</v>
      </c>
      <c r="FH11" s="266">
        <v>10</v>
      </c>
      <c r="FI11" s="266">
        <v>9.1999999999999993</v>
      </c>
      <c r="FJ11" s="266">
        <v>1.5</v>
      </c>
      <c r="FK11" s="266">
        <v>3</v>
      </c>
      <c r="FL11" s="266">
        <v>1</v>
      </c>
      <c r="FM11" s="266">
        <v>0</v>
      </c>
      <c r="FN11" s="266">
        <v>0</v>
      </c>
      <c r="FO11" s="266">
        <v>0</v>
      </c>
      <c r="FP11" s="266" t="s">
        <v>649</v>
      </c>
      <c r="FQ11" s="271">
        <v>7.05</v>
      </c>
    </row>
    <row r="12" spans="1:173" ht="24.95" customHeight="1" x14ac:dyDescent="0.25"/>
    <row r="13" spans="1:173" ht="24.95" customHeight="1" x14ac:dyDescent="0.25"/>
    <row r="14" spans="1:173" ht="24.95" customHeight="1" x14ac:dyDescent="0.25"/>
    <row r="15" spans="1:173" ht="24.95" customHeight="1" x14ac:dyDescent="0.25"/>
    <row r="16" spans="1:173" ht="24.95" customHeight="1" x14ac:dyDescent="0.25"/>
    <row r="17" ht="24.95" customHeight="1" x14ac:dyDescent="0.25"/>
    <row r="18" ht="24.95" customHeight="1" x14ac:dyDescent="0.25"/>
    <row r="19" ht="24.95" customHeight="1" x14ac:dyDescent="0.25"/>
    <row r="20" ht="24.95" customHeight="1" x14ac:dyDescent="0.25"/>
    <row r="21" ht="24.95" customHeight="1" x14ac:dyDescent="0.25"/>
    <row r="22" ht="24.95" customHeight="1" x14ac:dyDescent="0.25"/>
    <row r="23" ht="24.95" customHeight="1" x14ac:dyDescent="0.25"/>
    <row r="24" ht="24.95" customHeight="1" x14ac:dyDescent="0.25"/>
    <row r="25" ht="24.95" customHeight="1" x14ac:dyDescent="0.25"/>
    <row r="26" ht="24.95" customHeight="1" x14ac:dyDescent="0.25"/>
    <row r="27" ht="24.95" customHeight="1" x14ac:dyDescent="0.25"/>
    <row r="28" ht="24.95" customHeight="1" x14ac:dyDescent="0.25"/>
    <row r="29" ht="24.95" customHeight="1" x14ac:dyDescent="0.25"/>
    <row r="30" ht="24.95" customHeight="1" x14ac:dyDescent="0.25"/>
    <row r="31" ht="24.95" customHeight="1" x14ac:dyDescent="0.25"/>
    <row r="32"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sheetData>
  <autoFilter ref="B1:FQ828" xr:uid="{00000000-0001-0000-0400-000000000000}">
    <sortState xmlns:xlrd2="http://schemas.microsoft.com/office/spreadsheetml/2017/richdata2" ref="B2:FQ828">
      <sortCondition ref="B1:B828"/>
    </sortState>
  </autoFilter>
  <phoneticPr fontId="52" type="noConversion"/>
  <conditionalFormatting sqref="BX1:BX1048576">
    <cfRule type="colorScale" priority="318">
      <colorScale>
        <cfvo type="min"/>
        <cfvo type="percentile" val="50"/>
        <cfvo type="max"/>
        <color rgb="FF63BE7B"/>
        <color rgb="FFFFEB84"/>
        <color rgb="FFF8696B"/>
      </colorScale>
    </cfRule>
  </conditionalFormatting>
  <conditionalFormatting sqref="BY1:BY1048576">
    <cfRule type="colorScale" priority="317">
      <colorScale>
        <cfvo type="min"/>
        <cfvo type="max"/>
        <color rgb="FFFCFCFF"/>
        <color rgb="FFF8696B"/>
      </colorScale>
    </cfRule>
    <cfRule type="colorScale" priority="551">
      <colorScale>
        <cfvo type="min"/>
        <cfvo type="percentile" val="50"/>
        <cfvo type="max"/>
        <color rgb="FF63BE7B"/>
        <color rgb="FFFFEB84"/>
        <color rgb="FFF8696B"/>
      </colorScale>
    </cfRule>
  </conditionalFormatting>
  <conditionalFormatting sqref="BZ1:BZ1048576">
    <cfRule type="colorScale" priority="316">
      <colorScale>
        <cfvo type="min"/>
        <cfvo type="max"/>
        <color rgb="FFFCFCFF"/>
        <color rgb="FFF8696B"/>
      </colorScale>
    </cfRule>
    <cfRule type="colorScale" priority="550">
      <colorScale>
        <cfvo type="min"/>
        <cfvo type="percentile" val="50"/>
        <cfvo type="max"/>
        <color rgb="FF63BE7B"/>
        <color rgb="FFFFEB84"/>
        <color rgb="FFF8696B"/>
      </colorScale>
    </cfRule>
  </conditionalFormatting>
  <conditionalFormatting sqref="CM1:CM1048576">
    <cfRule type="colorScale" priority="549">
      <colorScale>
        <cfvo type="min"/>
        <cfvo type="percentile" val="50"/>
        <cfvo type="max"/>
        <color rgb="FF63BE7B"/>
        <color rgb="FFFFEB84"/>
        <color rgb="FFF8696B"/>
      </colorScale>
    </cfRule>
  </conditionalFormatting>
  <conditionalFormatting sqref="CL1:CL1048576">
    <cfRule type="colorScale" priority="537">
      <colorScale>
        <cfvo type="min"/>
        <cfvo type="percentile" val="50"/>
        <cfvo type="max"/>
        <color rgb="FFF8696B"/>
        <color rgb="FFFFEB84"/>
        <color rgb="FF63BE7B"/>
      </colorScale>
    </cfRule>
  </conditionalFormatting>
  <conditionalFormatting sqref="BN1:BN1048576">
    <cfRule type="iconSet" priority="141">
      <iconSet iconSet="5Arrows">
        <cfvo type="percent" val="0"/>
        <cfvo type="percent" val="20"/>
        <cfvo type="percent" val="40"/>
        <cfvo type="percent" val="60"/>
        <cfvo type="percent" val="80"/>
      </iconSet>
    </cfRule>
    <cfRule type="colorScale" priority="542">
      <colorScale>
        <cfvo type="min"/>
        <cfvo type="percentile" val="50"/>
        <cfvo type="max"/>
        <color rgb="FFF8696B"/>
        <color rgb="FFFFEB84"/>
        <color rgb="FF63BE7B"/>
      </colorScale>
    </cfRule>
  </conditionalFormatting>
  <conditionalFormatting sqref="CC1:CC1048576">
    <cfRule type="colorScale" priority="539">
      <colorScale>
        <cfvo type="min"/>
        <cfvo type="percentile" val="50"/>
        <cfvo type="max"/>
        <color rgb="FFF8696B"/>
        <color rgb="FFFFEB84"/>
        <color rgb="FF63BE7B"/>
      </colorScale>
    </cfRule>
  </conditionalFormatting>
  <conditionalFormatting sqref="CA1:CA1048576">
    <cfRule type="iconSet" priority="266">
      <iconSet iconSet="5Arrows">
        <cfvo type="percent" val="0"/>
        <cfvo type="percent" val="20"/>
        <cfvo type="percent" val="40"/>
        <cfvo type="percent" val="60"/>
        <cfvo type="percent" val="80"/>
      </iconSet>
    </cfRule>
    <cfRule type="colorScale" priority="312">
      <colorScale>
        <cfvo type="min"/>
        <cfvo type="percentile" val="50"/>
        <cfvo type="max"/>
        <color rgb="FFF8696B"/>
        <color rgb="FFFFEB84"/>
        <color rgb="FF63BE7B"/>
      </colorScale>
    </cfRule>
    <cfRule type="colorScale" priority="538">
      <colorScale>
        <cfvo type="min"/>
        <cfvo type="max"/>
        <color rgb="FFFFEF9C"/>
        <color rgb="FF63BE7B"/>
      </colorScale>
    </cfRule>
  </conditionalFormatting>
  <conditionalFormatting sqref="CB1:CB1048576">
    <cfRule type="iconSet" priority="265">
      <iconSet iconSet="5Arrows">
        <cfvo type="percent" val="0"/>
        <cfvo type="percent" val="20"/>
        <cfvo type="percent" val="40"/>
        <cfvo type="percent" val="60"/>
        <cfvo type="percent" val="80"/>
      </iconSet>
    </cfRule>
    <cfRule type="colorScale" priority="531">
      <colorScale>
        <cfvo type="min"/>
        <cfvo type="percentile" val="50"/>
        <cfvo type="max"/>
        <color rgb="FFF8696B"/>
        <color rgb="FFFFEB84"/>
        <color rgb="FF63BE7B"/>
      </colorScale>
    </cfRule>
  </conditionalFormatting>
  <conditionalFormatting sqref="CK1:CK1048576">
    <cfRule type="colorScale" priority="528">
      <colorScale>
        <cfvo type="min"/>
        <cfvo type="percentile" val="50"/>
        <cfvo type="max"/>
        <color rgb="FFF8696B"/>
        <color rgb="FFFFEB84"/>
        <color rgb="FF63BE7B"/>
      </colorScale>
    </cfRule>
  </conditionalFormatting>
  <conditionalFormatting sqref="I2:I1048576">
    <cfRule type="colorScale" priority="526">
      <colorScale>
        <cfvo type="min"/>
        <cfvo type="percentile" val="50"/>
        <cfvo type="max"/>
        <color rgb="FF63BE7B"/>
        <color rgb="FFFFEB84"/>
        <color rgb="FFF8696B"/>
      </colorScale>
    </cfRule>
  </conditionalFormatting>
  <conditionalFormatting sqref="G1:G1048576">
    <cfRule type="colorScale" priority="525">
      <colorScale>
        <cfvo type="num" val="23"/>
        <cfvo type="num" val="28"/>
        <cfvo type="num" val="30"/>
        <color rgb="FF63BE7B"/>
        <color rgb="FFFFEB84"/>
        <color rgb="FFF8696B"/>
      </colorScale>
    </cfRule>
  </conditionalFormatting>
  <conditionalFormatting sqref="AQ2:AS1048576">
    <cfRule type="colorScale" priority="400">
      <colorScale>
        <cfvo type="min"/>
        <cfvo type="percentile" val="50"/>
        <cfvo type="max"/>
        <color rgb="FFF8696B"/>
        <color rgb="FFFFEB84"/>
        <color rgb="FF63BE7B"/>
      </colorScale>
    </cfRule>
  </conditionalFormatting>
  <conditionalFormatting sqref="AT2:AT1048576">
    <cfRule type="colorScale" priority="396">
      <colorScale>
        <cfvo type="min"/>
        <cfvo type="percentile" val="50"/>
        <cfvo type="max"/>
        <color rgb="FFF8696B"/>
        <color rgb="FFFFEB84"/>
        <color rgb="FF63BE7B"/>
      </colorScale>
    </cfRule>
  </conditionalFormatting>
  <conditionalFormatting sqref="AU2:AX1048576">
    <cfRule type="colorScale" priority="518">
      <colorScale>
        <cfvo type="min"/>
        <cfvo type="percentile" val="50"/>
        <cfvo type="max"/>
        <color rgb="FFF8696B"/>
        <color rgb="FFFFEB84"/>
        <color rgb="FF63BE7B"/>
      </colorScale>
    </cfRule>
  </conditionalFormatting>
  <conditionalFormatting sqref="CS2:CS1048576">
    <cfRule type="colorScale" priority="359">
      <colorScale>
        <cfvo type="min"/>
        <cfvo type="percentile" val="50"/>
        <cfvo type="max"/>
        <color rgb="FFF8696B"/>
        <color rgb="FFFFEB84"/>
        <color rgb="FF63BE7B"/>
      </colorScale>
    </cfRule>
  </conditionalFormatting>
  <conditionalFormatting sqref="L1:L1048576">
    <cfRule type="colorScale" priority="498">
      <colorScale>
        <cfvo type="min"/>
        <cfvo type="max"/>
        <color rgb="FFFFEF9C"/>
        <color rgb="FF63BE7B"/>
      </colorScale>
    </cfRule>
  </conditionalFormatting>
  <conditionalFormatting sqref="CU1:CV1048576">
    <cfRule type="colorScale" priority="494">
      <colorScale>
        <cfvo type="min"/>
        <cfvo type="percentile" val="50"/>
        <cfvo type="max"/>
        <color rgb="FFF8696B"/>
        <color rgb="FFFFEB84"/>
        <color rgb="FF63BE7B"/>
      </colorScale>
    </cfRule>
  </conditionalFormatting>
  <conditionalFormatting sqref="CT1:CT1048576">
    <cfRule type="colorScale" priority="493">
      <colorScale>
        <cfvo type="min"/>
        <cfvo type="percentile" val="50"/>
        <cfvo type="max"/>
        <color rgb="FFF8696B"/>
        <color rgb="FFFFEB84"/>
        <color rgb="FF63BE7B"/>
      </colorScale>
    </cfRule>
  </conditionalFormatting>
  <conditionalFormatting sqref="CY1:CY1048576">
    <cfRule type="colorScale" priority="256">
      <colorScale>
        <cfvo type="min"/>
        <cfvo type="percentile" val="50"/>
        <cfvo type="max"/>
        <color rgb="FFF8696B"/>
        <color rgb="FFFFEB84"/>
        <color rgb="FF63BE7B"/>
      </colorScale>
    </cfRule>
  </conditionalFormatting>
  <conditionalFormatting sqref="H2:H1048576">
    <cfRule type="colorScale" priority="483">
      <colorScale>
        <cfvo type="min"/>
        <cfvo type="percentile" val="50"/>
        <cfvo type="max"/>
        <color rgb="FF63BE7B"/>
        <color rgb="FFFFEB84"/>
        <color rgb="FFF8696B"/>
      </colorScale>
    </cfRule>
  </conditionalFormatting>
  <conditionalFormatting sqref="H1">
    <cfRule type="colorScale" priority="479">
      <colorScale>
        <cfvo type="min"/>
        <cfvo type="percentile" val="50"/>
        <cfvo type="max"/>
        <color rgb="FFF8696B"/>
        <color rgb="FFFFEB84"/>
        <color rgb="FF63BE7B"/>
      </colorScale>
    </cfRule>
  </conditionalFormatting>
  <conditionalFormatting sqref="H1">
    <cfRule type="colorScale" priority="478">
      <colorScale>
        <cfvo type="min"/>
        <cfvo type="percentile" val="50"/>
        <cfvo type="max"/>
        <color rgb="FF63BE7B"/>
        <color rgb="FFFFEB84"/>
        <color rgb="FFF8696B"/>
      </colorScale>
    </cfRule>
  </conditionalFormatting>
  <conditionalFormatting sqref="H1">
    <cfRule type="colorScale" priority="477">
      <colorScale>
        <cfvo type="min"/>
        <cfvo type="percentile" val="50"/>
        <cfvo type="max"/>
        <color rgb="FF63BE7B"/>
        <color rgb="FFFFEB84"/>
        <color rgb="FFF8696B"/>
      </colorScale>
    </cfRule>
  </conditionalFormatting>
  <conditionalFormatting sqref="I1">
    <cfRule type="colorScale" priority="475">
      <colorScale>
        <cfvo type="min"/>
        <cfvo type="percentile" val="50"/>
        <cfvo type="max"/>
        <color rgb="FF63BE7B"/>
        <color rgb="FFFFEB84"/>
        <color rgb="FFF8696B"/>
      </colorScale>
    </cfRule>
  </conditionalFormatting>
  <conditionalFormatting sqref="Q1">
    <cfRule type="colorScale" priority="466">
      <colorScale>
        <cfvo type="min"/>
        <cfvo type="percentile" val="50"/>
        <cfvo type="max"/>
        <color rgb="FFF8696B"/>
        <color rgb="FFFFEB84"/>
        <color rgb="FF63BE7B"/>
      </colorScale>
    </cfRule>
    <cfRule type="colorScale" priority="467">
      <colorScale>
        <cfvo type="min"/>
        <cfvo type="max"/>
        <color rgb="FFFFEF9C"/>
        <color rgb="FF63BE7B"/>
      </colorScale>
    </cfRule>
  </conditionalFormatting>
  <conditionalFormatting sqref="R1">
    <cfRule type="colorScale" priority="465">
      <colorScale>
        <cfvo type="min"/>
        <cfvo type="max"/>
        <color rgb="FFFCFCFF"/>
        <color rgb="FFF8696B"/>
      </colorScale>
    </cfRule>
  </conditionalFormatting>
  <conditionalFormatting sqref="P1">
    <cfRule type="colorScale" priority="463">
      <colorScale>
        <cfvo type="min"/>
        <cfvo type="max"/>
        <color rgb="FFFFEF9C"/>
        <color rgb="FF63BE7B"/>
      </colorScale>
    </cfRule>
  </conditionalFormatting>
  <conditionalFormatting sqref="P1">
    <cfRule type="colorScale" priority="460">
      <colorScale>
        <cfvo type="min"/>
        <cfvo type="max"/>
        <color rgb="FFFFEF9C"/>
        <color rgb="FF63BE7B"/>
      </colorScale>
    </cfRule>
  </conditionalFormatting>
  <conditionalFormatting sqref="Q1">
    <cfRule type="colorScale" priority="459">
      <colorScale>
        <cfvo type="min"/>
        <cfvo type="percentile" val="50"/>
        <cfvo type="max"/>
        <color rgb="FFF8696B"/>
        <color rgb="FFFFEB84"/>
        <color rgb="FF63BE7B"/>
      </colorScale>
    </cfRule>
  </conditionalFormatting>
  <conditionalFormatting sqref="R1">
    <cfRule type="colorScale" priority="458">
      <colorScale>
        <cfvo type="min"/>
        <cfvo type="percentile" val="50"/>
        <cfvo type="max"/>
        <color rgb="FF63BE7B"/>
        <color rgb="FFFFEB84"/>
        <color rgb="FFF8696B"/>
      </colorScale>
    </cfRule>
  </conditionalFormatting>
  <conditionalFormatting sqref="I1:I1048576">
    <cfRule type="colorScale" priority="454">
      <colorScale>
        <cfvo type="min"/>
        <cfvo type="percentile" val="50"/>
        <cfvo type="max"/>
        <color rgb="FF63BE7B"/>
        <color rgb="FFFFEB84"/>
        <color rgb="FFF8696B"/>
      </colorScale>
    </cfRule>
  </conditionalFormatting>
  <conditionalFormatting sqref="H1:H1048576">
    <cfRule type="colorScale" priority="453">
      <colorScale>
        <cfvo type="min"/>
        <cfvo type="percentile" val="50"/>
        <cfvo type="max"/>
        <color rgb="FF63BE7B"/>
        <color rgb="FFFFEB84"/>
        <color rgb="FFF8696B"/>
      </colorScale>
    </cfRule>
  </conditionalFormatting>
  <conditionalFormatting sqref="R1:R1048576">
    <cfRule type="colorScale" priority="441">
      <colorScale>
        <cfvo type="min"/>
        <cfvo type="max"/>
        <color rgb="FFFCFCFF"/>
        <color rgb="FFF8696B"/>
      </colorScale>
    </cfRule>
    <cfRule type="colorScale" priority="451">
      <colorScale>
        <cfvo type="min"/>
        <cfvo type="percentile" val="50"/>
        <cfvo type="max"/>
        <color rgb="FF63BE7B"/>
        <color rgb="FFFFEB84"/>
        <color rgb="FFF8696B"/>
      </colorScale>
    </cfRule>
  </conditionalFormatting>
  <conditionalFormatting sqref="CD1:CD1048576">
    <cfRule type="colorScale" priority="439">
      <colorScale>
        <cfvo type="min"/>
        <cfvo type="percentile" val="50"/>
        <cfvo type="max"/>
        <color rgb="FFF8696B"/>
        <color rgb="FFFFEB84"/>
        <color rgb="FF63BE7B"/>
      </colorScale>
    </cfRule>
  </conditionalFormatting>
  <conditionalFormatting sqref="CU1:CU1048576">
    <cfRule type="iconSet" priority="202">
      <iconSet iconSet="5Arrows">
        <cfvo type="percent" val="0"/>
        <cfvo type="percent" val="20"/>
        <cfvo type="percent" val="40"/>
        <cfvo type="percent" val="60"/>
        <cfvo type="percent" val="80"/>
      </iconSet>
    </cfRule>
    <cfRule type="colorScale" priority="435">
      <colorScale>
        <cfvo type="min"/>
        <cfvo type="percentile" val="50"/>
        <cfvo type="max"/>
        <color rgb="FFF8696B"/>
        <color rgb="FFFFEB84"/>
        <color rgb="FF63BE7B"/>
      </colorScale>
    </cfRule>
  </conditionalFormatting>
  <conditionalFormatting sqref="CV1:CV1048576">
    <cfRule type="iconSet" priority="201">
      <iconSet iconSet="5Arrows">
        <cfvo type="percent" val="0"/>
        <cfvo type="percent" val="20"/>
        <cfvo type="percent" val="40"/>
        <cfvo type="percent" val="60"/>
        <cfvo type="percent" val="80"/>
      </iconSet>
    </cfRule>
    <cfRule type="colorScale" priority="434">
      <colorScale>
        <cfvo type="min"/>
        <cfvo type="percentile" val="50"/>
        <cfvo type="max"/>
        <color rgb="FFF8696B"/>
        <color rgb="FFFFEB84"/>
        <color rgb="FF63BE7B"/>
      </colorScale>
    </cfRule>
  </conditionalFormatting>
  <conditionalFormatting sqref="CW1:CW1048576">
    <cfRule type="colorScale" priority="433">
      <colorScale>
        <cfvo type="min"/>
        <cfvo type="percentile" val="50"/>
        <cfvo type="max"/>
        <color rgb="FFF8696B"/>
        <color rgb="FFFFEB84"/>
        <color rgb="FF63BE7B"/>
      </colorScale>
    </cfRule>
  </conditionalFormatting>
  <conditionalFormatting sqref="DP1">
    <cfRule type="colorScale" priority="430">
      <colorScale>
        <cfvo type="min"/>
        <cfvo type="percentile" val="50"/>
        <cfvo type="max"/>
        <color rgb="FFF8696B"/>
        <color rgb="FFFFEB84"/>
        <color rgb="FF63BE7B"/>
      </colorScale>
    </cfRule>
  </conditionalFormatting>
  <conditionalFormatting sqref="DP1">
    <cfRule type="colorScale" priority="429">
      <colorScale>
        <cfvo type="min"/>
        <cfvo type="percentile" val="50"/>
        <cfvo type="max"/>
        <color rgb="FF63BE7B"/>
        <color rgb="FFFFEB84"/>
        <color rgb="FFF8696B"/>
      </colorScale>
    </cfRule>
  </conditionalFormatting>
  <conditionalFormatting sqref="DP1">
    <cfRule type="colorScale" priority="428">
      <colorScale>
        <cfvo type="min"/>
        <cfvo type="percentile" val="50"/>
        <cfvo type="max"/>
        <color rgb="FFF8696B"/>
        <color rgb="FFFFEB84"/>
        <color rgb="FF63BE7B"/>
      </colorScale>
    </cfRule>
  </conditionalFormatting>
  <conditionalFormatting sqref="DP1">
    <cfRule type="colorScale" priority="427">
      <colorScale>
        <cfvo type="min"/>
        <cfvo type="percentile" val="50"/>
        <cfvo type="max"/>
        <color rgb="FF63BE7B"/>
        <color rgb="FFFFEB84"/>
        <color rgb="FFF8696B"/>
      </colorScale>
    </cfRule>
  </conditionalFormatting>
  <conditionalFormatting sqref="DP1">
    <cfRule type="colorScale" priority="426">
      <colorScale>
        <cfvo type="min"/>
        <cfvo type="percentile" val="50"/>
        <cfvo type="max"/>
        <color rgb="FFF8696B"/>
        <color rgb="FFFFEB84"/>
        <color rgb="FF63BE7B"/>
      </colorScale>
    </cfRule>
  </conditionalFormatting>
  <conditionalFormatting sqref="DP1">
    <cfRule type="colorScale" priority="425">
      <colorScale>
        <cfvo type="min"/>
        <cfvo type="percentile" val="50"/>
        <cfvo type="max"/>
        <color rgb="FFF8696B"/>
        <color rgb="FFFFEB84"/>
        <color rgb="FF63BE7B"/>
      </colorScale>
    </cfRule>
  </conditionalFormatting>
  <conditionalFormatting sqref="DP1:DP1048576">
    <cfRule type="iconSet" priority="307">
      <iconSet iconSet="3Arrows">
        <cfvo type="percent" val="0"/>
        <cfvo type="num" val="6.7"/>
        <cfvo type="num" val="7"/>
      </iconSet>
    </cfRule>
    <cfRule type="colorScale" priority="420">
      <colorScale>
        <cfvo type="num" val="6.69"/>
        <cfvo type="num" val="6.97"/>
        <cfvo type="num" val="7"/>
        <color rgb="FFF8696B"/>
        <color rgb="FFFFEB84"/>
        <color rgb="FF63BE7B"/>
      </colorScale>
    </cfRule>
  </conditionalFormatting>
  <conditionalFormatting sqref="CT1:CY1 CS2:CY1048576">
    <cfRule type="colorScale" priority="484977">
      <colorScale>
        <cfvo type="min"/>
        <cfvo type="percentile" val="50"/>
        <cfvo type="max"/>
        <color rgb="FFF8696B"/>
        <color rgb="FFFFEB84"/>
        <color rgb="FF63BE7B"/>
      </colorScale>
    </cfRule>
  </conditionalFormatting>
  <conditionalFormatting sqref="CT1:CY1048576">
    <cfRule type="colorScale" priority="484982">
      <colorScale>
        <cfvo type="min"/>
        <cfvo type="percentile" val="50"/>
        <cfvo type="max"/>
        <color rgb="FFF8696B"/>
        <color rgb="FFFFEB84"/>
        <color rgb="FF63BE7B"/>
      </colorScale>
    </cfRule>
  </conditionalFormatting>
  <conditionalFormatting sqref="CW1:CX1048576">
    <cfRule type="colorScale" priority="484985">
      <colorScale>
        <cfvo type="min"/>
        <cfvo type="percentile" val="50"/>
        <cfvo type="max"/>
        <color rgb="FFF8696B"/>
        <color rgb="FFFFEB84"/>
        <color rgb="FF63BE7B"/>
      </colorScale>
    </cfRule>
  </conditionalFormatting>
  <conditionalFormatting sqref="CX1:CX1048576">
    <cfRule type="colorScale" priority="417">
      <colorScale>
        <cfvo type="min"/>
        <cfvo type="percentile" val="50"/>
        <cfvo type="max"/>
        <color rgb="FFF8696B"/>
        <color rgb="FFFFEB84"/>
        <color rgb="FF63BE7B"/>
      </colorScale>
    </cfRule>
  </conditionalFormatting>
  <conditionalFormatting sqref="P1:P1048576">
    <cfRule type="colorScale" priority="413">
      <colorScale>
        <cfvo type="min"/>
        <cfvo type="percentile" val="50"/>
        <cfvo type="max"/>
        <color rgb="FFF8696B"/>
        <color rgb="FFFFEB84"/>
        <color rgb="FF63BE7B"/>
      </colorScale>
    </cfRule>
  </conditionalFormatting>
  <conditionalFormatting sqref="Q1:Q1048576">
    <cfRule type="colorScale" priority="412">
      <colorScale>
        <cfvo type="min"/>
        <cfvo type="percentile" val="50"/>
        <cfvo type="max"/>
        <color rgb="FFF8696B"/>
        <color rgb="FFFFEB84"/>
        <color rgb="FF63BE7B"/>
      </colorScale>
    </cfRule>
  </conditionalFormatting>
  <conditionalFormatting sqref="AQ2:AQ1048576">
    <cfRule type="colorScale" priority="399">
      <colorScale>
        <cfvo type="min"/>
        <cfvo type="percentile" val="50"/>
        <cfvo type="max"/>
        <color rgb="FFF8696B"/>
        <color rgb="FFFFEB84"/>
        <color rgb="FF63BE7B"/>
      </colorScale>
    </cfRule>
  </conditionalFormatting>
  <conditionalFormatting sqref="AR2:AR1048576">
    <cfRule type="colorScale" priority="398">
      <colorScale>
        <cfvo type="min"/>
        <cfvo type="percentile" val="50"/>
        <cfvo type="max"/>
        <color rgb="FFF8696B"/>
        <color rgb="FFFFEB84"/>
        <color rgb="FF63BE7B"/>
      </colorScale>
    </cfRule>
  </conditionalFormatting>
  <conditionalFormatting sqref="AS2:AS1048576">
    <cfRule type="colorScale" priority="397">
      <colorScale>
        <cfvo type="min"/>
        <cfvo type="percentile" val="50"/>
        <cfvo type="max"/>
        <color rgb="FFF8696B"/>
        <color rgb="FFFFEB84"/>
        <color rgb="FF63BE7B"/>
      </colorScale>
    </cfRule>
  </conditionalFormatting>
  <conditionalFormatting sqref="AU2:AU1048576">
    <cfRule type="colorScale" priority="395">
      <colorScale>
        <cfvo type="min"/>
        <cfvo type="percentile" val="50"/>
        <cfvo type="max"/>
        <color rgb="FFF8696B"/>
        <color rgb="FFFFEB84"/>
        <color rgb="FF63BE7B"/>
      </colorScale>
    </cfRule>
  </conditionalFormatting>
  <conditionalFormatting sqref="AV2:AX1048576">
    <cfRule type="colorScale" priority="394">
      <colorScale>
        <cfvo type="min"/>
        <cfvo type="percentile" val="50"/>
        <cfvo type="max"/>
        <color rgb="FFF8696B"/>
        <color rgb="FFFFEB84"/>
        <color rgb="FF63BE7B"/>
      </colorScale>
    </cfRule>
  </conditionalFormatting>
  <conditionalFormatting sqref="AQ1:AX1">
    <cfRule type="colorScale" priority="393">
      <colorScale>
        <cfvo type="min"/>
        <cfvo type="percentile" val="50"/>
        <cfvo type="max"/>
        <color rgb="FFF8696B"/>
        <color rgb="FFFFEB84"/>
        <color rgb="FF63BE7B"/>
      </colorScale>
    </cfRule>
  </conditionalFormatting>
  <conditionalFormatting sqref="AQ1:AX1">
    <cfRule type="colorScale" priority="392">
      <colorScale>
        <cfvo type="min"/>
        <cfvo type="percentile" val="50"/>
        <cfvo type="max"/>
        <color rgb="FFF8696B"/>
        <color rgb="FFFFEB84"/>
        <color rgb="FF63BE7B"/>
      </colorScale>
    </cfRule>
  </conditionalFormatting>
  <conditionalFormatting sqref="AQ1:AX1">
    <cfRule type="colorScale" priority="391">
      <colorScale>
        <cfvo type="min"/>
        <cfvo type="percentile" val="50"/>
        <cfvo type="max"/>
        <color rgb="FFF8696B"/>
        <color rgb="FFFFEB84"/>
        <color rgb="FF63BE7B"/>
      </colorScale>
    </cfRule>
  </conditionalFormatting>
  <conditionalFormatting sqref="AQ1:AX1">
    <cfRule type="colorScale" priority="390">
      <colorScale>
        <cfvo type="min"/>
        <cfvo type="percentile" val="50"/>
        <cfvo type="max"/>
        <color rgb="FF63BE7B"/>
        <color rgb="FFFFEB84"/>
        <color rgb="FFF8696B"/>
      </colorScale>
    </cfRule>
  </conditionalFormatting>
  <conditionalFormatting sqref="AQ1:AX1">
    <cfRule type="colorScale" priority="389">
      <colorScale>
        <cfvo type="min"/>
        <cfvo type="percentile" val="50"/>
        <cfvo type="max"/>
        <color rgb="FFF8696B"/>
        <color rgb="FFFFEB84"/>
        <color rgb="FF63BE7B"/>
      </colorScale>
    </cfRule>
  </conditionalFormatting>
  <conditionalFormatting sqref="AW1:AX1048576">
    <cfRule type="colorScale" priority="387">
      <colorScale>
        <cfvo type="min"/>
        <cfvo type="percentile" val="50"/>
        <cfvo type="max"/>
        <color rgb="FFF8696B"/>
        <color rgb="FFFFEB84"/>
        <color rgb="FF63BE7B"/>
      </colorScale>
    </cfRule>
  </conditionalFormatting>
  <conditionalFormatting sqref="AV1:AV1048576">
    <cfRule type="dataBar" priority="218">
      <dataBar>
        <cfvo type="min"/>
        <cfvo type="max"/>
        <color rgb="FF008AEF"/>
      </dataBar>
      <extLst>
        <ext xmlns:x14="http://schemas.microsoft.com/office/spreadsheetml/2009/9/main" uri="{B025F937-C7B1-47D3-B67F-A62EFF666E3E}">
          <x14:id>{0BEE6840-99D9-4160-BA1B-72FACB87E6F4}</x14:id>
        </ext>
      </extLst>
    </cfRule>
    <cfRule type="colorScale" priority="301">
      <colorScale>
        <cfvo type="min"/>
        <cfvo type="percentile" val="50"/>
        <cfvo type="max"/>
        <color rgb="FFF8696B"/>
        <color theme="4" tint="0.79998168889431442"/>
        <color rgb="FF00B0F0"/>
      </colorScale>
    </cfRule>
    <cfRule type="colorScale" priority="386">
      <colorScale>
        <cfvo type="min"/>
        <cfvo type="percentile" val="50"/>
        <cfvo type="max"/>
        <color rgb="FFF8696B"/>
        <color rgb="FFFFEB84"/>
        <color rgb="FF63BE7B"/>
      </colorScale>
    </cfRule>
  </conditionalFormatting>
  <conditionalFormatting sqref="AW1:AX1">
    <cfRule type="colorScale" priority="385">
      <colorScale>
        <cfvo type="min"/>
        <cfvo type="percentile" val="50"/>
        <cfvo type="max"/>
        <color rgb="FFF8696B"/>
        <color rgb="FFFFEB84"/>
        <color rgb="FF63BE7B"/>
      </colorScale>
    </cfRule>
  </conditionalFormatting>
  <conditionalFormatting sqref="AX1:AX1048576">
    <cfRule type="dataBar" priority="216">
      <dataBar>
        <cfvo type="min"/>
        <cfvo type="max"/>
        <color rgb="FF008AEF"/>
      </dataBar>
      <extLst>
        <ext xmlns:x14="http://schemas.microsoft.com/office/spreadsheetml/2009/9/main" uri="{B025F937-C7B1-47D3-B67F-A62EFF666E3E}">
          <x14:id>{E9EFC9C9-0CAE-406B-9CD0-E96A3814585E}</x14:id>
        </ext>
      </extLst>
    </cfRule>
    <cfRule type="colorScale" priority="299">
      <colorScale>
        <cfvo type="min"/>
        <cfvo type="percentile" val="50"/>
        <cfvo type="max"/>
        <color rgb="FFF8696B"/>
        <color theme="4" tint="0.79998168889431442"/>
        <color rgb="FF00B0F0"/>
      </colorScale>
    </cfRule>
    <cfRule type="colorScale" priority="384">
      <colorScale>
        <cfvo type="min"/>
        <cfvo type="percentile" val="50"/>
        <cfvo type="max"/>
        <color rgb="FFF8696B"/>
        <color rgb="FFFFEB84"/>
        <color rgb="FF63BE7B"/>
      </colorScale>
    </cfRule>
  </conditionalFormatting>
  <conditionalFormatting sqref="AQ1:AQ1048576">
    <cfRule type="dataBar" priority="223">
      <dataBar>
        <cfvo type="min"/>
        <cfvo type="max"/>
        <color rgb="FF008AEF"/>
      </dataBar>
      <extLst>
        <ext xmlns:x14="http://schemas.microsoft.com/office/spreadsheetml/2009/9/main" uri="{B025F937-C7B1-47D3-B67F-A62EFF666E3E}">
          <x14:id>{735C0E13-374C-47B7-92B3-49D157C4AB5C}</x14:id>
        </ext>
      </extLst>
    </cfRule>
    <cfRule type="colorScale" priority="306">
      <colorScale>
        <cfvo type="min"/>
        <cfvo type="percentile" val="50"/>
        <cfvo type="max"/>
        <color rgb="FFF8696B"/>
        <color theme="4" tint="0.79998168889431442"/>
        <color rgb="FF00B0F0"/>
      </colorScale>
    </cfRule>
    <cfRule type="colorScale" priority="379">
      <colorScale>
        <cfvo type="min"/>
        <cfvo type="percentile" val="50"/>
        <cfvo type="max"/>
        <color rgb="FFF8696B"/>
        <color rgb="FFFFEB84"/>
        <color rgb="FF63BE7B"/>
      </colorScale>
    </cfRule>
  </conditionalFormatting>
  <conditionalFormatting sqref="AR1:AR1048576">
    <cfRule type="dataBar" priority="222">
      <dataBar>
        <cfvo type="min"/>
        <cfvo type="max"/>
        <color rgb="FF008AEF"/>
      </dataBar>
      <extLst>
        <ext xmlns:x14="http://schemas.microsoft.com/office/spreadsheetml/2009/9/main" uri="{B025F937-C7B1-47D3-B67F-A62EFF666E3E}">
          <x14:id>{9564D87C-A908-44E0-9614-D4C1C9B4DC8D}</x14:id>
        </ext>
      </extLst>
    </cfRule>
    <cfRule type="colorScale" priority="305">
      <colorScale>
        <cfvo type="min"/>
        <cfvo type="percentile" val="50"/>
        <cfvo type="max"/>
        <color rgb="FFF8696B"/>
        <color theme="4" tint="0.79998168889431442"/>
        <color rgb="FF00B0F0"/>
      </colorScale>
    </cfRule>
    <cfRule type="colorScale" priority="378">
      <colorScale>
        <cfvo type="min"/>
        <cfvo type="percentile" val="50"/>
        <cfvo type="max"/>
        <color rgb="FFF8696B"/>
        <color rgb="FFFFEB84"/>
        <color rgb="FF63BE7B"/>
      </colorScale>
    </cfRule>
  </conditionalFormatting>
  <conditionalFormatting sqref="CO1:CQ1">
    <cfRule type="colorScale" priority="367">
      <colorScale>
        <cfvo type="min"/>
        <cfvo type="percentile" val="50"/>
        <cfvo type="max"/>
        <color rgb="FFF8696B"/>
        <color rgb="FFFFEB84"/>
        <color rgb="FF63BE7B"/>
      </colorScale>
    </cfRule>
    <cfRule type="colorScale" priority="368">
      <colorScale>
        <cfvo type="min"/>
        <cfvo type="max"/>
        <color rgb="FFFFEF9C"/>
        <color rgb="FF63BE7B"/>
      </colorScale>
    </cfRule>
  </conditionalFormatting>
  <conditionalFormatting sqref="CO1:CQ1">
    <cfRule type="colorScale" priority="366">
      <colorScale>
        <cfvo type="min"/>
        <cfvo type="percentile" val="50"/>
        <cfvo type="max"/>
        <color rgb="FFF8696B"/>
        <color rgb="FFFFEB84"/>
        <color rgb="FF63BE7B"/>
      </colorScale>
    </cfRule>
  </conditionalFormatting>
  <conditionalFormatting sqref="CO1:CQ1">
    <cfRule type="colorScale" priority="365">
      <colorScale>
        <cfvo type="min"/>
        <cfvo type="percentile" val="50"/>
        <cfvo type="max"/>
        <color rgb="FFF8696B"/>
        <color rgb="FFFFEB84"/>
        <color rgb="FF63BE7B"/>
      </colorScale>
    </cfRule>
  </conditionalFormatting>
  <conditionalFormatting sqref="CR1">
    <cfRule type="colorScale" priority="363">
      <colorScale>
        <cfvo type="min"/>
        <cfvo type="percentile" val="50"/>
        <cfvo type="max"/>
        <color rgb="FFF8696B"/>
        <color rgb="FFFFEB84"/>
        <color rgb="FF63BE7B"/>
      </colorScale>
    </cfRule>
    <cfRule type="colorScale" priority="364">
      <colorScale>
        <cfvo type="min"/>
        <cfvo type="max"/>
        <color rgb="FFFFEF9C"/>
        <color rgb="FF63BE7B"/>
      </colorScale>
    </cfRule>
  </conditionalFormatting>
  <conditionalFormatting sqref="CR1">
    <cfRule type="colorScale" priority="362">
      <colorScale>
        <cfvo type="min"/>
        <cfvo type="percentile" val="50"/>
        <cfvo type="max"/>
        <color rgb="FFF8696B"/>
        <color rgb="FFFFEB84"/>
        <color rgb="FF63BE7B"/>
      </colorScale>
    </cfRule>
  </conditionalFormatting>
  <conditionalFormatting sqref="CR1">
    <cfRule type="colorScale" priority="361">
      <colorScale>
        <cfvo type="min"/>
        <cfvo type="percentile" val="50"/>
        <cfvo type="max"/>
        <color rgb="FFF8696B"/>
        <color rgb="FFFFEB84"/>
        <color rgb="FF63BE7B"/>
      </colorScale>
    </cfRule>
  </conditionalFormatting>
  <conditionalFormatting sqref="CR1:CR1048576">
    <cfRule type="colorScale" priority="352">
      <colorScale>
        <cfvo type="min"/>
        <cfvo type="max"/>
        <color rgb="FFFCFCFF"/>
        <color rgb="FFF8696B"/>
      </colorScale>
    </cfRule>
  </conditionalFormatting>
  <conditionalFormatting sqref="CS1">
    <cfRule type="colorScale" priority="357">
      <colorScale>
        <cfvo type="min"/>
        <cfvo type="percentile" val="50"/>
        <cfvo type="max"/>
        <color rgb="FFF8696B"/>
        <color rgb="FFFFEB84"/>
        <color rgb="FF63BE7B"/>
      </colorScale>
    </cfRule>
    <cfRule type="colorScale" priority="358">
      <colorScale>
        <cfvo type="min"/>
        <cfvo type="max"/>
        <color rgb="FFFFEF9C"/>
        <color rgb="FF63BE7B"/>
      </colorScale>
    </cfRule>
  </conditionalFormatting>
  <conditionalFormatting sqref="CS1">
    <cfRule type="colorScale" priority="356">
      <colorScale>
        <cfvo type="min"/>
        <cfvo type="percentile" val="50"/>
        <cfvo type="max"/>
        <color rgb="FFF8696B"/>
        <color rgb="FFFFEB84"/>
        <color rgb="FF63BE7B"/>
      </colorScale>
    </cfRule>
  </conditionalFormatting>
  <conditionalFormatting sqref="CS1">
    <cfRule type="colorScale" priority="355">
      <colorScale>
        <cfvo type="min"/>
        <cfvo type="percentile" val="50"/>
        <cfvo type="max"/>
        <color rgb="FFF8696B"/>
        <color rgb="FFFFEB84"/>
        <color rgb="FF63BE7B"/>
      </colorScale>
    </cfRule>
  </conditionalFormatting>
  <conditionalFormatting sqref="CS1:CS1048576">
    <cfRule type="colorScale" priority="351">
      <colorScale>
        <cfvo type="min"/>
        <cfvo type="percentile" val="50"/>
        <cfvo type="max"/>
        <color rgb="FFF8696B"/>
        <color rgb="FFFFEB84"/>
        <color rgb="FF63BE7B"/>
      </colorScale>
    </cfRule>
  </conditionalFormatting>
  <conditionalFormatting sqref="CQ1:CQ1048576">
    <cfRule type="colorScale" priority="350">
      <colorScale>
        <cfvo type="min"/>
        <cfvo type="percentile" val="50"/>
        <cfvo type="max"/>
        <color rgb="FFF8696B"/>
        <color rgb="FFFFEB84"/>
        <color rgb="FF63BE7B"/>
      </colorScale>
    </cfRule>
  </conditionalFormatting>
  <conditionalFormatting sqref="CP1:CP1048576">
    <cfRule type="colorScale" priority="347">
      <colorScale>
        <cfvo type="min"/>
        <cfvo type="max"/>
        <color rgb="FFFFEF9C"/>
        <color rgb="FF63BE7B"/>
      </colorScale>
    </cfRule>
    <cfRule type="colorScale" priority="349">
      <colorScale>
        <cfvo type="min"/>
        <cfvo type="percentile" val="50"/>
        <cfvo type="max"/>
        <color rgb="FFF8696B"/>
        <color rgb="FFFFEB84"/>
        <color rgb="FF63BE7B"/>
      </colorScale>
    </cfRule>
  </conditionalFormatting>
  <conditionalFormatting sqref="CO1:CO1048576">
    <cfRule type="colorScale" priority="348">
      <colorScale>
        <cfvo type="min"/>
        <cfvo type="percentile" val="50"/>
        <cfvo type="max"/>
        <color rgb="FFF8696B"/>
        <color rgb="FFFFEB84"/>
        <color rgb="FF63BE7B"/>
      </colorScale>
    </cfRule>
  </conditionalFormatting>
  <conditionalFormatting sqref="DA1:DA1048576">
    <cfRule type="colorScale" priority="344">
      <colorScale>
        <cfvo type="min"/>
        <cfvo type="percentile" val="50"/>
        <cfvo type="max"/>
        <color rgb="FFF8696B"/>
        <color rgb="FFFFEB84"/>
        <color rgb="FF63BE7B"/>
      </colorScale>
    </cfRule>
  </conditionalFormatting>
  <conditionalFormatting sqref="CF2:CI1048576 CF1">
    <cfRule type="colorScale" priority="308">
      <colorScale>
        <cfvo type="min"/>
        <cfvo type="percentile" val="50"/>
        <cfvo type="max"/>
        <color rgb="FFF8696B"/>
        <color rgb="FFFFEB84"/>
        <color rgb="FF63BE7B"/>
      </colorScale>
    </cfRule>
  </conditionalFormatting>
  <conditionalFormatting sqref="AS1:AS1048576">
    <cfRule type="dataBar" priority="221">
      <dataBar>
        <cfvo type="min"/>
        <cfvo type="max"/>
        <color rgb="FF008AEF"/>
      </dataBar>
      <extLst>
        <ext xmlns:x14="http://schemas.microsoft.com/office/spreadsheetml/2009/9/main" uri="{B025F937-C7B1-47D3-B67F-A62EFF666E3E}">
          <x14:id>{894C061B-733F-4E6D-ADBF-F218639729C4}</x14:id>
        </ext>
      </extLst>
    </cfRule>
    <cfRule type="colorScale" priority="304">
      <colorScale>
        <cfvo type="min"/>
        <cfvo type="percentile" val="50"/>
        <cfvo type="max"/>
        <color rgb="FFF8696B"/>
        <color theme="4" tint="0.79998168889431442"/>
        <color rgb="FF00B0F0"/>
      </colorScale>
    </cfRule>
  </conditionalFormatting>
  <conditionalFormatting sqref="AT1:AT1048576">
    <cfRule type="dataBar" priority="220">
      <dataBar>
        <cfvo type="min"/>
        <cfvo type="max"/>
        <color rgb="FF008AEF"/>
      </dataBar>
      <extLst>
        <ext xmlns:x14="http://schemas.microsoft.com/office/spreadsheetml/2009/9/main" uri="{B025F937-C7B1-47D3-B67F-A62EFF666E3E}">
          <x14:id>{B7EFE5DE-0AE2-435C-B0DE-FE6F77F733C1}</x14:id>
        </ext>
      </extLst>
    </cfRule>
    <cfRule type="colorScale" priority="303">
      <colorScale>
        <cfvo type="min"/>
        <cfvo type="percentile" val="50"/>
        <cfvo type="max"/>
        <color rgb="FFF8696B"/>
        <color theme="4" tint="0.79998168889431442"/>
        <color rgb="FF00B0F0"/>
      </colorScale>
    </cfRule>
  </conditionalFormatting>
  <conditionalFormatting sqref="AU1:AU1048576">
    <cfRule type="dataBar" priority="219">
      <dataBar>
        <cfvo type="min"/>
        <cfvo type="max"/>
        <color rgb="FF008AEF"/>
      </dataBar>
      <extLst>
        <ext xmlns:x14="http://schemas.microsoft.com/office/spreadsheetml/2009/9/main" uri="{B025F937-C7B1-47D3-B67F-A62EFF666E3E}">
          <x14:id>{0DF6CD23-CEEB-4074-ACD1-A2C08491358A}</x14:id>
        </ext>
      </extLst>
    </cfRule>
    <cfRule type="colorScale" priority="302">
      <colorScale>
        <cfvo type="min"/>
        <cfvo type="percentile" val="50"/>
        <cfvo type="max"/>
        <color rgb="FFF8696B"/>
        <color theme="4" tint="0.79998168889431442"/>
        <color rgb="FF00B0F0"/>
      </colorScale>
    </cfRule>
  </conditionalFormatting>
  <conditionalFormatting sqref="AW1:AW1048576">
    <cfRule type="dataBar" priority="217">
      <dataBar>
        <cfvo type="min"/>
        <cfvo type="max"/>
        <color rgb="FF008AEF"/>
      </dataBar>
      <extLst>
        <ext xmlns:x14="http://schemas.microsoft.com/office/spreadsheetml/2009/9/main" uri="{B025F937-C7B1-47D3-B67F-A62EFF666E3E}">
          <x14:id>{A3BC3AC7-14A9-4364-9107-F74DF2124DD3}</x14:id>
        </ext>
      </extLst>
    </cfRule>
    <cfRule type="colorScale" priority="300">
      <colorScale>
        <cfvo type="min"/>
        <cfvo type="percentile" val="50"/>
        <cfvo type="max"/>
        <color rgb="FFF8696B"/>
        <color theme="4" tint="0.79998168889431442"/>
        <color rgb="FF00B0F0"/>
      </colorScale>
    </cfRule>
  </conditionalFormatting>
  <conditionalFormatting sqref="CG1">
    <cfRule type="iconSet" priority="284">
      <iconSet iconSet="5Arrows">
        <cfvo type="percent" val="0"/>
        <cfvo type="percent" val="20"/>
        <cfvo type="percent" val="40"/>
        <cfvo type="percent" val="60"/>
        <cfvo type="percent" val="80"/>
      </iconSet>
    </cfRule>
    <cfRule type="colorScale" priority="285">
      <colorScale>
        <cfvo type="min"/>
        <cfvo type="percentile" val="50"/>
        <cfvo type="max"/>
        <color rgb="FFF8696B"/>
        <color rgb="FFFFEB84"/>
        <color rgb="FF63BE7B"/>
      </colorScale>
    </cfRule>
  </conditionalFormatting>
  <conditionalFormatting sqref="CG1">
    <cfRule type="colorScale" priority="283">
      <colorScale>
        <cfvo type="min"/>
        <cfvo type="percentile" val="50"/>
        <cfvo type="max"/>
        <color rgb="FFF8696B"/>
        <color rgb="FFFFEB84"/>
        <color rgb="FF63BE7B"/>
      </colorScale>
    </cfRule>
  </conditionalFormatting>
  <conditionalFormatting sqref="CG1">
    <cfRule type="colorScale" priority="282">
      <colorScale>
        <cfvo type="min"/>
        <cfvo type="percentile" val="50"/>
        <cfvo type="max"/>
        <color rgb="FF63BE7B"/>
        <color rgb="FFFFEB84"/>
        <color rgb="FFF8696B"/>
      </colorScale>
    </cfRule>
  </conditionalFormatting>
  <conditionalFormatting sqref="CH1:CI1">
    <cfRule type="colorScale" priority="281">
      <colorScale>
        <cfvo type="min"/>
        <cfvo type="percentile" val="50"/>
        <cfvo type="max"/>
        <color rgb="FFF8696B"/>
        <color rgb="FFFFEB84"/>
        <color rgb="FF63BE7B"/>
      </colorScale>
    </cfRule>
  </conditionalFormatting>
  <conditionalFormatting sqref="CH1:CI1">
    <cfRule type="colorScale" priority="279">
      <colorScale>
        <cfvo type="min"/>
        <cfvo type="percentile" val="50"/>
        <cfvo type="max"/>
        <color rgb="FFF8696B"/>
        <color rgb="FFFFEB84"/>
        <color rgb="FF63BE7B"/>
      </colorScale>
    </cfRule>
    <cfRule type="colorScale" priority="280">
      <colorScale>
        <cfvo type="min"/>
        <cfvo type="max"/>
        <color rgb="FFFFEF9C"/>
        <color rgb="FF63BE7B"/>
      </colorScale>
    </cfRule>
  </conditionalFormatting>
  <conditionalFormatting sqref="CI1">
    <cfRule type="colorScale" priority="278">
      <colorScale>
        <cfvo type="min"/>
        <cfvo type="percentile" val="50"/>
        <cfvo type="max"/>
        <color rgb="FFF8696B"/>
        <color rgb="FFFFEB84"/>
        <color rgb="FF63BE7B"/>
      </colorScale>
    </cfRule>
  </conditionalFormatting>
  <conditionalFormatting sqref="CH1">
    <cfRule type="iconSet" priority="276">
      <iconSet iconSet="5Arrows">
        <cfvo type="percent" val="0"/>
        <cfvo type="percent" val="20"/>
        <cfvo type="percent" val="40"/>
        <cfvo type="percent" val="60"/>
        <cfvo type="percent" val="80"/>
      </iconSet>
    </cfRule>
    <cfRule type="colorScale" priority="277">
      <colorScale>
        <cfvo type="min"/>
        <cfvo type="percentile" val="50"/>
        <cfvo type="max"/>
        <color rgb="FFF8696B"/>
        <color rgb="FFFFEB84"/>
        <color rgb="FF63BE7B"/>
      </colorScale>
    </cfRule>
  </conditionalFormatting>
  <conditionalFormatting sqref="CG1:CG1048576">
    <cfRule type="dataBar" priority="88">
      <dataBar>
        <cfvo type="min"/>
        <cfvo type="max"/>
        <color rgb="FF008AEF"/>
      </dataBar>
      <extLst>
        <ext xmlns:x14="http://schemas.microsoft.com/office/spreadsheetml/2009/9/main" uri="{B025F937-C7B1-47D3-B67F-A62EFF666E3E}">
          <x14:id>{B6818099-FC14-42BA-B46E-6CFFD247E357}</x14:id>
        </ext>
      </extLst>
    </cfRule>
    <cfRule type="colorScale" priority="227">
      <colorScale>
        <cfvo type="min"/>
        <cfvo type="percentile" val="50"/>
        <cfvo type="max"/>
        <color rgb="FFF8696B"/>
        <color rgb="FFFCFCFF"/>
        <color rgb="FF5A8AC6"/>
      </colorScale>
    </cfRule>
    <cfRule type="iconSet" priority="269">
      <iconSet iconSet="5Arrows">
        <cfvo type="percent" val="0"/>
        <cfvo type="percent" val="20"/>
        <cfvo type="percent" val="40"/>
        <cfvo type="percent" val="60"/>
        <cfvo type="percent" val="80"/>
      </iconSet>
    </cfRule>
    <cfRule type="iconSet" priority="270">
      <iconSet iconSet="3Arrows">
        <cfvo type="percent" val="0"/>
        <cfvo type="percent" val="33"/>
        <cfvo type="percent" val="67"/>
      </iconSet>
    </cfRule>
  </conditionalFormatting>
  <conditionalFormatting sqref="CH1:CH1048576">
    <cfRule type="dataBar" priority="87">
      <dataBar>
        <cfvo type="min"/>
        <cfvo type="max"/>
        <color rgb="FF008AEF"/>
      </dataBar>
      <extLst>
        <ext xmlns:x14="http://schemas.microsoft.com/office/spreadsheetml/2009/9/main" uri="{B025F937-C7B1-47D3-B67F-A62EFF666E3E}">
          <x14:id>{C5A2172C-C906-4F46-B782-516E132FED96}</x14:id>
        </ext>
      </extLst>
    </cfRule>
    <cfRule type="colorScale" priority="226">
      <colorScale>
        <cfvo type="min"/>
        <cfvo type="percentile" val="50"/>
        <cfvo type="max"/>
        <color rgb="FFF8696B"/>
        <color rgb="FFFCFCFF"/>
        <color rgb="FF5A8AC6"/>
      </colorScale>
    </cfRule>
    <cfRule type="iconSet" priority="268">
      <iconSet iconSet="5Arrows">
        <cfvo type="percent" val="0"/>
        <cfvo type="percent" val="20"/>
        <cfvo type="percent" val="40"/>
        <cfvo type="percent" val="60"/>
        <cfvo type="percent" val="80"/>
      </iconSet>
    </cfRule>
  </conditionalFormatting>
  <conditionalFormatting sqref="CJ1:CJ1048576">
    <cfRule type="colorScale" priority="273">
      <colorScale>
        <cfvo type="min"/>
        <cfvo type="percentile" val="50"/>
        <cfvo type="max"/>
        <color rgb="FFF8696B"/>
        <color rgb="FFFFEB84"/>
        <color rgb="FF63BE7B"/>
      </colorScale>
    </cfRule>
  </conditionalFormatting>
  <conditionalFormatting sqref="CI1:CI1048576">
    <cfRule type="dataBar" priority="85">
      <dataBar>
        <cfvo type="min"/>
        <cfvo type="max"/>
        <color rgb="FFB0C5E2"/>
      </dataBar>
      <extLst>
        <ext xmlns:x14="http://schemas.microsoft.com/office/spreadsheetml/2009/9/main" uri="{B025F937-C7B1-47D3-B67F-A62EFF666E3E}">
          <x14:id>{DE283332-3E2D-474B-923C-9D2DDC605911}</x14:id>
        </ext>
      </extLst>
    </cfRule>
    <cfRule type="dataBar" priority="86">
      <dataBar>
        <cfvo type="min"/>
        <cfvo type="max"/>
        <color rgb="FF008AEF"/>
      </dataBar>
      <extLst>
        <ext xmlns:x14="http://schemas.microsoft.com/office/spreadsheetml/2009/9/main" uri="{B025F937-C7B1-47D3-B67F-A62EFF666E3E}">
          <x14:id>{561122CD-B5E5-4210-806A-062E043B6727}</x14:id>
        </ext>
      </extLst>
    </cfRule>
    <cfRule type="colorScale" priority="225">
      <colorScale>
        <cfvo type="min"/>
        <cfvo type="percentile" val="50"/>
        <cfvo type="max"/>
        <color rgb="FFF8696B"/>
        <color rgb="FFFCFCFF"/>
        <color rgb="FF5A8AC6"/>
      </colorScale>
    </cfRule>
  </conditionalFormatting>
  <conditionalFormatting sqref="CF1:CF1048576">
    <cfRule type="colorScale" priority="271">
      <colorScale>
        <cfvo type="min"/>
        <cfvo type="percentile" val="50"/>
        <cfvo type="max"/>
        <color rgb="FFF8696B"/>
        <color rgb="FFFFEB84"/>
        <color rgb="FF63BE7B"/>
      </colorScale>
    </cfRule>
  </conditionalFormatting>
  <conditionalFormatting sqref="CE1:CE1048576">
    <cfRule type="iconSet" priority="267">
      <iconSet iconSet="5Arrows">
        <cfvo type="percent" val="0"/>
        <cfvo type="percent" val="20"/>
        <cfvo type="percent" val="40"/>
        <cfvo type="percent" val="60"/>
        <cfvo type="percent" val="80"/>
      </iconSet>
    </cfRule>
  </conditionalFormatting>
  <conditionalFormatting sqref="CZ2:CZ11">
    <cfRule type="colorScale" priority="264">
      <colorScale>
        <cfvo type="num" val="0"/>
        <cfvo type="num" val="31"/>
        <cfvo type="num" val="32"/>
        <color theme="7" tint="0.79998168889431442"/>
        <color rgb="FFFFEB84"/>
        <color rgb="FFFF0000"/>
      </colorScale>
    </cfRule>
  </conditionalFormatting>
  <conditionalFormatting sqref="CZ2:CZ1048576">
    <cfRule type="colorScale" priority="263">
      <colorScale>
        <cfvo type="min"/>
        <cfvo type="percentile" val="50"/>
        <cfvo type="max"/>
        <color rgb="FFF8696B"/>
        <color rgb="FFFFEB84"/>
        <color rgb="FF63BE7B"/>
      </colorScale>
    </cfRule>
  </conditionalFormatting>
  <conditionalFormatting sqref="CZ1">
    <cfRule type="colorScale" priority="259">
      <colorScale>
        <cfvo type="min"/>
        <cfvo type="percentile" val="50"/>
        <cfvo type="max"/>
        <color rgb="FFF8696B"/>
        <color rgb="FFFFEB84"/>
        <color rgb="FF63BE7B"/>
      </colorScale>
    </cfRule>
  </conditionalFormatting>
  <conditionalFormatting sqref="CZ1">
    <cfRule type="colorScale" priority="258">
      <colorScale>
        <cfvo type="min"/>
        <cfvo type="percentile" val="50"/>
        <cfvo type="max"/>
        <color rgb="FFF8696B"/>
        <color rgb="FFFFEB84"/>
        <color rgb="FF63BE7B"/>
      </colorScale>
    </cfRule>
  </conditionalFormatting>
  <conditionalFormatting sqref="CZ1:CZ1048576">
    <cfRule type="iconSet" priority="204">
      <iconSet iconSet="5Arrows">
        <cfvo type="percent" val="0"/>
        <cfvo type="percent" val="20"/>
        <cfvo type="percent" val="40"/>
        <cfvo type="percent" val="60"/>
        <cfvo type="percent" val="80"/>
      </iconSet>
    </cfRule>
    <cfRule type="colorScale" priority="247">
      <colorScale>
        <cfvo type="min"/>
        <cfvo type="percentile" val="50"/>
        <cfvo type="max"/>
        <color rgb="FFF8696B"/>
        <color rgb="FFFFEB84"/>
        <color rgb="FF63BE7B"/>
      </colorScale>
    </cfRule>
  </conditionalFormatting>
  <conditionalFormatting sqref="DA1:DA1048576">
    <cfRule type="iconSet" priority="203">
      <iconSet iconSet="5Arrows">
        <cfvo type="percent" val="0"/>
        <cfvo type="percent" val="20"/>
        <cfvo type="percent" val="40"/>
        <cfvo type="percent" val="60"/>
        <cfvo type="percent" val="80"/>
      </iconSet>
    </cfRule>
    <cfRule type="colorScale" priority="246">
      <colorScale>
        <cfvo type="min"/>
        <cfvo type="percentile" val="50"/>
        <cfvo type="max"/>
        <color rgb="FFF8696B"/>
        <color rgb="FFFFEB84"/>
        <color rgb="FF63BE7B"/>
      </colorScale>
    </cfRule>
  </conditionalFormatting>
  <conditionalFormatting sqref="AY1">
    <cfRule type="iconSet" priority="193">
      <iconSet iconSet="3ArrowsGray">
        <cfvo type="percent" val="0"/>
        <cfvo type="percent" val="33"/>
        <cfvo type="percent" val="67"/>
      </iconSet>
    </cfRule>
    <cfRule type="colorScale" priority="196">
      <colorScale>
        <cfvo type="min"/>
        <cfvo type="percentile" val="50"/>
        <cfvo type="max"/>
        <color theme="5" tint="0.79998168889431442"/>
        <color theme="5" tint="0.39997558519241921"/>
        <color theme="5" tint="-0.249977111117893"/>
      </colorScale>
    </cfRule>
  </conditionalFormatting>
  <conditionalFormatting sqref="BA1">
    <cfRule type="iconSet" priority="191">
      <iconSet iconSet="3ArrowsGray">
        <cfvo type="percent" val="0"/>
        <cfvo type="percent" val="33"/>
        <cfvo type="percent" val="67"/>
      </iconSet>
    </cfRule>
    <cfRule type="colorScale" priority="194">
      <colorScale>
        <cfvo type="min"/>
        <cfvo type="percentile" val="50"/>
        <cfvo type="max"/>
        <color theme="5" tint="0.79998168889431442"/>
        <color theme="5" tint="0.39997558519241921"/>
        <color theme="5" tint="-0.249977111117893"/>
      </colorScale>
    </cfRule>
  </conditionalFormatting>
  <conditionalFormatting sqref="AY1:AY1048576">
    <cfRule type="colorScale" priority="186">
      <colorScale>
        <cfvo type="min"/>
        <cfvo type="percentile" val="50"/>
        <cfvo type="max"/>
        <color theme="5" tint="0.79998168889431442"/>
        <color theme="5" tint="0.39997558519241921"/>
        <color theme="5" tint="-0.249977111117893"/>
      </colorScale>
    </cfRule>
    <cfRule type="iconSet" priority="190">
      <iconSet iconSet="3ArrowsGray">
        <cfvo type="percent" val="0"/>
        <cfvo type="percent" val="33"/>
        <cfvo type="percent" val="67"/>
      </iconSet>
    </cfRule>
  </conditionalFormatting>
  <conditionalFormatting sqref="BA1:BA1048576">
    <cfRule type="colorScale" priority="184">
      <colorScale>
        <cfvo type="min"/>
        <cfvo type="percentile" val="50"/>
        <cfvo type="max"/>
        <color theme="5" tint="0.79998168889431442"/>
        <color theme="5" tint="0.39997558519241921"/>
        <color theme="5" tint="-0.249977111117893"/>
      </colorScale>
    </cfRule>
    <cfRule type="iconSet" priority="188">
      <iconSet iconSet="3ArrowsGray">
        <cfvo type="percent" val="0"/>
        <cfvo type="percent" val="33"/>
        <cfvo type="percent" val="67"/>
      </iconSet>
    </cfRule>
  </conditionalFormatting>
  <conditionalFormatting sqref="AZ1:AZ1048576">
    <cfRule type="colorScale" priority="185">
      <colorScale>
        <cfvo type="min"/>
        <cfvo type="percentile" val="50"/>
        <cfvo type="max"/>
        <color theme="5" tint="-0.249977111117893"/>
        <color theme="5" tint="0.39997558519241921"/>
        <color theme="5" tint="0.79998168889431442"/>
      </colorScale>
    </cfRule>
    <cfRule type="iconSet" priority="187">
      <iconSet iconSet="3ArrowsGray" reverse="1">
        <cfvo type="percent" val="0"/>
        <cfvo type="percent" val="33"/>
        <cfvo type="percent" val="67"/>
      </iconSet>
    </cfRule>
  </conditionalFormatting>
  <conditionalFormatting sqref="DJ1:DJ1048576">
    <cfRule type="colorScale" priority="181">
      <colorScale>
        <cfvo type="min"/>
        <cfvo type="percentile" val="50"/>
        <cfvo type="max"/>
        <color rgb="FFF8696B"/>
        <color theme="8" tint="0.79998168889431442"/>
        <color rgb="FF00B0F0"/>
      </colorScale>
    </cfRule>
    <cfRule type="iconSet" priority="182">
      <iconSet iconSet="5Arrows">
        <cfvo type="percent" val="0"/>
        <cfvo type="percent" val="20"/>
        <cfvo type="percent" val="40"/>
        <cfvo type="percent" val="60"/>
        <cfvo type="percent" val="80"/>
      </iconSet>
    </cfRule>
  </conditionalFormatting>
  <conditionalFormatting sqref="DK1:DK1048576">
    <cfRule type="iconSet" priority="173">
      <iconSet iconSet="3Arrows">
        <cfvo type="percent" val="0"/>
        <cfvo type="percent" val="33"/>
        <cfvo type="percent" val="67"/>
      </iconSet>
    </cfRule>
    <cfRule type="colorScale" priority="174">
      <colorScale>
        <cfvo type="min"/>
        <cfvo type="percentile" val="50"/>
        <cfvo type="max"/>
        <color rgb="FFF8696B"/>
        <color theme="8" tint="0.79998168889431442"/>
        <color rgb="FF00B0F0"/>
      </colorScale>
    </cfRule>
  </conditionalFormatting>
  <conditionalFormatting sqref="DM1:DM1048576">
    <cfRule type="iconSet" priority="171">
      <iconSet iconSet="3Arrows" reverse="1">
        <cfvo type="percent" val="0"/>
        <cfvo type="percent" val="33"/>
        <cfvo type="percent" val="67"/>
      </iconSet>
    </cfRule>
    <cfRule type="colorScale" priority="172">
      <colorScale>
        <cfvo type="min"/>
        <cfvo type="max"/>
        <color rgb="FFFCFCFF"/>
        <color rgb="FFF8696B"/>
      </colorScale>
    </cfRule>
  </conditionalFormatting>
  <conditionalFormatting sqref="DN1:DN1048576">
    <cfRule type="iconSet" priority="169">
      <iconSet iconSet="3Arrows" reverse="1">
        <cfvo type="percent" val="0"/>
        <cfvo type="percent" val="33"/>
        <cfvo type="percent" val="67"/>
      </iconSet>
    </cfRule>
    <cfRule type="colorScale" priority="170">
      <colorScale>
        <cfvo type="min"/>
        <cfvo type="max"/>
        <color rgb="FFFCFCFF"/>
        <color rgb="FFF8696B"/>
      </colorScale>
    </cfRule>
  </conditionalFormatting>
  <conditionalFormatting sqref="DO1:DO1048576">
    <cfRule type="iconSet" priority="167">
      <iconSet iconSet="3Arrows" reverse="1">
        <cfvo type="percent" val="0"/>
        <cfvo type="percent" val="33"/>
        <cfvo type="percent" val="67"/>
      </iconSet>
    </cfRule>
    <cfRule type="colorScale" priority="168">
      <colorScale>
        <cfvo type="min"/>
        <cfvo type="max"/>
        <color rgb="FFFCFCFF"/>
        <color rgb="FFF8696B"/>
      </colorScale>
    </cfRule>
  </conditionalFormatting>
  <conditionalFormatting sqref="BB1:BB1048576">
    <cfRule type="iconSet" priority="159">
      <iconSet iconSet="5Arrows">
        <cfvo type="percent" val="0"/>
        <cfvo type="percent" val="20"/>
        <cfvo type="percent" val="40"/>
        <cfvo type="percent" val="60"/>
        <cfvo type="percent" val="80"/>
      </iconSet>
    </cfRule>
    <cfRule type="colorScale" priority="161">
      <colorScale>
        <cfvo type="min"/>
        <cfvo type="percentile" val="50"/>
        <cfvo type="max"/>
        <color rgb="FFF8696B"/>
        <color rgb="FFFFEB84"/>
        <color rgb="FF63BE7B"/>
      </colorScale>
    </cfRule>
  </conditionalFormatting>
  <conditionalFormatting sqref="BC1:BC1048576">
    <cfRule type="iconSet" priority="158">
      <iconSet iconSet="5Arrows">
        <cfvo type="percent" val="0"/>
        <cfvo type="percent" val="20"/>
        <cfvo type="percent" val="40"/>
        <cfvo type="percent" val="60"/>
        <cfvo type="percent" val="80"/>
      </iconSet>
    </cfRule>
    <cfRule type="colorScale" priority="160">
      <colorScale>
        <cfvo type="min"/>
        <cfvo type="percentile" val="50"/>
        <cfvo type="max"/>
        <color rgb="FFF8696B"/>
        <color rgb="FFFFEB84"/>
        <color rgb="FF63BE7B"/>
      </colorScale>
    </cfRule>
  </conditionalFormatting>
  <conditionalFormatting sqref="S1:S1048576">
    <cfRule type="colorScale" priority="157">
      <colorScale>
        <cfvo type="min"/>
        <cfvo type="percentile" val="50"/>
        <cfvo type="max"/>
        <color rgb="FF63BE7B"/>
        <color rgb="FFFFEB84"/>
        <color rgb="FFF8696B"/>
      </colorScale>
    </cfRule>
  </conditionalFormatting>
  <conditionalFormatting sqref="CA1:CC1048576">
    <cfRule type="colorScale" priority="2076897">
      <colorScale>
        <cfvo type="min"/>
        <cfvo type="max"/>
        <color rgb="FFFFEF9C"/>
        <color rgb="FF63BE7B"/>
      </colorScale>
    </cfRule>
  </conditionalFormatting>
  <conditionalFormatting sqref="BH1:BH1048576">
    <cfRule type="iconSet" priority="152">
      <iconSet iconSet="5Arrows">
        <cfvo type="percent" val="0"/>
        <cfvo type="percent" val="20"/>
        <cfvo type="percent" val="40"/>
        <cfvo type="percent" val="60"/>
        <cfvo type="percent" val="80"/>
      </iconSet>
    </cfRule>
    <cfRule type="colorScale" priority="153">
      <colorScale>
        <cfvo type="min"/>
        <cfvo type="max"/>
        <color rgb="FFFFEF9C"/>
        <color rgb="FF63BE7B"/>
      </colorScale>
    </cfRule>
  </conditionalFormatting>
  <conditionalFormatting sqref="BI1:BI1048576">
    <cfRule type="iconSet" priority="150">
      <iconSet iconSet="5Arrows">
        <cfvo type="percent" val="0"/>
        <cfvo type="percent" val="20"/>
        <cfvo type="percent" val="40"/>
        <cfvo type="percent" val="60"/>
        <cfvo type="percent" val="80"/>
      </iconSet>
    </cfRule>
    <cfRule type="colorScale" priority="151">
      <colorScale>
        <cfvo type="min"/>
        <cfvo type="max"/>
        <color rgb="FFFFEF9C"/>
        <color rgb="FF63BE7B"/>
      </colorScale>
    </cfRule>
  </conditionalFormatting>
  <conditionalFormatting sqref="BJ1:BJ1048576">
    <cfRule type="iconSet" priority="148">
      <iconSet iconSet="5Arrows">
        <cfvo type="percent" val="0"/>
        <cfvo type="percent" val="20"/>
        <cfvo type="percent" val="40"/>
        <cfvo type="percent" val="60"/>
        <cfvo type="percent" val="80"/>
      </iconSet>
    </cfRule>
    <cfRule type="colorScale" priority="149">
      <colorScale>
        <cfvo type="min"/>
        <cfvo type="percentile" val="50"/>
        <cfvo type="max"/>
        <color rgb="FFF8696B"/>
        <color rgb="FFFFEB84"/>
        <color rgb="FF63BE7B"/>
      </colorScale>
    </cfRule>
  </conditionalFormatting>
  <conditionalFormatting sqref="BO1:BO1048576">
    <cfRule type="dataBar" priority="81">
      <dataBar>
        <cfvo type="min"/>
        <cfvo type="max"/>
        <color rgb="FFFF555A"/>
      </dataBar>
      <extLst>
        <ext xmlns:x14="http://schemas.microsoft.com/office/spreadsheetml/2009/9/main" uri="{B025F937-C7B1-47D3-B67F-A62EFF666E3E}">
          <x14:id>{86E95E8D-E0B4-4D9A-AA27-0ECF26914EFE}</x14:id>
        </ext>
      </extLst>
    </cfRule>
    <cfRule type="colorScale" priority="147">
      <colorScale>
        <cfvo type="min"/>
        <cfvo type="max"/>
        <color rgb="FFFCFCFF"/>
        <color rgb="FFF8696B"/>
      </colorScale>
    </cfRule>
  </conditionalFormatting>
  <conditionalFormatting sqref="BP1:BP1048576">
    <cfRule type="dataBar" priority="80">
      <dataBar>
        <cfvo type="min"/>
        <cfvo type="max"/>
        <color rgb="FFFF555A"/>
      </dataBar>
      <extLst>
        <ext xmlns:x14="http://schemas.microsoft.com/office/spreadsheetml/2009/9/main" uri="{B025F937-C7B1-47D3-B67F-A62EFF666E3E}">
          <x14:id>{442FCEE9-C163-4406-9C75-ED9168CEF606}</x14:id>
        </ext>
      </extLst>
    </cfRule>
    <cfRule type="colorScale" priority="146">
      <colorScale>
        <cfvo type="min"/>
        <cfvo type="max"/>
        <color rgb="FFFCFCFF"/>
        <color rgb="FFF8696B"/>
      </colorScale>
    </cfRule>
  </conditionalFormatting>
  <conditionalFormatting sqref="BQ1:BQ1048576">
    <cfRule type="colorScale" priority="145">
      <colorScale>
        <cfvo type="min"/>
        <cfvo type="max"/>
        <color rgb="FFFFEF9C"/>
        <color rgb="FF63BE7B"/>
      </colorScale>
    </cfRule>
  </conditionalFormatting>
  <conditionalFormatting sqref="BR1:BR1048576">
    <cfRule type="dataBar" priority="79">
      <dataBar>
        <cfvo type="min"/>
        <cfvo type="max"/>
        <color rgb="FFFF555A"/>
      </dataBar>
      <extLst>
        <ext xmlns:x14="http://schemas.microsoft.com/office/spreadsheetml/2009/9/main" uri="{B025F937-C7B1-47D3-B67F-A62EFF666E3E}">
          <x14:id>{F45F5E5B-CAEF-48E2-9502-82F3EF8ED100}</x14:id>
        </ext>
      </extLst>
    </cfRule>
    <cfRule type="colorScale" priority="144">
      <colorScale>
        <cfvo type="min"/>
        <cfvo type="max"/>
        <color rgb="FFFCFCFF"/>
        <color rgb="FFF8696B"/>
      </colorScale>
    </cfRule>
  </conditionalFormatting>
  <conditionalFormatting sqref="BK1:BK1048576">
    <cfRule type="colorScale" priority="143">
      <colorScale>
        <cfvo type="min"/>
        <cfvo type="percentile" val="50"/>
        <cfvo type="max"/>
        <color rgb="FFF8696B"/>
        <color rgb="FFFFEB84"/>
        <color rgb="FF63BE7B"/>
      </colorScale>
    </cfRule>
  </conditionalFormatting>
  <conditionalFormatting sqref="BM1:BM1048576">
    <cfRule type="dataBar" priority="82">
      <dataBar>
        <cfvo type="min"/>
        <cfvo type="max"/>
        <color rgb="FFFF555A"/>
      </dataBar>
      <extLst>
        <ext xmlns:x14="http://schemas.microsoft.com/office/spreadsheetml/2009/9/main" uri="{B025F937-C7B1-47D3-B67F-A62EFF666E3E}">
          <x14:id>{4FAB539C-D42F-4DB9-B6AC-481FEF821EBB}</x14:id>
        </ext>
      </extLst>
    </cfRule>
    <cfRule type="iconSet" priority="139">
      <iconSet iconSet="5Arrows" reverse="1">
        <cfvo type="percent" val="0"/>
        <cfvo type="percent" val="20"/>
        <cfvo type="percent" val="40"/>
        <cfvo type="percent" val="60"/>
        <cfvo type="percent" val="80"/>
      </iconSet>
    </cfRule>
    <cfRule type="colorScale" priority="140">
      <colorScale>
        <cfvo type="min"/>
        <cfvo type="max"/>
        <color rgb="FFFCFCFF"/>
        <color rgb="FFF8696B"/>
      </colorScale>
    </cfRule>
  </conditionalFormatting>
  <conditionalFormatting sqref="BL1:BL1048576">
    <cfRule type="dataBar" priority="83">
      <dataBar>
        <cfvo type="min"/>
        <cfvo type="max"/>
        <color rgb="FFFF555A"/>
      </dataBar>
      <extLst>
        <ext xmlns:x14="http://schemas.microsoft.com/office/spreadsheetml/2009/9/main" uri="{B025F937-C7B1-47D3-B67F-A62EFF666E3E}">
          <x14:id>{48BFB06A-434A-4772-A325-4C015B737757}</x14:id>
        </ext>
      </extLst>
    </cfRule>
    <cfRule type="iconSet" priority="137">
      <iconSet iconSet="5Arrows" reverse="1">
        <cfvo type="percent" val="0"/>
        <cfvo type="percent" val="20"/>
        <cfvo type="percent" val="40"/>
        <cfvo type="percent" val="60"/>
        <cfvo type="percent" val="80"/>
      </iconSet>
    </cfRule>
    <cfRule type="colorScale" priority="138">
      <colorScale>
        <cfvo type="min"/>
        <cfvo type="max"/>
        <color rgb="FFFCFCFF"/>
        <color rgb="FFF8696B"/>
      </colorScale>
    </cfRule>
  </conditionalFormatting>
  <conditionalFormatting sqref="BD1:BD1048576">
    <cfRule type="iconSet" priority="135">
      <iconSet iconSet="5Arrows">
        <cfvo type="percent" val="0"/>
        <cfvo type="percent" val="20"/>
        <cfvo type="percent" val="40"/>
        <cfvo type="percent" val="60"/>
        <cfvo type="percent" val="80"/>
      </iconSet>
    </cfRule>
    <cfRule type="colorScale" priority="136">
      <colorScale>
        <cfvo type="min"/>
        <cfvo type="percentile" val="50"/>
        <cfvo type="max"/>
        <color rgb="FFF8696B"/>
        <color rgb="FFFFEB84"/>
        <color rgb="FF63BE7B"/>
      </colorScale>
    </cfRule>
  </conditionalFormatting>
  <conditionalFormatting sqref="BE1:BE1048576">
    <cfRule type="iconSet" priority="133">
      <iconSet iconSet="5Arrows">
        <cfvo type="percent" val="0"/>
        <cfvo type="percent" val="20"/>
        <cfvo type="percent" val="40"/>
        <cfvo type="percent" val="60"/>
        <cfvo type="percent" val="80"/>
      </iconSet>
    </cfRule>
    <cfRule type="colorScale" priority="134">
      <colorScale>
        <cfvo type="min"/>
        <cfvo type="percentile" val="50"/>
        <cfvo type="max"/>
        <color rgb="FFF8696B"/>
        <color rgb="FFFFEB84"/>
        <color rgb="FF63BE7B"/>
      </colorScale>
    </cfRule>
  </conditionalFormatting>
  <conditionalFormatting sqref="BF1:BF1048576">
    <cfRule type="iconSet" priority="131">
      <iconSet iconSet="5Arrows">
        <cfvo type="percent" val="0"/>
        <cfvo type="percent" val="20"/>
        <cfvo type="percent" val="40"/>
        <cfvo type="percent" val="60"/>
        <cfvo type="percent" val="80"/>
      </iconSet>
    </cfRule>
    <cfRule type="colorScale" priority="132">
      <colorScale>
        <cfvo type="min"/>
        <cfvo type="percentile" val="50"/>
        <cfvo type="max"/>
        <color rgb="FFF8696B"/>
        <color rgb="FFFFEB84"/>
        <color rgb="FF63BE7B"/>
      </colorScale>
    </cfRule>
  </conditionalFormatting>
  <conditionalFormatting sqref="BG1:BG1048576">
    <cfRule type="iconSet" priority="129">
      <iconSet iconSet="5Arrows">
        <cfvo type="percent" val="0"/>
        <cfvo type="percent" val="20"/>
        <cfvo type="percent" val="40"/>
        <cfvo type="percent" val="60"/>
        <cfvo type="percent" val="80"/>
      </iconSet>
    </cfRule>
    <cfRule type="colorScale" priority="130">
      <colorScale>
        <cfvo type="min"/>
        <cfvo type="percentile" val="50"/>
        <cfvo type="max"/>
        <color rgb="FFF8696B"/>
        <color rgb="FFFFEB84"/>
        <color rgb="FF63BE7B"/>
      </colorScale>
    </cfRule>
  </conditionalFormatting>
  <conditionalFormatting sqref="DH1:DH1048576">
    <cfRule type="iconSet" priority="127">
      <iconSet iconSet="5Arrows">
        <cfvo type="percent" val="0"/>
        <cfvo type="percent" val="20"/>
        <cfvo type="percent" val="40"/>
        <cfvo type="percent" val="60"/>
        <cfvo type="percent" val="80"/>
      </iconSet>
    </cfRule>
    <cfRule type="colorScale" priority="128">
      <colorScale>
        <cfvo type="min"/>
        <cfvo type="percentile" val="50"/>
        <cfvo type="max"/>
        <color rgb="FFF8696B"/>
        <color rgb="FFFFEB84"/>
        <color rgb="FF63BE7B"/>
      </colorScale>
    </cfRule>
  </conditionalFormatting>
  <conditionalFormatting sqref="DI1:DI1048576">
    <cfRule type="iconSet" priority="125">
      <iconSet iconSet="5Arrows">
        <cfvo type="percent" val="0"/>
        <cfvo type="percent" val="20"/>
        <cfvo type="percent" val="40"/>
        <cfvo type="percent" val="60"/>
        <cfvo type="percent" val="80"/>
      </iconSet>
    </cfRule>
    <cfRule type="colorScale" priority="126">
      <colorScale>
        <cfvo type="min"/>
        <cfvo type="percentile" val="50"/>
        <cfvo type="max"/>
        <color rgb="FFF8696B"/>
        <color rgb="FFFFEB84"/>
        <color rgb="FF63BE7B"/>
      </colorScale>
    </cfRule>
  </conditionalFormatting>
  <conditionalFormatting sqref="DE1:DE1048576">
    <cfRule type="colorScale" priority="113">
      <colorScale>
        <cfvo type="min"/>
        <cfvo type="percentile" val="50"/>
        <cfvo type="max"/>
        <color rgb="FFF8696B"/>
        <color rgb="FFFFEB84"/>
        <color rgb="FF63BE7B"/>
      </colorScale>
    </cfRule>
  </conditionalFormatting>
  <conditionalFormatting sqref="DF1:DF1048576">
    <cfRule type="colorScale" priority="108">
      <colorScale>
        <cfvo type="num" val="-1"/>
        <cfvo type="num" val="0"/>
        <cfvo type="max"/>
        <color rgb="FF63BE7B"/>
        <color rgb="FFFFEB84"/>
        <color rgb="FFF8696B"/>
      </colorScale>
    </cfRule>
  </conditionalFormatting>
  <conditionalFormatting sqref="DB1:DB1048576">
    <cfRule type="iconSet" priority="104">
      <iconSet iconSet="5Arrows">
        <cfvo type="percent" val="0"/>
        <cfvo type="percent" val="20"/>
        <cfvo type="percent" val="40"/>
        <cfvo type="percent" val="60"/>
        <cfvo type="percent" val="80"/>
      </iconSet>
    </cfRule>
    <cfRule type="colorScale" priority="105">
      <colorScale>
        <cfvo type="min"/>
        <cfvo type="percentile" val="50"/>
        <cfvo type="max"/>
        <color rgb="FFF8696B"/>
        <color rgb="FFFFEB84"/>
        <color rgb="FF63BE7B"/>
      </colorScale>
    </cfRule>
  </conditionalFormatting>
  <conditionalFormatting sqref="DC1:DC1048576">
    <cfRule type="iconSet" priority="102">
      <iconSet iconSet="5Arrows">
        <cfvo type="percent" val="0"/>
        <cfvo type="percent" val="20"/>
        <cfvo type="percent" val="40"/>
        <cfvo type="percent" val="60"/>
        <cfvo type="percent" val="80"/>
      </iconSet>
    </cfRule>
    <cfRule type="colorScale" priority="103">
      <colorScale>
        <cfvo type="min"/>
        <cfvo type="percentile" val="50"/>
        <cfvo type="max"/>
        <color rgb="FFF8696B"/>
        <color rgb="FFFFEB84"/>
        <color rgb="FF63BE7B"/>
      </colorScale>
    </cfRule>
  </conditionalFormatting>
  <conditionalFormatting sqref="DD1:DD1048576">
    <cfRule type="iconSet" priority="97">
      <iconSet iconSet="5Arrows" reverse="1">
        <cfvo type="percent" val="0"/>
        <cfvo type="percent" val="20"/>
        <cfvo type="percent" val="40"/>
        <cfvo type="percent" val="60"/>
        <cfvo type="percent" val="80"/>
      </iconSet>
    </cfRule>
    <cfRule type="colorScale" priority="98">
      <colorScale>
        <cfvo type="min"/>
        <cfvo type="percentile" val="50"/>
        <cfvo type="max"/>
        <color rgb="FF63BE7B"/>
        <color rgb="FFFFEB84"/>
        <color rgb="FFF8696B"/>
      </colorScale>
    </cfRule>
  </conditionalFormatting>
  <conditionalFormatting sqref="F1:F1048576">
    <cfRule type="colorScale" priority="95">
      <colorScale>
        <cfvo type="min"/>
        <cfvo type="percentile" val="50"/>
        <cfvo type="max"/>
        <color rgb="FFF8696B"/>
        <color rgb="FFFFEB84"/>
        <color rgb="FF63BE7B"/>
      </colorScale>
    </cfRule>
  </conditionalFormatting>
  <conditionalFormatting sqref="H2:H1048576">
    <cfRule type="colorScale" priority="2395437">
      <colorScale>
        <cfvo type="min"/>
        <cfvo type="percentile" val="50"/>
        <cfvo type="max"/>
        <color rgb="FFF8696B"/>
        <color rgb="FFFFEB84"/>
        <color rgb="FF63BE7B"/>
      </colorScale>
    </cfRule>
  </conditionalFormatting>
  <conditionalFormatting sqref="DG1:DG1048576">
    <cfRule type="dataBar" priority="89">
      <dataBar>
        <cfvo type="min"/>
        <cfvo type="max"/>
        <color rgb="FF008AEF"/>
      </dataBar>
      <extLst>
        <ext xmlns:x14="http://schemas.microsoft.com/office/spreadsheetml/2009/9/main" uri="{B025F937-C7B1-47D3-B67F-A62EFF666E3E}">
          <x14:id>{3C6D9AB0-9EF5-47E4-A747-8E9A53086777}</x14:id>
        </ext>
      </extLst>
    </cfRule>
  </conditionalFormatting>
  <conditionalFormatting sqref="AI1:AI1048576">
    <cfRule type="dataBar" priority="84">
      <dataBar>
        <cfvo type="min"/>
        <cfvo type="max"/>
        <color rgb="FF00589A"/>
      </dataBar>
      <extLst>
        <ext xmlns:x14="http://schemas.microsoft.com/office/spreadsheetml/2009/9/main" uri="{B025F937-C7B1-47D3-B67F-A62EFF666E3E}">
          <x14:id>{BBC81912-40CE-4D27-891B-357B2262B56C}</x14:id>
        </ext>
      </extLst>
    </cfRule>
  </conditionalFormatting>
  <conditionalFormatting sqref="AJ1:AJ1048576">
    <cfRule type="dataBar" priority="78">
      <dataBar>
        <cfvo type="min"/>
        <cfvo type="max"/>
        <color rgb="FF305484"/>
      </dataBar>
      <extLst>
        <ext xmlns:x14="http://schemas.microsoft.com/office/spreadsheetml/2009/9/main" uri="{B025F937-C7B1-47D3-B67F-A62EFF666E3E}">
          <x14:id>{308B3B50-4DF5-40B3-8043-6E12A1A3B691}</x14:id>
        </ext>
      </extLst>
    </cfRule>
  </conditionalFormatting>
  <conditionalFormatting sqref="AK1:AK1048576">
    <cfRule type="dataBar" priority="77">
      <dataBar>
        <cfvo type="min"/>
        <cfvo type="max"/>
        <color rgb="FF305484"/>
      </dataBar>
      <extLst>
        <ext xmlns:x14="http://schemas.microsoft.com/office/spreadsheetml/2009/9/main" uri="{B025F937-C7B1-47D3-B67F-A62EFF666E3E}">
          <x14:id>{C895865F-ADB4-438A-AD0A-E74E57BEA6C3}</x14:id>
        </ext>
      </extLst>
    </cfRule>
  </conditionalFormatting>
  <conditionalFormatting sqref="AL1:AL1048576">
    <cfRule type="dataBar" priority="76">
      <dataBar>
        <cfvo type="min"/>
        <cfvo type="max"/>
        <color rgb="FF305484"/>
      </dataBar>
      <extLst>
        <ext xmlns:x14="http://schemas.microsoft.com/office/spreadsheetml/2009/9/main" uri="{B025F937-C7B1-47D3-B67F-A62EFF666E3E}">
          <x14:id>{8D279F5E-14F2-4CBB-966B-70EBDEC4252B}</x14:id>
        </ext>
      </extLst>
    </cfRule>
  </conditionalFormatting>
  <conditionalFormatting sqref="AM1:AM1048576">
    <cfRule type="colorScale" priority="75">
      <colorScale>
        <cfvo type="min"/>
        <cfvo type="percentile" val="50"/>
        <cfvo type="max"/>
        <color rgb="FFF8696B"/>
        <color rgb="FFFFEB84"/>
        <color rgb="FF63BE7B"/>
      </colorScale>
    </cfRule>
  </conditionalFormatting>
  <conditionalFormatting sqref="AN1:AN1048576">
    <cfRule type="colorScale" priority="74">
      <colorScale>
        <cfvo type="min"/>
        <cfvo type="max"/>
        <color rgb="FFFFEF9C"/>
        <color rgb="FF63BE7B"/>
      </colorScale>
    </cfRule>
  </conditionalFormatting>
  <conditionalFormatting sqref="AO1:AO1048576">
    <cfRule type="colorScale" priority="73">
      <colorScale>
        <cfvo type="min"/>
        <cfvo type="max"/>
        <color rgb="FFFFEF9C"/>
        <color rgb="FF63BE7B"/>
      </colorScale>
    </cfRule>
  </conditionalFormatting>
  <conditionalFormatting sqref="AP1:AP1048576">
    <cfRule type="colorScale" priority="72">
      <colorScale>
        <cfvo type="min"/>
        <cfvo type="percentile" val="50"/>
        <cfvo type="max"/>
        <color rgb="FFF8696B"/>
        <color theme="4" tint="0.79998168889431442"/>
        <color rgb="FF00B0F0"/>
      </colorScale>
    </cfRule>
  </conditionalFormatting>
  <conditionalFormatting sqref="CD12:CI1048576 CD1:CF1 CD2:CD11">
    <cfRule type="colorScale" priority="2520915">
      <colorScale>
        <cfvo type="min"/>
        <cfvo type="percentile" val="50"/>
        <cfvo type="max"/>
        <color rgb="FFF8696B"/>
        <color rgb="FFFFEB84"/>
        <color rgb="FF63BE7B"/>
      </colorScale>
    </cfRule>
  </conditionalFormatting>
  <conditionalFormatting sqref="CN12:CN1048576 CN1">
    <cfRule type="colorScale" priority="2520919">
      <colorScale>
        <cfvo type="min"/>
        <cfvo type="percentile" val="50"/>
        <cfvo type="max"/>
        <color rgb="FFF8696B"/>
        <color rgb="FFFFEB84"/>
        <color rgb="FF63BE7B"/>
      </colorScale>
    </cfRule>
  </conditionalFormatting>
  <conditionalFormatting sqref="CJ12:CL1048576 CJ1:CJ11 CL1:CL11">
    <cfRule type="colorScale" priority="2520922">
      <colorScale>
        <cfvo type="min"/>
        <cfvo type="percentile" val="50"/>
        <cfvo type="max"/>
        <color rgb="FFF8696B"/>
        <color rgb="FFFFEB84"/>
        <color rgb="FF63BE7B"/>
      </colorScale>
    </cfRule>
  </conditionalFormatting>
  <conditionalFormatting sqref="CJ12:CK1048576 CJ1:CJ11">
    <cfRule type="colorScale" priority="2520926">
      <colorScale>
        <cfvo type="min"/>
        <cfvo type="percentile" val="50"/>
        <cfvo type="max"/>
        <color rgb="FFF8696B"/>
        <color rgb="FFFFEB84"/>
        <color rgb="FF63BE7B"/>
      </colorScale>
    </cfRule>
  </conditionalFormatting>
  <conditionalFormatting sqref="CJ12:CL1048576 CJ1:CJ11 CL1:CL11">
    <cfRule type="colorScale" priority="2520929">
      <colorScale>
        <cfvo type="min"/>
        <cfvo type="percentile" val="50"/>
        <cfvo type="max"/>
        <color rgb="FF63BE7B"/>
        <color rgb="FFFFEB84"/>
        <color rgb="FFF8696B"/>
      </colorScale>
    </cfRule>
  </conditionalFormatting>
  <conditionalFormatting sqref="CA12:CI1048576 CA1:CF1 CA2:CD11">
    <cfRule type="colorScale" priority="2520933">
      <colorScale>
        <cfvo type="min"/>
        <cfvo type="percentile" val="50"/>
        <cfvo type="max"/>
        <color rgb="FF63BE7B"/>
        <color rgb="FFFFEB84"/>
        <color rgb="FFF8696B"/>
      </colorScale>
    </cfRule>
  </conditionalFormatting>
  <conditionalFormatting sqref="CA12:CI1048576 CA1:CF1 CA2:CD11">
    <cfRule type="colorScale" priority="2520937">
      <colorScale>
        <cfvo type="min"/>
        <cfvo type="percentile" val="50"/>
        <cfvo type="max"/>
        <color rgb="FFF8696B"/>
        <color rgb="FFFFEB84"/>
        <color rgb="FF63BE7B"/>
      </colorScale>
    </cfRule>
  </conditionalFormatting>
  <conditionalFormatting sqref="AQ2:AX11">
    <cfRule type="colorScale" priority="2520941">
      <colorScale>
        <cfvo type="min"/>
        <cfvo type="percentile" val="50"/>
        <cfvo type="max"/>
        <color rgb="FFF8696B"/>
        <color rgb="FFFFEB84"/>
        <color rgb="FF63BE7B"/>
      </colorScale>
    </cfRule>
  </conditionalFormatting>
  <conditionalFormatting sqref="AQ2:AX11">
    <cfRule type="colorScale" priority="2520946">
      <colorScale>
        <cfvo type="min"/>
        <cfvo type="percentile" val="50"/>
        <cfvo type="max"/>
        <color rgb="FFF8696B"/>
        <color rgb="FFFFEB84"/>
        <color rgb="FF63BE7B"/>
      </colorScale>
    </cfRule>
  </conditionalFormatting>
  <conditionalFormatting sqref="BN2:BN11">
    <cfRule type="colorScale" priority="2520951">
      <colorScale>
        <cfvo type="min"/>
        <cfvo type="percentile" val="50"/>
        <cfvo type="max"/>
        <color rgb="FFF8696B"/>
        <color rgb="FFFFEB84"/>
        <color rgb="FF63BE7B"/>
      </colorScale>
    </cfRule>
  </conditionalFormatting>
  <conditionalFormatting sqref="CO2:CP11">
    <cfRule type="colorScale" priority="2520952">
      <colorScale>
        <cfvo type="min"/>
        <cfvo type="percentile" val="50"/>
        <cfvo type="max"/>
        <color rgb="FFF8696B"/>
        <color rgb="FFFFEB84"/>
        <color rgb="FF63BE7B"/>
      </colorScale>
    </cfRule>
  </conditionalFormatting>
  <conditionalFormatting sqref="CQ2:CQ11">
    <cfRule type="colorScale" priority="2520953">
      <colorScale>
        <cfvo type="min"/>
        <cfvo type="percentile" val="50"/>
        <cfvo type="max"/>
        <color rgb="FFF8696B"/>
        <color rgb="FFFFEB84"/>
        <color rgb="FF63BE7B"/>
      </colorScale>
    </cfRule>
  </conditionalFormatting>
  <conditionalFormatting sqref="CR2:CR11">
    <cfRule type="colorScale" priority="2520954">
      <colorScale>
        <cfvo type="min"/>
        <cfvo type="percentile" val="50"/>
        <cfvo type="max"/>
        <color rgb="FFF8696B"/>
        <color rgb="FFFFEB84"/>
        <color rgb="FF63BE7B"/>
      </colorScale>
    </cfRule>
  </conditionalFormatting>
  <conditionalFormatting sqref="CJ2:CJ11 CL2:CL11">
    <cfRule type="colorScale" priority="2520955">
      <colorScale>
        <cfvo type="min"/>
        <cfvo type="percentile" val="50"/>
        <cfvo type="max"/>
        <color rgb="FFF8696B"/>
        <color rgb="FFFFEB84"/>
        <color rgb="FF63BE7B"/>
      </colorScale>
    </cfRule>
  </conditionalFormatting>
  <conditionalFormatting sqref="CN2:CN11">
    <cfRule type="colorScale" priority="2520957">
      <colorScale>
        <cfvo type="min"/>
        <cfvo type="percentile" val="50"/>
        <cfvo type="max"/>
        <color rgb="FFF8696B"/>
        <color rgb="FFFFEB84"/>
        <color rgb="FF63BE7B"/>
      </colorScale>
    </cfRule>
  </conditionalFormatting>
  <conditionalFormatting sqref="CK1:CK11">
    <cfRule type="colorScale" priority="2520958">
      <colorScale>
        <cfvo type="min"/>
        <cfvo type="max"/>
        <color rgb="FFFFEF9C"/>
        <color rgb="FF63BE7B"/>
      </colorScale>
    </cfRule>
  </conditionalFormatting>
  <conditionalFormatting sqref="CE2:CE11">
    <cfRule type="colorScale" priority="2520959">
      <colorScale>
        <cfvo type="min"/>
        <cfvo type="percentile" val="50"/>
        <cfvo type="max"/>
        <color rgb="FFF8696B"/>
        <color rgb="FFFFEB84"/>
        <color rgb="FF63BE7B"/>
      </colorScale>
    </cfRule>
  </conditionalFormatting>
  <conditionalFormatting sqref="CE2:CE11">
    <cfRule type="colorScale" priority="2520960">
      <colorScale>
        <cfvo type="min"/>
        <cfvo type="percentile" val="50"/>
        <cfvo type="max"/>
        <color rgb="FF63BE7B"/>
        <color rgb="FFFFEB84"/>
        <color rgb="FFF8696B"/>
      </colorScale>
    </cfRule>
  </conditionalFormatting>
  <conditionalFormatting sqref="CF2:CI11">
    <cfRule type="colorScale" priority="2520961">
      <colorScale>
        <cfvo type="min"/>
        <cfvo type="percentile" val="50"/>
        <cfvo type="max"/>
        <color rgb="FFF8696B"/>
        <color rgb="FFFFEB84"/>
        <color rgb="FF63BE7B"/>
      </colorScale>
    </cfRule>
  </conditionalFormatting>
  <conditionalFormatting sqref="CF2:CI11">
    <cfRule type="colorScale" priority="2520962">
      <colorScale>
        <cfvo type="min"/>
        <cfvo type="percentile" val="50"/>
        <cfvo type="max"/>
        <color rgb="FF63BE7B"/>
        <color rgb="FFFFEB84"/>
        <color rgb="FFF8696B"/>
      </colorScale>
    </cfRule>
  </conditionalFormatting>
  <conditionalFormatting sqref="DP2:DP11">
    <cfRule type="colorScale" priority="2520963">
      <colorScale>
        <cfvo type="min"/>
        <cfvo type="percentile" val="50"/>
        <cfvo type="max"/>
        <color rgb="FFF8696B"/>
        <color rgb="FFFFEB84"/>
        <color rgb="FF63BE7B"/>
      </colorScale>
    </cfRule>
  </conditionalFormatting>
  <conditionalFormatting sqref="DP2:DP11">
    <cfRule type="colorScale" priority="2520964">
      <colorScale>
        <cfvo type="min"/>
        <cfvo type="percentile" val="50"/>
        <cfvo type="max"/>
        <color rgb="FF63BE7B"/>
        <color rgb="FFFFEB84"/>
        <color rgb="FFF8696B"/>
      </colorScale>
    </cfRule>
  </conditionalFormatting>
  <conditionalFormatting sqref="DP2:DP11">
    <cfRule type="colorScale" priority="2520965">
      <colorScale>
        <cfvo type="min"/>
        <cfvo type="max"/>
        <color rgb="FFFFEF9C"/>
        <color rgb="FF63BE7B"/>
      </colorScale>
    </cfRule>
  </conditionalFormatting>
  <conditionalFormatting sqref="CS2:CY11">
    <cfRule type="colorScale" priority="2520966">
      <colorScale>
        <cfvo type="min"/>
        <cfvo type="percentile" val="50"/>
        <cfvo type="max"/>
        <color rgb="FFF8696B"/>
        <color rgb="FFFFEB84"/>
        <color rgb="FF63BE7B"/>
      </colorScale>
    </cfRule>
  </conditionalFormatting>
  <conditionalFormatting sqref="CT2:CY11">
    <cfRule type="colorScale" priority="2520967">
      <colorScale>
        <cfvo type="min"/>
        <cfvo type="percentile" val="50"/>
        <cfvo type="max"/>
        <color rgb="FFF8696B"/>
        <color rgb="FFFFEB84"/>
        <color rgb="FF63BE7B"/>
      </colorScale>
    </cfRule>
  </conditionalFormatting>
  <conditionalFormatting sqref="CT2:CY11">
    <cfRule type="colorScale" priority="2520968">
      <colorScale>
        <cfvo type="min"/>
        <cfvo type="max"/>
        <color rgb="FFFFEF9C"/>
        <color rgb="FF63BE7B"/>
      </colorScale>
    </cfRule>
  </conditionalFormatting>
  <conditionalFormatting sqref="CX1:CX11">
    <cfRule type="colorScale" priority="2520969">
      <colorScale>
        <cfvo type="min"/>
        <cfvo type="percentile" val="50"/>
        <cfvo type="max"/>
        <color rgb="FFF8696B"/>
        <color rgb="FFFFEB84"/>
        <color rgb="FF63BE7B"/>
      </colorScale>
    </cfRule>
  </conditionalFormatting>
  <conditionalFormatting sqref="AQ2:AS11">
    <cfRule type="colorScale" priority="2520970">
      <colorScale>
        <cfvo type="min"/>
        <cfvo type="percentile" val="50"/>
        <cfvo type="max"/>
        <color rgb="FFF8696B"/>
        <color rgb="FFFFEB84"/>
        <color rgb="FF63BE7B"/>
      </colorScale>
    </cfRule>
  </conditionalFormatting>
  <conditionalFormatting sqref="AQ2:AS11">
    <cfRule type="colorScale" priority="2520972">
      <colorScale>
        <cfvo type="min"/>
        <cfvo type="percentile" val="50"/>
        <cfvo type="max"/>
        <color rgb="FFF8696B"/>
        <color rgb="FFFFEB84"/>
        <color rgb="FF63BE7B"/>
      </colorScale>
    </cfRule>
  </conditionalFormatting>
  <conditionalFormatting sqref="AQ2:AS11">
    <cfRule type="colorScale" priority="2520974">
      <colorScale>
        <cfvo type="min"/>
        <cfvo type="max"/>
        <color rgb="FFFFEF9C"/>
        <color rgb="FF63BE7B"/>
      </colorScale>
    </cfRule>
  </conditionalFormatting>
  <conditionalFormatting sqref="CZ2:CZ11">
    <cfRule type="colorScale" priority="2520976">
      <colorScale>
        <cfvo type="min"/>
        <cfvo type="max"/>
        <color rgb="FFFFEF9C"/>
        <color rgb="FF63BE7B"/>
      </colorScale>
    </cfRule>
  </conditionalFormatting>
  <conditionalFormatting sqref="CZ2:CZ11">
    <cfRule type="colorScale" priority="2520977">
      <colorScale>
        <cfvo type="min"/>
        <cfvo type="percentile" val="50"/>
        <cfvo type="max"/>
        <color rgb="FFF8696B"/>
        <color rgb="FFFFEB84"/>
        <color rgb="FF63BE7B"/>
      </colorScale>
    </cfRule>
  </conditionalFormatting>
  <conditionalFormatting sqref="CA2:CD11">
    <cfRule type="colorScale" priority="2520978">
      <colorScale>
        <cfvo type="min"/>
        <cfvo type="percentile" val="50"/>
        <cfvo type="max"/>
        <color rgb="FFF8696B"/>
        <color rgb="FFFFEB84"/>
        <color rgb="FF63BE7B"/>
      </colorScale>
    </cfRule>
  </conditionalFormatting>
  <conditionalFormatting sqref="CA2:CD11">
    <cfRule type="colorScale" priority="2520979">
      <colorScale>
        <cfvo type="min"/>
        <cfvo type="percentile" val="50"/>
        <cfvo type="max"/>
        <color rgb="FF63BE7B"/>
        <color rgb="FFFFEB84"/>
        <color rgb="FFF8696B"/>
      </colorScale>
    </cfRule>
  </conditionalFormatting>
  <conditionalFormatting sqref="H2:H11">
    <cfRule type="colorScale" priority="2520980">
      <colorScale>
        <cfvo type="min"/>
        <cfvo type="percentile" val="50"/>
        <cfvo type="max"/>
        <color rgb="FFF8696B"/>
        <color rgb="FFFFEB84"/>
        <color rgb="FF63BE7B"/>
      </colorScale>
    </cfRule>
  </conditionalFormatting>
  <conditionalFormatting sqref="N2:N11">
    <cfRule type="iconSet" priority="2520981">
      <iconSet iconSet="5Arrows">
        <cfvo type="percent" val="0"/>
        <cfvo type="percent" val="20"/>
        <cfvo type="percent" val="40"/>
        <cfvo type="percent" val="60"/>
        <cfvo type="percent" val="80"/>
      </iconSet>
    </cfRule>
    <cfRule type="colorScale" priority="2520982">
      <colorScale>
        <cfvo type="min"/>
        <cfvo type="num" val="75"/>
        <cfvo type="num" val="90"/>
        <color rgb="FFF8696B"/>
        <color rgb="FFFFEB84"/>
        <color rgb="FF63BE7B"/>
      </colorScale>
    </cfRule>
  </conditionalFormatting>
  <conditionalFormatting sqref="O2:O11">
    <cfRule type="dataBar" priority="2520983">
      <dataBar>
        <cfvo type="min"/>
        <cfvo type="max"/>
        <color rgb="FF008AEF"/>
      </dataBar>
      <extLst>
        <ext xmlns:x14="http://schemas.microsoft.com/office/spreadsheetml/2009/9/main" uri="{B025F937-C7B1-47D3-B67F-A62EFF666E3E}">
          <x14:id>{BB8606C0-344E-457D-8F38-C8487DBEC240}</x14:id>
        </ext>
      </extLst>
    </cfRule>
    <cfRule type="colorScale" priority="2520984">
      <colorScale>
        <cfvo type="min"/>
        <cfvo type="percentile" val="50"/>
        <cfvo type="max"/>
        <color rgb="FFF8696B"/>
        <color rgb="FFFFEB84"/>
        <color rgb="FF63BE7B"/>
      </colorScale>
    </cfRule>
  </conditionalFormatting>
  <conditionalFormatting sqref="M2:M11">
    <cfRule type="colorScale" priority="2520985">
      <colorScale>
        <cfvo type="min"/>
        <cfvo type="percentile" val="50"/>
        <cfvo type="max"/>
        <color rgb="FFF8696B"/>
        <color rgb="FFFFEB84"/>
        <color rgb="FF63BE7B"/>
      </colorScale>
    </cfRule>
  </conditionalFormatting>
  <conditionalFormatting sqref="BS1:BS1048576">
    <cfRule type="dataBar" priority="62">
      <dataBar>
        <cfvo type="min"/>
        <cfvo type="max"/>
        <color rgb="FF638EC6"/>
      </dataBar>
      <extLst>
        <ext xmlns:x14="http://schemas.microsoft.com/office/spreadsheetml/2009/9/main" uri="{B025F937-C7B1-47D3-B67F-A62EFF666E3E}">
          <x14:id>{F2916F21-BD65-42C5-A260-97C50BDEAEA5}</x14:id>
        </ext>
      </extLst>
    </cfRule>
    <cfRule type="colorScale" priority="71">
      <colorScale>
        <cfvo type="min"/>
        <cfvo type="percentile" val="50"/>
        <cfvo type="max"/>
        <color rgb="FFF8696B"/>
        <color theme="4" tint="0.79998168889431442"/>
        <color rgb="FF00B0F0"/>
      </colorScale>
    </cfRule>
  </conditionalFormatting>
  <conditionalFormatting sqref="BT1:BT1048576">
    <cfRule type="dataBar" priority="61">
      <dataBar>
        <cfvo type="min"/>
        <cfvo type="max"/>
        <color rgb="FF638EC6"/>
      </dataBar>
      <extLst>
        <ext xmlns:x14="http://schemas.microsoft.com/office/spreadsheetml/2009/9/main" uri="{B025F937-C7B1-47D3-B67F-A62EFF666E3E}">
          <x14:id>{2CE8D877-B7C7-40A2-923C-7CC5EA9677A5}</x14:id>
        </ext>
      </extLst>
    </cfRule>
    <cfRule type="colorScale" priority="70">
      <colorScale>
        <cfvo type="min"/>
        <cfvo type="percentile" val="50"/>
        <cfvo type="max"/>
        <color rgb="FFF8696B"/>
        <color theme="4" tint="0.79998168889431442"/>
        <color rgb="FF00B0F0"/>
      </colorScale>
    </cfRule>
  </conditionalFormatting>
  <conditionalFormatting sqref="BU1:BU1048576">
    <cfRule type="dataBar" priority="60">
      <dataBar>
        <cfvo type="min"/>
        <cfvo type="max"/>
        <color rgb="FF638EC6"/>
      </dataBar>
      <extLst>
        <ext xmlns:x14="http://schemas.microsoft.com/office/spreadsheetml/2009/9/main" uri="{B025F937-C7B1-47D3-B67F-A62EFF666E3E}">
          <x14:id>{E820599B-8909-4E13-9842-F6CF450F0093}</x14:id>
        </ext>
      </extLst>
    </cfRule>
    <cfRule type="colorScale" priority="69">
      <colorScale>
        <cfvo type="min"/>
        <cfvo type="percentile" val="50"/>
        <cfvo type="max"/>
        <color rgb="FFF8696B"/>
        <color theme="4" tint="0.79998168889431442"/>
        <color rgb="FF00B0F0"/>
      </colorScale>
    </cfRule>
  </conditionalFormatting>
  <conditionalFormatting sqref="BV1:BV1048576">
    <cfRule type="dataBar" priority="64">
      <dataBar>
        <cfvo type="min"/>
        <cfvo type="max"/>
        <color rgb="FF638EC6"/>
      </dataBar>
      <extLst>
        <ext xmlns:x14="http://schemas.microsoft.com/office/spreadsheetml/2009/9/main" uri="{B025F937-C7B1-47D3-B67F-A62EFF666E3E}">
          <x14:id>{7D614ED7-D293-431E-84AC-4A49B54395AB}</x14:id>
        </ext>
      </extLst>
    </cfRule>
    <cfRule type="iconSet" priority="65">
      <iconSet iconSet="5Arrows">
        <cfvo type="percent" val="0"/>
        <cfvo type="percent" val="20"/>
        <cfvo type="percent" val="40"/>
        <cfvo type="percent" val="60"/>
        <cfvo type="percent" val="80"/>
      </iconSet>
    </cfRule>
    <cfRule type="colorScale" priority="68">
      <colorScale>
        <cfvo type="min"/>
        <cfvo type="percentile" val="50"/>
        <cfvo type="max"/>
        <color rgb="FFF8696B"/>
        <color theme="4" tint="0.79998168889431442"/>
        <color rgb="FF00B0F0"/>
      </colorScale>
    </cfRule>
  </conditionalFormatting>
  <conditionalFormatting sqref="BW1:BW1048576">
    <cfRule type="iconSet" priority="66">
      <iconSet iconSet="5Arrows">
        <cfvo type="percent" val="0"/>
        <cfvo type="percent" val="20"/>
        <cfvo type="percent" val="40"/>
        <cfvo type="percent" val="60"/>
        <cfvo type="percent" val="80"/>
      </iconSet>
    </cfRule>
    <cfRule type="colorScale" priority="67">
      <colorScale>
        <cfvo type="min"/>
        <cfvo type="percentile" val="50"/>
        <cfvo type="max"/>
        <color rgb="FFF8696B"/>
        <color theme="4" tint="0.79998168889431442"/>
        <color rgb="FF00B0F0"/>
      </colorScale>
    </cfRule>
  </conditionalFormatting>
  <conditionalFormatting sqref="W1:W1048576">
    <cfRule type="colorScale" priority="29">
      <colorScale>
        <cfvo type="min"/>
        <cfvo type="max"/>
        <color rgb="FFFFEF9C"/>
        <color rgb="FF63BE7B"/>
      </colorScale>
    </cfRule>
  </conditionalFormatting>
  <conditionalFormatting sqref="X1:X1048576">
    <cfRule type="iconSet" priority="17">
      <iconSet iconSet="5Arrows">
        <cfvo type="percent" val="0"/>
        <cfvo type="percent" val="20"/>
        <cfvo type="percent" val="40"/>
        <cfvo type="percent" val="60"/>
        <cfvo type="percent" val="80"/>
      </iconSet>
    </cfRule>
    <cfRule type="colorScale" priority="28">
      <colorScale>
        <cfvo type="min"/>
        <cfvo type="max"/>
        <color rgb="FFFFEF9C"/>
        <color rgb="FF63BE7B"/>
      </colorScale>
    </cfRule>
  </conditionalFormatting>
  <conditionalFormatting sqref="Y1:Y1048576">
    <cfRule type="iconSet" priority="16">
      <iconSet iconSet="5ArrowsGray" reverse="1">
        <cfvo type="percent" val="0"/>
        <cfvo type="percent" val="20"/>
        <cfvo type="percent" val="40"/>
        <cfvo type="percent" val="60"/>
        <cfvo type="percent" val="80"/>
      </iconSet>
    </cfRule>
    <cfRule type="colorScale" priority="27">
      <colorScale>
        <cfvo type="min"/>
        <cfvo type="max"/>
        <color rgb="FFFBABAD"/>
        <color rgb="FFF8696B"/>
      </colorScale>
    </cfRule>
  </conditionalFormatting>
  <conditionalFormatting sqref="Z1:Z1048576">
    <cfRule type="iconSet" priority="15">
      <iconSet iconSet="5ArrowsGray" reverse="1">
        <cfvo type="percent" val="0"/>
        <cfvo type="percent" val="20"/>
        <cfvo type="percent" val="40"/>
        <cfvo type="percent" val="60"/>
        <cfvo type="percent" val="80"/>
      </iconSet>
    </cfRule>
    <cfRule type="colorScale" priority="26">
      <colorScale>
        <cfvo type="min"/>
        <cfvo type="max"/>
        <color rgb="FFFBABAD"/>
        <color rgb="FFF8696B"/>
      </colorScale>
    </cfRule>
  </conditionalFormatting>
  <conditionalFormatting sqref="AA1:AA1048576">
    <cfRule type="iconSet" priority="14">
      <iconSet iconSet="5Arrows">
        <cfvo type="percent" val="0"/>
        <cfvo type="percent" val="20"/>
        <cfvo type="percent" val="40"/>
        <cfvo type="percent" val="60"/>
        <cfvo type="percent" val="80"/>
      </iconSet>
    </cfRule>
    <cfRule type="colorScale" priority="25">
      <colorScale>
        <cfvo type="min"/>
        <cfvo type="percentile" val="50"/>
        <cfvo type="max"/>
        <color rgb="FFF8696B"/>
        <color rgb="FFFFEB84"/>
        <color rgb="FF63BE7B"/>
      </colorScale>
    </cfRule>
  </conditionalFormatting>
  <conditionalFormatting sqref="AB1:AB1048576">
    <cfRule type="iconSet" priority="13">
      <iconSet iconSet="5Arrows">
        <cfvo type="percent" val="0"/>
        <cfvo type="percent" val="20"/>
        <cfvo type="percent" val="40"/>
        <cfvo type="percent" val="60"/>
        <cfvo type="percent" val="80"/>
      </iconSet>
    </cfRule>
    <cfRule type="colorScale" priority="24">
      <colorScale>
        <cfvo type="min"/>
        <cfvo type="percentile" val="50"/>
        <cfvo type="max"/>
        <color rgb="FFF8696B"/>
        <color rgb="FFFFEB84"/>
        <color rgb="FF63BE7B"/>
      </colorScale>
    </cfRule>
  </conditionalFormatting>
  <conditionalFormatting sqref="AC1:AC1048576">
    <cfRule type="iconSet" priority="12">
      <iconSet iconSet="5ArrowsGray">
        <cfvo type="percent" val="0"/>
        <cfvo type="percent" val="20"/>
        <cfvo type="percent" val="40"/>
        <cfvo type="percent" val="60"/>
        <cfvo type="percent" val="80"/>
      </iconSet>
    </cfRule>
    <cfRule type="colorScale" priority="23">
      <colorScale>
        <cfvo type="min"/>
        <cfvo type="percentile" val="50"/>
        <cfvo type="max"/>
        <color rgb="FFF8696B"/>
        <color rgb="FFFFEB84"/>
        <color rgb="FF63BE7B"/>
      </colorScale>
    </cfRule>
  </conditionalFormatting>
  <conditionalFormatting sqref="AD1:AD1048576">
    <cfRule type="iconSet" priority="11">
      <iconSet iconSet="5ArrowsGray">
        <cfvo type="percent" val="0"/>
        <cfvo type="percent" val="20"/>
        <cfvo type="percent" val="40"/>
        <cfvo type="percent" val="60"/>
        <cfvo type="percent" val="80"/>
      </iconSet>
    </cfRule>
    <cfRule type="colorScale" priority="22">
      <colorScale>
        <cfvo type="min"/>
        <cfvo type="percentile" val="50"/>
        <cfvo type="max"/>
        <color rgb="FFF8696B"/>
        <color rgb="FFFFEB84"/>
        <color rgb="FF63BE7B"/>
      </colorScale>
    </cfRule>
  </conditionalFormatting>
  <conditionalFormatting sqref="AE1:AE1048576">
    <cfRule type="iconSet" priority="10">
      <iconSet iconSet="5Arrows">
        <cfvo type="percent" val="0"/>
        <cfvo type="percent" val="20"/>
        <cfvo type="percent" val="40"/>
        <cfvo type="percent" val="60"/>
        <cfvo type="percent" val="80"/>
      </iconSet>
    </cfRule>
    <cfRule type="colorScale" priority="21">
      <colorScale>
        <cfvo type="min"/>
        <cfvo type="percentile" val="50"/>
        <cfvo type="max"/>
        <color rgb="FFF8696B"/>
        <color rgb="FFFFEB84"/>
        <color rgb="FF63BE7B"/>
      </colorScale>
    </cfRule>
  </conditionalFormatting>
  <conditionalFormatting sqref="AF1:AF1048576">
    <cfRule type="colorScale" priority="20">
      <colorScale>
        <cfvo type="min"/>
        <cfvo type="percentile" val="50"/>
        <cfvo type="max"/>
        <color rgb="FF63BE7B"/>
        <color rgb="FFFFEB84"/>
        <color rgb="FFF8696B"/>
      </colorScale>
    </cfRule>
  </conditionalFormatting>
  <conditionalFormatting sqref="AG1:AG1048576">
    <cfRule type="colorScale" priority="19">
      <colorScale>
        <cfvo type="min"/>
        <cfvo type="percentile" val="50"/>
        <cfvo type="max"/>
        <color rgb="FF63BE7B"/>
        <color rgb="FFFFEB84"/>
        <color rgb="FFF8696B"/>
      </colorScale>
    </cfRule>
  </conditionalFormatting>
  <conditionalFormatting sqref="AH1:AH1048576">
    <cfRule type="colorScale" priority="18">
      <colorScale>
        <cfvo type="min"/>
        <cfvo type="percentile" val="50"/>
        <cfvo type="max"/>
        <color rgb="FFF8696B"/>
        <color rgb="FFFFEB84"/>
        <color rgb="FF63BE7B"/>
      </colorScale>
    </cfRule>
  </conditionalFormatting>
  <conditionalFormatting sqref="DL1:DL1048576">
    <cfRule type="dataBar" priority="7">
      <dataBar>
        <cfvo type="min"/>
        <cfvo type="max"/>
        <color theme="1" tint="4.9989318521683403E-2"/>
      </dataBar>
      <extLst>
        <ext xmlns:x14="http://schemas.microsoft.com/office/spreadsheetml/2009/9/main" uri="{B025F937-C7B1-47D3-B67F-A62EFF666E3E}">
          <x14:id>{34319B13-4A4A-4890-9476-AD7B6A14C8DD}</x14:id>
        </ext>
      </extLst>
    </cfRule>
  </conditionalFormatting>
  <conditionalFormatting sqref="T1:T1048576">
    <cfRule type="iconSet" priority="1">
      <iconSet iconSet="5Arrows">
        <cfvo type="percent" val="0"/>
        <cfvo type="percent" val="20"/>
        <cfvo type="percent" val="40"/>
        <cfvo type="percent" val="60"/>
        <cfvo type="percent" val="80"/>
      </iconSet>
    </cfRule>
    <cfRule type="dataBar" priority="6">
      <dataBar>
        <cfvo type="min"/>
        <cfvo type="max"/>
        <color rgb="FF23559B"/>
      </dataBar>
      <extLst>
        <ext xmlns:x14="http://schemas.microsoft.com/office/spreadsheetml/2009/9/main" uri="{B025F937-C7B1-47D3-B67F-A62EFF666E3E}">
          <x14:id>{8960C586-DB40-499F-B99F-55074AACA887}</x14:id>
        </ext>
      </extLst>
    </cfRule>
  </conditionalFormatting>
  <conditionalFormatting sqref="U1:U1048576">
    <cfRule type="iconSet" priority="2">
      <iconSet iconSet="5Arrows">
        <cfvo type="percent" val="0"/>
        <cfvo type="percent" val="20"/>
        <cfvo type="percent" val="40"/>
        <cfvo type="percent" val="60"/>
        <cfvo type="percent" val="80"/>
      </iconSet>
    </cfRule>
    <cfRule type="dataBar" priority="5">
      <dataBar>
        <cfvo type="min"/>
        <cfvo type="max"/>
        <color rgb="FF23559B"/>
      </dataBar>
      <extLst>
        <ext xmlns:x14="http://schemas.microsoft.com/office/spreadsheetml/2009/9/main" uri="{B025F937-C7B1-47D3-B67F-A62EFF666E3E}">
          <x14:id>{CEA06A20-DBB3-4E52-B0FB-2962EE1A4D3C}</x14:id>
        </ext>
      </extLst>
    </cfRule>
  </conditionalFormatting>
  <conditionalFormatting sqref="V1:V1048576">
    <cfRule type="iconSet" priority="3">
      <iconSet iconSet="5Arrows">
        <cfvo type="percent" val="0"/>
        <cfvo type="percent" val="20"/>
        <cfvo type="percent" val="40"/>
        <cfvo type="percent" val="60"/>
        <cfvo type="percent" val="80"/>
      </iconSet>
    </cfRule>
    <cfRule type="dataBar" priority="4">
      <dataBar>
        <cfvo type="min"/>
        <cfvo type="max"/>
        <color rgb="FF23559B"/>
      </dataBar>
      <extLst>
        <ext xmlns:x14="http://schemas.microsoft.com/office/spreadsheetml/2009/9/main" uri="{B025F937-C7B1-47D3-B67F-A62EFF666E3E}">
          <x14:id>{98AFF6F2-6390-41ED-BB85-2C50ECCDBBD3}</x14:id>
        </ext>
      </extLst>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0BEE6840-99D9-4160-BA1B-72FACB87E6F4}">
            <x14:dataBar minLength="0" maxLength="100" border="1" negativeBarBorderColorSameAsPositive="0">
              <x14:cfvo type="autoMin"/>
              <x14:cfvo type="autoMax"/>
              <x14:borderColor rgb="FF008AEF"/>
              <x14:negativeFillColor rgb="FFFF0000"/>
              <x14:negativeBorderColor rgb="FFFF0000"/>
              <x14:axisColor rgb="FF000000"/>
            </x14:dataBar>
          </x14:cfRule>
          <xm:sqref>AV1:AV1048576</xm:sqref>
        </x14:conditionalFormatting>
        <x14:conditionalFormatting xmlns:xm="http://schemas.microsoft.com/office/excel/2006/main">
          <x14:cfRule type="dataBar" id="{E9EFC9C9-0CAE-406B-9CD0-E96A3814585E}">
            <x14:dataBar minLength="0" maxLength="100" border="1" negativeBarBorderColorSameAsPositive="0">
              <x14:cfvo type="autoMin"/>
              <x14:cfvo type="autoMax"/>
              <x14:borderColor rgb="FF008AEF"/>
              <x14:negativeFillColor rgb="FFFF0000"/>
              <x14:negativeBorderColor rgb="FFFF0000"/>
              <x14:axisColor rgb="FF000000"/>
            </x14:dataBar>
          </x14:cfRule>
          <xm:sqref>AX1:AX1048576</xm:sqref>
        </x14:conditionalFormatting>
        <x14:conditionalFormatting xmlns:xm="http://schemas.microsoft.com/office/excel/2006/main">
          <x14:cfRule type="dataBar" id="{735C0E13-374C-47B7-92B3-49D157C4AB5C}">
            <x14:dataBar minLength="0" maxLength="100" border="1" negativeBarBorderColorSameAsPositive="0">
              <x14:cfvo type="autoMin"/>
              <x14:cfvo type="autoMax"/>
              <x14:borderColor rgb="FF008AEF"/>
              <x14:negativeFillColor rgb="FFFF0000"/>
              <x14:negativeBorderColor rgb="FFFF0000"/>
              <x14:axisColor rgb="FF000000"/>
            </x14:dataBar>
          </x14:cfRule>
          <xm:sqref>AQ1:AQ1048576</xm:sqref>
        </x14:conditionalFormatting>
        <x14:conditionalFormatting xmlns:xm="http://schemas.microsoft.com/office/excel/2006/main">
          <x14:cfRule type="dataBar" id="{9564D87C-A908-44E0-9614-D4C1C9B4DC8D}">
            <x14:dataBar minLength="0" maxLength="100" border="1" negativeBarBorderColorSameAsPositive="0">
              <x14:cfvo type="autoMin"/>
              <x14:cfvo type="autoMax"/>
              <x14:borderColor rgb="FF008AEF"/>
              <x14:negativeFillColor rgb="FFFF0000"/>
              <x14:negativeBorderColor rgb="FFFF0000"/>
              <x14:axisColor rgb="FF000000"/>
            </x14:dataBar>
          </x14:cfRule>
          <xm:sqref>AR1:AR1048576</xm:sqref>
        </x14:conditionalFormatting>
        <x14:conditionalFormatting xmlns:xm="http://schemas.microsoft.com/office/excel/2006/main">
          <x14:cfRule type="dataBar" id="{894C061B-733F-4E6D-ADBF-F218639729C4}">
            <x14:dataBar minLength="0" maxLength="100" border="1" negativeBarBorderColorSameAsPositive="0">
              <x14:cfvo type="autoMin"/>
              <x14:cfvo type="autoMax"/>
              <x14:borderColor rgb="FF008AEF"/>
              <x14:negativeFillColor rgb="FFFF0000"/>
              <x14:negativeBorderColor rgb="FFFF0000"/>
              <x14:axisColor rgb="FF000000"/>
            </x14:dataBar>
          </x14:cfRule>
          <xm:sqref>AS1:AS1048576</xm:sqref>
        </x14:conditionalFormatting>
        <x14:conditionalFormatting xmlns:xm="http://schemas.microsoft.com/office/excel/2006/main">
          <x14:cfRule type="dataBar" id="{B7EFE5DE-0AE2-435C-B0DE-FE6F77F733C1}">
            <x14:dataBar minLength="0" maxLength="100" border="1" negativeBarBorderColorSameAsPositive="0">
              <x14:cfvo type="autoMin"/>
              <x14:cfvo type="autoMax"/>
              <x14:borderColor rgb="FF008AEF"/>
              <x14:negativeFillColor rgb="FFFF0000"/>
              <x14:negativeBorderColor rgb="FFFF0000"/>
              <x14:axisColor rgb="FF000000"/>
            </x14:dataBar>
          </x14:cfRule>
          <xm:sqref>AT1:AT1048576</xm:sqref>
        </x14:conditionalFormatting>
        <x14:conditionalFormatting xmlns:xm="http://schemas.microsoft.com/office/excel/2006/main">
          <x14:cfRule type="dataBar" id="{0DF6CD23-CEEB-4074-ACD1-A2C08491358A}">
            <x14:dataBar minLength="0" maxLength="100" border="1" negativeBarBorderColorSameAsPositive="0">
              <x14:cfvo type="autoMin"/>
              <x14:cfvo type="autoMax"/>
              <x14:borderColor rgb="FF008AEF"/>
              <x14:negativeFillColor rgb="FFFF0000"/>
              <x14:negativeBorderColor rgb="FFFF0000"/>
              <x14:axisColor rgb="FF000000"/>
            </x14:dataBar>
          </x14:cfRule>
          <xm:sqref>AU1:AU1048576</xm:sqref>
        </x14:conditionalFormatting>
        <x14:conditionalFormatting xmlns:xm="http://schemas.microsoft.com/office/excel/2006/main">
          <x14:cfRule type="dataBar" id="{A3BC3AC7-14A9-4364-9107-F74DF2124DD3}">
            <x14:dataBar minLength="0" maxLength="100" border="1" negativeBarBorderColorSameAsPositive="0">
              <x14:cfvo type="autoMin"/>
              <x14:cfvo type="autoMax"/>
              <x14:borderColor rgb="FF008AEF"/>
              <x14:negativeFillColor rgb="FFFF0000"/>
              <x14:negativeBorderColor rgb="FFFF0000"/>
              <x14:axisColor rgb="FF000000"/>
            </x14:dataBar>
          </x14:cfRule>
          <xm:sqref>AW1:AW1048576</xm:sqref>
        </x14:conditionalFormatting>
        <x14:conditionalFormatting xmlns:xm="http://schemas.microsoft.com/office/excel/2006/main">
          <x14:cfRule type="dataBar" id="{B6818099-FC14-42BA-B46E-6CFFD247E357}">
            <x14:dataBar minLength="0" maxLength="100" gradient="0">
              <x14:cfvo type="autoMin"/>
              <x14:cfvo type="autoMax"/>
              <x14:negativeFillColor rgb="FFFF0000"/>
              <x14:axisColor rgb="FF000000"/>
            </x14:dataBar>
          </x14:cfRule>
          <xm:sqref>CG1:CG1048576</xm:sqref>
        </x14:conditionalFormatting>
        <x14:conditionalFormatting xmlns:xm="http://schemas.microsoft.com/office/excel/2006/main">
          <x14:cfRule type="dataBar" id="{C5A2172C-C906-4F46-B782-516E132FED96}">
            <x14:dataBar minLength="0" maxLength="100" gradient="0">
              <x14:cfvo type="autoMin"/>
              <x14:cfvo type="autoMax"/>
              <x14:negativeFillColor rgb="FFFF0000"/>
              <x14:axisColor rgb="FF000000"/>
            </x14:dataBar>
          </x14:cfRule>
          <xm:sqref>CH1:CH1048576</xm:sqref>
        </x14:conditionalFormatting>
        <x14:conditionalFormatting xmlns:xm="http://schemas.microsoft.com/office/excel/2006/main">
          <x14:cfRule type="dataBar" id="{DE283332-3E2D-474B-923C-9D2DDC605911}">
            <x14:dataBar minLength="0" maxLength="100" gradient="0">
              <x14:cfvo type="autoMin"/>
              <x14:cfvo type="autoMax"/>
              <x14:negativeFillColor rgb="FFFF0000"/>
              <x14:axisColor rgb="FF000000"/>
            </x14:dataBar>
          </x14:cfRule>
          <x14:cfRule type="dataBar" id="{561122CD-B5E5-4210-806A-062E043B6727}">
            <x14:dataBar minLength="0" maxLength="100" gradient="0">
              <x14:cfvo type="autoMin"/>
              <x14:cfvo type="autoMax"/>
              <x14:negativeFillColor rgb="FFFF0000"/>
              <x14:axisColor rgb="FF000000"/>
            </x14:dataBar>
          </x14:cfRule>
          <xm:sqref>CI1:CI1048576</xm:sqref>
        </x14:conditionalFormatting>
        <x14:conditionalFormatting xmlns:xm="http://schemas.microsoft.com/office/excel/2006/main">
          <x14:cfRule type="dataBar" id="{86E95E8D-E0B4-4D9A-AA27-0ECF26914EFE}">
            <x14:dataBar minLength="0" maxLength="100" gradient="0">
              <x14:cfvo type="autoMin"/>
              <x14:cfvo type="autoMax"/>
              <x14:negativeFillColor rgb="FFFF0000"/>
              <x14:axisColor rgb="FF000000"/>
            </x14:dataBar>
          </x14:cfRule>
          <xm:sqref>BO1:BO1048576</xm:sqref>
        </x14:conditionalFormatting>
        <x14:conditionalFormatting xmlns:xm="http://schemas.microsoft.com/office/excel/2006/main">
          <x14:cfRule type="dataBar" id="{442FCEE9-C163-4406-9C75-ED9168CEF606}">
            <x14:dataBar minLength="0" maxLength="100" gradient="0">
              <x14:cfvo type="autoMin"/>
              <x14:cfvo type="autoMax"/>
              <x14:negativeFillColor rgb="FFFF0000"/>
              <x14:axisColor rgb="FF000000"/>
            </x14:dataBar>
          </x14:cfRule>
          <xm:sqref>BP1:BP1048576</xm:sqref>
        </x14:conditionalFormatting>
        <x14:conditionalFormatting xmlns:xm="http://schemas.microsoft.com/office/excel/2006/main">
          <x14:cfRule type="dataBar" id="{F45F5E5B-CAEF-48E2-9502-82F3EF8ED100}">
            <x14:dataBar minLength="0" maxLength="100" gradient="0">
              <x14:cfvo type="autoMin"/>
              <x14:cfvo type="autoMax"/>
              <x14:negativeFillColor rgb="FFFF0000"/>
              <x14:axisColor rgb="FF000000"/>
            </x14:dataBar>
          </x14:cfRule>
          <xm:sqref>BR1:BR1048576</xm:sqref>
        </x14:conditionalFormatting>
        <x14:conditionalFormatting xmlns:xm="http://schemas.microsoft.com/office/excel/2006/main">
          <x14:cfRule type="dataBar" id="{4FAB539C-D42F-4DB9-B6AC-481FEF821EBB}">
            <x14:dataBar minLength="0" maxLength="100" gradient="0">
              <x14:cfvo type="autoMin"/>
              <x14:cfvo type="autoMax"/>
              <x14:negativeFillColor rgb="FFFF0000"/>
              <x14:axisColor rgb="FF000000"/>
            </x14:dataBar>
          </x14:cfRule>
          <xm:sqref>BM1:BM1048576</xm:sqref>
        </x14:conditionalFormatting>
        <x14:conditionalFormatting xmlns:xm="http://schemas.microsoft.com/office/excel/2006/main">
          <x14:cfRule type="dataBar" id="{48BFB06A-434A-4772-A325-4C015B737757}">
            <x14:dataBar minLength="0" maxLength="100" gradient="0">
              <x14:cfvo type="autoMin"/>
              <x14:cfvo type="autoMax"/>
              <x14:negativeFillColor rgb="FFFF0000"/>
              <x14:axisColor rgb="FF000000"/>
            </x14:dataBar>
          </x14:cfRule>
          <xm:sqref>BL1:BL1048576</xm:sqref>
        </x14:conditionalFormatting>
        <x14:conditionalFormatting xmlns:xm="http://schemas.microsoft.com/office/excel/2006/main">
          <x14:cfRule type="dataBar" id="{3C6D9AB0-9EF5-47E4-A747-8E9A53086777}">
            <x14:dataBar minLength="0" maxLength="100" gradient="0">
              <x14:cfvo type="autoMin"/>
              <x14:cfvo type="autoMax"/>
              <x14:negativeFillColor rgb="FFFF0000"/>
              <x14:axisColor rgb="FF000000"/>
            </x14:dataBar>
          </x14:cfRule>
          <xm:sqref>DG1:DG1048576</xm:sqref>
        </x14:conditionalFormatting>
        <x14:conditionalFormatting xmlns:xm="http://schemas.microsoft.com/office/excel/2006/main">
          <x14:cfRule type="dataBar" id="{BBC81912-40CE-4D27-891B-357B2262B56C}">
            <x14:dataBar minLength="0" maxLength="100" gradient="0">
              <x14:cfvo type="autoMin"/>
              <x14:cfvo type="autoMax"/>
              <x14:negativeFillColor rgb="FFFF0000"/>
              <x14:axisColor rgb="FF000000"/>
            </x14:dataBar>
          </x14:cfRule>
          <xm:sqref>AI1:AI1048576</xm:sqref>
        </x14:conditionalFormatting>
        <x14:conditionalFormatting xmlns:xm="http://schemas.microsoft.com/office/excel/2006/main">
          <x14:cfRule type="dataBar" id="{308B3B50-4DF5-40B3-8043-6E12A1A3B691}">
            <x14:dataBar minLength="0" maxLength="100" gradient="0">
              <x14:cfvo type="autoMin"/>
              <x14:cfvo type="autoMax"/>
              <x14:negativeFillColor rgb="FFFF0000"/>
              <x14:axisColor rgb="FF000000"/>
            </x14:dataBar>
          </x14:cfRule>
          <xm:sqref>AJ1:AJ1048576</xm:sqref>
        </x14:conditionalFormatting>
        <x14:conditionalFormatting xmlns:xm="http://schemas.microsoft.com/office/excel/2006/main">
          <x14:cfRule type="dataBar" id="{C895865F-ADB4-438A-AD0A-E74E57BEA6C3}">
            <x14:dataBar minLength="0" maxLength="100" gradient="0">
              <x14:cfvo type="autoMin"/>
              <x14:cfvo type="autoMax"/>
              <x14:negativeFillColor rgb="FFFF0000"/>
              <x14:axisColor rgb="FF000000"/>
            </x14:dataBar>
          </x14:cfRule>
          <xm:sqref>AK1:AK1048576</xm:sqref>
        </x14:conditionalFormatting>
        <x14:conditionalFormatting xmlns:xm="http://schemas.microsoft.com/office/excel/2006/main">
          <x14:cfRule type="dataBar" id="{8D279F5E-14F2-4CBB-966B-70EBDEC4252B}">
            <x14:dataBar minLength="0" maxLength="100" gradient="0">
              <x14:cfvo type="autoMin"/>
              <x14:cfvo type="autoMax"/>
              <x14:negativeFillColor rgb="FFFF0000"/>
              <x14:axisColor rgb="FF000000"/>
            </x14:dataBar>
          </x14:cfRule>
          <xm:sqref>AL1:AL1048576</xm:sqref>
        </x14:conditionalFormatting>
        <x14:conditionalFormatting xmlns:xm="http://schemas.microsoft.com/office/excel/2006/main">
          <x14:cfRule type="dataBar" id="{BB8606C0-344E-457D-8F38-C8487DBEC240}">
            <x14:dataBar minLength="0" maxLength="100" border="1" negativeBarBorderColorSameAsPositive="0">
              <x14:cfvo type="autoMin"/>
              <x14:cfvo type="autoMax"/>
              <x14:borderColor rgb="FF008AEF"/>
              <x14:negativeFillColor rgb="FFFF0000"/>
              <x14:negativeBorderColor rgb="FFFF0000"/>
              <x14:axisColor rgb="FF000000"/>
            </x14:dataBar>
          </x14:cfRule>
          <xm:sqref>O2:O11</xm:sqref>
        </x14:conditionalFormatting>
        <x14:conditionalFormatting xmlns:xm="http://schemas.microsoft.com/office/excel/2006/main">
          <x14:cfRule type="dataBar" id="{F2916F21-BD65-42C5-A260-97C50BDEAEA5}">
            <x14:dataBar minLength="0" maxLength="100" border="1" negativeBarBorderColorSameAsPositive="0">
              <x14:cfvo type="autoMin"/>
              <x14:cfvo type="autoMax"/>
              <x14:borderColor rgb="FF638EC6"/>
              <x14:negativeFillColor rgb="FFFF0000"/>
              <x14:negativeBorderColor rgb="FFFF0000"/>
              <x14:axisColor rgb="FF000000"/>
            </x14:dataBar>
          </x14:cfRule>
          <xm:sqref>BS1:BS1048576</xm:sqref>
        </x14:conditionalFormatting>
        <x14:conditionalFormatting xmlns:xm="http://schemas.microsoft.com/office/excel/2006/main">
          <x14:cfRule type="dataBar" id="{2CE8D877-B7C7-40A2-923C-7CC5EA9677A5}">
            <x14:dataBar minLength="0" maxLength="100" border="1" negativeBarBorderColorSameAsPositive="0">
              <x14:cfvo type="autoMin"/>
              <x14:cfvo type="autoMax"/>
              <x14:borderColor rgb="FF638EC6"/>
              <x14:negativeFillColor rgb="FFFF0000"/>
              <x14:negativeBorderColor rgb="FFFF0000"/>
              <x14:axisColor rgb="FF000000"/>
            </x14:dataBar>
          </x14:cfRule>
          <xm:sqref>BT1:BT1048576</xm:sqref>
        </x14:conditionalFormatting>
        <x14:conditionalFormatting xmlns:xm="http://schemas.microsoft.com/office/excel/2006/main">
          <x14:cfRule type="dataBar" id="{E820599B-8909-4E13-9842-F6CF450F0093}">
            <x14:dataBar minLength="0" maxLength="100" border="1" negativeBarBorderColorSameAsPositive="0">
              <x14:cfvo type="autoMin"/>
              <x14:cfvo type="autoMax"/>
              <x14:borderColor rgb="FF638EC6"/>
              <x14:negativeFillColor rgb="FFFF0000"/>
              <x14:negativeBorderColor rgb="FFFF0000"/>
              <x14:axisColor rgb="FF000000"/>
            </x14:dataBar>
          </x14:cfRule>
          <xm:sqref>BU1:BU1048576</xm:sqref>
        </x14:conditionalFormatting>
        <x14:conditionalFormatting xmlns:xm="http://schemas.microsoft.com/office/excel/2006/main">
          <x14:cfRule type="dataBar" id="{7D614ED7-D293-431E-84AC-4A49B54395AB}">
            <x14:dataBar minLength="0" maxLength="100" border="1" negativeBarBorderColorSameAsPositive="0">
              <x14:cfvo type="autoMin"/>
              <x14:cfvo type="autoMax"/>
              <x14:borderColor rgb="FF638EC6"/>
              <x14:negativeFillColor rgb="FFFF0000"/>
              <x14:negativeBorderColor rgb="FFFF0000"/>
              <x14:axisColor rgb="FF000000"/>
            </x14:dataBar>
          </x14:cfRule>
          <xm:sqref>BV1:BV1048576</xm:sqref>
        </x14:conditionalFormatting>
        <x14:conditionalFormatting xmlns:xm="http://schemas.microsoft.com/office/excel/2006/main">
          <x14:cfRule type="dataBar" id="{34319B13-4A4A-4890-9476-AD7B6A14C8DD}">
            <x14:dataBar minLength="0" maxLength="100" gradient="0">
              <x14:cfvo type="autoMin"/>
              <x14:cfvo type="autoMax"/>
              <x14:negativeFillColor rgb="FFFF0000"/>
              <x14:axisColor rgb="FF000000"/>
            </x14:dataBar>
          </x14:cfRule>
          <xm:sqref>DL1:DL1048576</xm:sqref>
        </x14:conditionalFormatting>
        <x14:conditionalFormatting xmlns:xm="http://schemas.microsoft.com/office/excel/2006/main">
          <x14:cfRule type="dataBar" id="{8960C586-DB40-499F-B99F-55074AACA887}">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CEA06A20-DBB3-4E52-B0FB-2962EE1A4D3C}">
            <x14:dataBar minLength="0" maxLength="100" gradient="0">
              <x14:cfvo type="autoMin"/>
              <x14:cfvo type="autoMax"/>
              <x14:negativeFillColor rgb="FFFF0000"/>
              <x14:axisColor rgb="FF000000"/>
            </x14:dataBar>
          </x14:cfRule>
          <xm:sqref>U1:U1048576</xm:sqref>
        </x14:conditionalFormatting>
        <x14:conditionalFormatting xmlns:xm="http://schemas.microsoft.com/office/excel/2006/main">
          <x14:cfRule type="dataBar" id="{98AFF6F2-6390-41ED-BB85-2C50ECCDBBD3}">
            <x14:dataBar minLength="0" maxLength="100" gradient="0">
              <x14:cfvo type="autoMin"/>
              <x14:cfvo type="autoMax"/>
              <x14:negativeFillColor rgb="FFFF0000"/>
              <x14:axisColor rgb="FF000000"/>
            </x14:dataBar>
          </x14:cfRule>
          <xm:sqref>V1:V1048576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tabColor theme="9" tint="-0.249977111117893"/>
  </sheetPr>
  <dimension ref="A1:FD1001"/>
  <sheetViews>
    <sheetView tabSelected="1" zoomScale="90" zoomScaleNormal="90" workbookViewId="0">
      <pane xSplit="4" ySplit="1" topLeftCell="DI2" activePane="bottomRight" state="frozen"/>
      <selection pane="topRight" activeCell="E1" sqref="E1"/>
      <selection pane="bottomLeft" activeCell="A2" sqref="A2"/>
      <selection pane="bottomRight" activeCell="A11" sqref="A11:DN92"/>
    </sheetView>
  </sheetViews>
  <sheetFormatPr defaultRowHeight="27.95" customHeight="1" x14ac:dyDescent="0.25"/>
  <cols>
    <col min="2" max="2" width="30.7109375" customWidth="1"/>
    <col min="3" max="3" width="12.5703125" customWidth="1"/>
    <col min="4" max="4" width="24.42578125" bestFit="1" customWidth="1"/>
    <col min="5" max="5" width="21.7109375" customWidth="1"/>
    <col min="6" max="6" width="14.7109375" customWidth="1"/>
    <col min="7" max="7" width="18.28515625" customWidth="1"/>
    <col min="8" max="8" width="15.7109375" customWidth="1"/>
    <col min="9" max="9" width="15.85546875" style="13" customWidth="1"/>
    <col min="10" max="10" width="17.28515625" bestFit="1" customWidth="1"/>
    <col min="11" max="11" width="11.140625" customWidth="1"/>
    <col min="12" max="12" width="15.28515625" customWidth="1"/>
    <col min="13" max="25" width="18.7109375" customWidth="1"/>
    <col min="26" max="26" width="20.5703125" customWidth="1"/>
    <col min="27" max="69" width="18.7109375" customWidth="1"/>
    <col min="70" max="71" width="18.7109375" style="1" customWidth="1"/>
    <col min="72" max="75" width="18.7109375" customWidth="1"/>
    <col min="76" max="86" width="18.7109375" style="1" customWidth="1"/>
    <col min="87" max="89" width="18.7109375" style="190" customWidth="1"/>
    <col min="90" max="90" width="18.7109375" style="307" customWidth="1"/>
    <col min="91" max="101" width="18.7109375" customWidth="1"/>
    <col min="102" max="102" width="20.7109375" customWidth="1"/>
    <col min="103" max="117" width="18.7109375" customWidth="1"/>
    <col min="118" max="118" width="18.7109375" style="95" customWidth="1"/>
    <col min="119" max="119" width="8.7109375" style="1" customWidth="1"/>
    <col min="120" max="129" width="11.7109375" style="1" customWidth="1"/>
    <col min="130" max="130" width="11.7109375" style="190" customWidth="1"/>
    <col min="131" max="150" width="11.7109375" style="1" customWidth="1"/>
    <col min="151" max="152" width="9.140625" style="1"/>
    <col min="153" max="159" width="11.7109375" style="1" customWidth="1"/>
    <col min="160" max="160" width="11.7109375" style="190" customWidth="1"/>
  </cols>
  <sheetData>
    <row r="1" spans="1:160" ht="50.1" customHeight="1" thickBot="1" x14ac:dyDescent="0.3">
      <c r="A1" s="103"/>
      <c r="B1" s="4" t="s">
        <v>20</v>
      </c>
      <c r="C1" s="4" t="s">
        <v>201</v>
      </c>
      <c r="D1" s="4" t="s">
        <v>28</v>
      </c>
      <c r="E1" s="87" t="s">
        <v>217</v>
      </c>
      <c r="F1" s="4" t="s">
        <v>29</v>
      </c>
      <c r="G1" s="4" t="s">
        <v>80</v>
      </c>
      <c r="H1" s="4" t="s">
        <v>1</v>
      </c>
      <c r="I1" s="82" t="s">
        <v>3</v>
      </c>
      <c r="J1" s="4" t="s">
        <v>21</v>
      </c>
      <c r="K1" s="4" t="s">
        <v>216</v>
      </c>
      <c r="L1" s="30" t="s">
        <v>111</v>
      </c>
      <c r="M1" s="30" t="s">
        <v>401</v>
      </c>
      <c r="N1" s="30" t="s">
        <v>402</v>
      </c>
      <c r="O1" s="30" t="s">
        <v>405</v>
      </c>
      <c r="P1" s="207" t="s">
        <v>22</v>
      </c>
      <c r="Q1" s="207" t="s">
        <v>24</v>
      </c>
      <c r="R1" s="207" t="s">
        <v>60</v>
      </c>
      <c r="S1" s="90" t="s">
        <v>35</v>
      </c>
      <c r="T1" s="90" t="s">
        <v>398</v>
      </c>
      <c r="U1" s="90" t="s">
        <v>397</v>
      </c>
      <c r="V1" s="96" t="s">
        <v>594</v>
      </c>
      <c r="W1" s="96" t="s">
        <v>596</v>
      </c>
      <c r="X1" s="96" t="s">
        <v>592</v>
      </c>
      <c r="Y1" s="96" t="s">
        <v>597</v>
      </c>
      <c r="Z1" s="96" t="s">
        <v>595</v>
      </c>
      <c r="AA1" s="96" t="s">
        <v>593</v>
      </c>
      <c r="AB1" s="96" t="s">
        <v>226</v>
      </c>
      <c r="AC1" s="96" t="s">
        <v>223</v>
      </c>
      <c r="AD1" s="97" t="s">
        <v>224</v>
      </c>
      <c r="AE1" s="96" t="s">
        <v>225</v>
      </c>
      <c r="AF1" s="419" t="s">
        <v>22</v>
      </c>
      <c r="AG1" s="419" t="s">
        <v>59</v>
      </c>
      <c r="AH1" s="419" t="s">
        <v>60</v>
      </c>
      <c r="AI1" s="419" t="s">
        <v>50</v>
      </c>
      <c r="AJ1" s="419" t="s">
        <v>303</v>
      </c>
      <c r="AK1" s="419" t="s">
        <v>138</v>
      </c>
      <c r="AL1" s="419" t="s">
        <v>143</v>
      </c>
      <c r="AM1" s="419" t="s">
        <v>413</v>
      </c>
      <c r="AN1" s="46" t="s">
        <v>7</v>
      </c>
      <c r="AO1" s="46" t="s">
        <v>455</v>
      </c>
      <c r="AP1" s="46" t="s">
        <v>456</v>
      </c>
      <c r="AQ1" s="46" t="s">
        <v>156</v>
      </c>
      <c r="AR1" s="46" t="s">
        <v>320</v>
      </c>
      <c r="AS1" s="46" t="s">
        <v>327</v>
      </c>
      <c r="AT1" s="46" t="s">
        <v>328</v>
      </c>
      <c r="AU1" s="46" t="s">
        <v>518</v>
      </c>
      <c r="AV1" s="46" t="s">
        <v>517</v>
      </c>
      <c r="AW1" s="26" t="s">
        <v>371</v>
      </c>
      <c r="AX1" s="26" t="s">
        <v>372</v>
      </c>
      <c r="AY1" s="4" t="s">
        <v>373</v>
      </c>
      <c r="AZ1" s="306" t="s">
        <v>84</v>
      </c>
      <c r="BA1" s="306" t="s">
        <v>168</v>
      </c>
      <c r="BB1" s="414" t="s">
        <v>886</v>
      </c>
      <c r="BC1" s="414" t="s">
        <v>863</v>
      </c>
      <c r="BD1" s="394" t="s">
        <v>75</v>
      </c>
      <c r="BE1" s="394" t="s">
        <v>157</v>
      </c>
      <c r="BF1" s="394" t="s">
        <v>520</v>
      </c>
      <c r="BG1" s="394" t="s">
        <v>209</v>
      </c>
      <c r="BH1" s="394" t="s">
        <v>519</v>
      </c>
      <c r="BI1" s="331" t="s">
        <v>267</v>
      </c>
      <c r="BJ1" s="331" t="s">
        <v>266</v>
      </c>
      <c r="BK1" s="393" t="s">
        <v>510</v>
      </c>
      <c r="BL1" s="393" t="s">
        <v>795</v>
      </c>
      <c r="BM1" s="393" t="s">
        <v>748</v>
      </c>
      <c r="BN1" s="40" t="s">
        <v>422</v>
      </c>
      <c r="BO1" s="40" t="s">
        <v>415</v>
      </c>
      <c r="BP1" s="40" t="s">
        <v>424</v>
      </c>
      <c r="BQ1" s="160" t="s">
        <v>425</v>
      </c>
      <c r="BR1" s="17" t="s">
        <v>423</v>
      </c>
      <c r="BS1" s="46" t="s">
        <v>430</v>
      </c>
      <c r="BT1" s="4" t="s">
        <v>332</v>
      </c>
      <c r="BU1" s="4" t="s">
        <v>333</v>
      </c>
      <c r="BV1" s="4" t="s">
        <v>56</v>
      </c>
      <c r="BW1" s="4" t="s">
        <v>162</v>
      </c>
      <c r="BX1" s="41" t="s">
        <v>690</v>
      </c>
      <c r="BY1" s="41" t="s">
        <v>314</v>
      </c>
      <c r="BZ1" s="351" t="s">
        <v>689</v>
      </c>
      <c r="CA1" s="351" t="s">
        <v>688</v>
      </c>
      <c r="CB1" s="41" t="s">
        <v>235</v>
      </c>
      <c r="CC1" s="41" t="s">
        <v>235</v>
      </c>
      <c r="CD1" s="41" t="s">
        <v>417</v>
      </c>
      <c r="CE1" s="16" t="s">
        <v>416</v>
      </c>
      <c r="CF1" s="40" t="s">
        <v>55</v>
      </c>
      <c r="CG1" s="40" t="s">
        <v>79</v>
      </c>
      <c r="CH1" s="160" t="s">
        <v>380</v>
      </c>
      <c r="CI1" s="308" t="s">
        <v>599</v>
      </c>
      <c r="CJ1" s="308" t="s">
        <v>303</v>
      </c>
      <c r="CK1" s="308" t="s">
        <v>600</v>
      </c>
      <c r="CL1" s="309" t="s">
        <v>598</v>
      </c>
      <c r="CM1" s="260" t="s">
        <v>26</v>
      </c>
      <c r="CN1" s="423" t="s">
        <v>110</v>
      </c>
      <c r="CO1" s="186" t="s">
        <v>466</v>
      </c>
      <c r="CP1" s="186" t="s">
        <v>467</v>
      </c>
      <c r="CQ1" s="186" t="s">
        <v>465</v>
      </c>
      <c r="CR1" s="186" t="s">
        <v>468</v>
      </c>
      <c r="CS1" s="186" t="s">
        <v>469</v>
      </c>
      <c r="CT1" s="22" t="s">
        <v>233</v>
      </c>
      <c r="CU1" s="22" t="s">
        <v>234</v>
      </c>
      <c r="CV1" s="34" t="s">
        <v>296</v>
      </c>
      <c r="CW1" s="34" t="s">
        <v>297</v>
      </c>
      <c r="CX1" s="366" t="s">
        <v>709</v>
      </c>
      <c r="CY1" s="129" t="s">
        <v>142</v>
      </c>
      <c r="CZ1" s="52" t="s">
        <v>122</v>
      </c>
      <c r="DA1" s="52" t="s">
        <v>298</v>
      </c>
      <c r="DB1" s="46" t="s">
        <v>299</v>
      </c>
      <c r="DC1" s="52" t="s">
        <v>374</v>
      </c>
      <c r="DD1" s="46" t="s">
        <v>195</v>
      </c>
      <c r="DE1" s="52" t="s">
        <v>194</v>
      </c>
      <c r="DF1" s="46" t="s">
        <v>123</v>
      </c>
      <c r="DG1" s="43" t="s">
        <v>395</v>
      </c>
      <c r="DH1" s="43" t="s">
        <v>396</v>
      </c>
      <c r="DI1" s="43" t="s">
        <v>167</v>
      </c>
      <c r="DJ1" s="45" t="s">
        <v>329</v>
      </c>
      <c r="DK1" s="45" t="s">
        <v>74</v>
      </c>
      <c r="DL1" s="40" t="s">
        <v>412</v>
      </c>
      <c r="DM1" s="40" t="s">
        <v>154</v>
      </c>
      <c r="DN1" s="101" t="s">
        <v>25</v>
      </c>
      <c r="DO1" t="s">
        <v>14</v>
      </c>
      <c r="DP1" t="s">
        <v>566</v>
      </c>
      <c r="DQ1" t="s">
        <v>20</v>
      </c>
      <c r="DR1" t="s">
        <v>1</v>
      </c>
      <c r="DS1" t="s">
        <v>0</v>
      </c>
      <c r="DT1" t="s">
        <v>29</v>
      </c>
      <c r="DU1" t="s">
        <v>37</v>
      </c>
      <c r="DV1" t="s">
        <v>2</v>
      </c>
      <c r="DW1" t="s">
        <v>3</v>
      </c>
      <c r="DX1" t="s">
        <v>81</v>
      </c>
      <c r="DY1" t="s">
        <v>567</v>
      </c>
      <c r="DZ1" t="s">
        <v>580</v>
      </c>
      <c r="EA1" t="s">
        <v>30</v>
      </c>
      <c r="EB1" t="s">
        <v>581</v>
      </c>
      <c r="EC1" t="s">
        <v>582</v>
      </c>
      <c r="ED1" t="s">
        <v>4</v>
      </c>
      <c r="EE1" t="s">
        <v>166</v>
      </c>
      <c r="EF1" t="s">
        <v>7</v>
      </c>
      <c r="EG1" t="s">
        <v>153</v>
      </c>
      <c r="EH1" t="s">
        <v>575</v>
      </c>
      <c r="EI1" t="s">
        <v>576</v>
      </c>
      <c r="EJ1" t="s">
        <v>15</v>
      </c>
      <c r="EK1" t="s">
        <v>16</v>
      </c>
      <c r="EL1" t="s">
        <v>578</v>
      </c>
      <c r="EM1" t="s">
        <v>577</v>
      </c>
      <c r="EN1" t="s">
        <v>10</v>
      </c>
      <c r="EO1" t="s">
        <v>8</v>
      </c>
      <c r="EP1" t="s">
        <v>9</v>
      </c>
      <c r="EQ1" t="s">
        <v>176</v>
      </c>
      <c r="ER1" t="s">
        <v>177</v>
      </c>
      <c r="ES1" t="s">
        <v>534</v>
      </c>
      <c r="ET1" t="s">
        <v>535</v>
      </c>
      <c r="EU1" t="s">
        <v>85</v>
      </c>
      <c r="EV1" t="s">
        <v>86</v>
      </c>
      <c r="EW1" t="s">
        <v>591</v>
      </c>
      <c r="EX1" t="s">
        <v>588</v>
      </c>
      <c r="EY1" t="s">
        <v>583</v>
      </c>
      <c r="EZ1" t="s">
        <v>5</v>
      </c>
      <c r="FA1" t="s">
        <v>95</v>
      </c>
      <c r="FB1" t="s">
        <v>154</v>
      </c>
      <c r="FC1" t="s">
        <v>18</v>
      </c>
      <c r="FD1" t="s">
        <v>572</v>
      </c>
    </row>
    <row r="2" spans="1:160" ht="24.95" customHeight="1" thickBot="1" x14ac:dyDescent="0.3">
      <c r="A2" s="29" t="str">
        <f t="shared" ref="A2:A65" si="0">ROW()-1 &amp; "º"</f>
        <v>1º</v>
      </c>
      <c r="B2" s="67" t="str">
        <f t="shared" ref="B2:B11" si="1">DQ2</f>
        <v>Kaio Jorge</v>
      </c>
      <c r="C2" s="83" t="str">
        <f t="shared" ref="C2:C11" si="2">DP2</f>
        <v>BRA</v>
      </c>
      <c r="D2" s="9" t="str">
        <f t="shared" ref="D2:D11" si="3">DS2</f>
        <v>Cruzeiro</v>
      </c>
      <c r="E2" s="91" t="str">
        <f t="shared" ref="E2:E11" si="4">DU2</f>
        <v>Pé Direito</v>
      </c>
      <c r="F2" s="155">
        <f t="shared" ref="F2:F11" si="5">IFERROR(SUBSTITUTE(DT2," cm","")/100,0)</f>
        <v>1.82</v>
      </c>
      <c r="G2" s="35">
        <f t="shared" ref="G2:G11" si="6">IF(DX2="-", "Sem Data Final", DX2)</f>
        <v>47848</v>
      </c>
      <c r="H2" s="7">
        <f t="shared" ref="H2:H11" si="7">DR2</f>
        <v>24</v>
      </c>
      <c r="I2" s="299" t="str">
        <f t="shared" ref="I2:I11" si="8">DW2</f>
        <v>59m € - 68m € p/m</v>
      </c>
      <c r="J2" s="3" t="str">
        <f t="shared" ref="J2:J11" si="9">DV2</f>
        <v>12M € - 20M €</v>
      </c>
      <c r="K2" s="89">
        <f t="shared" ref="K2:K65" si="10">AVERAGE(L:L)</f>
        <v>31.398046398046404</v>
      </c>
      <c r="L2" s="133">
        <f t="shared" ref="L2:L11" si="11">DY2/90</f>
        <v>42.277777777777779</v>
      </c>
      <c r="M2" s="134">
        <f t="shared" ref="M2:M11" si="12">IF(ISERROR(FIND("(",DZ2)), VALUE(DZ2), VALUE(LEFT(DZ2,FIND("(",DZ2)-2)) + VALUE(MID(DZ2,FIND("(",DZ2)+1,FIND(")",DZ2)-FIND("(",DZ2)-1)))</f>
        <v>48</v>
      </c>
      <c r="N2" s="134">
        <f t="shared" ref="N2:N11" si="13">IFERROR(DY2/M2,0)</f>
        <v>79.270833333333329</v>
      </c>
      <c r="O2" s="173">
        <f t="shared" ref="O2:O11" si="14">IFERROR(IF(ISERROR(FIND("(",DZ2)), "100%", TEXT(VALUE(LEFT(DZ2,FIND("(",DZ2)-2)) / (VALUE(LEFT(DZ2,FIND("(",DZ2)-2)) + VALUE(MID(DZ2,FIND("(",DZ2)+1,FIND(")",DZ2)-FIND("(",DZ2)-1))),"0%")),0)*1</f>
        <v>0.9</v>
      </c>
      <c r="P2" s="402">
        <f t="shared" ref="P2:P11" si="15">EB2</f>
        <v>21</v>
      </c>
      <c r="Q2" s="402">
        <f t="shared" ref="Q2:Q11" si="16">EC2</f>
        <v>4</v>
      </c>
      <c r="R2" s="402">
        <f t="shared" ref="R2:R11" si="17">P2+Q2</f>
        <v>25</v>
      </c>
      <c r="S2" s="6">
        <f t="shared" ref="S2:S11" si="18">EA2</f>
        <v>4</v>
      </c>
      <c r="T2" s="24">
        <f t="shared" ref="T2:T11" si="19">IFERROR(DY2/S2,5000)</f>
        <v>951.25</v>
      </c>
      <c r="U2" s="21">
        <f t="shared" ref="U2:U11" si="20">(S2*1)/L2</f>
        <v>9.4612352168199729E-2</v>
      </c>
      <c r="V2" s="298">
        <f t="shared" ref="V2:V11" si="21">EU2-ES2</f>
        <v>0</v>
      </c>
      <c r="W2" s="300">
        <f t="shared" ref="W2:W11" si="22">IFERROR(V2/L2,0)</f>
        <v>0</v>
      </c>
      <c r="X2" s="298">
        <f t="shared" ref="X2:X11" si="23">EV2-ET2</f>
        <v>0</v>
      </c>
      <c r="Y2" s="300">
        <f t="shared" ref="Y2:Y11" si="24">IFERROR(X2/L2,0)</f>
        <v>0</v>
      </c>
      <c r="Z2" s="290">
        <f t="shared" ref="Z2:Z11" si="25">IFERROR(X2/V2,0)</f>
        <v>0</v>
      </c>
      <c r="AA2" s="298">
        <f t="shared" ref="AA2:AA11" si="26">EY2</f>
        <v>0</v>
      </c>
      <c r="AB2" s="286">
        <f t="shared" ref="AB2:AB11" si="27">EZ2</f>
        <v>1</v>
      </c>
      <c r="AC2" s="286">
        <f t="shared" ref="AC2:AC11" si="28">FA2</f>
        <v>1</v>
      </c>
      <c r="AD2" s="286">
        <f t="shared" ref="AD2:AD11" si="29">EZ2-FA2</f>
        <v>0</v>
      </c>
      <c r="AE2" s="21">
        <f t="shared" ref="AE2:AE11" si="30">IFERROR((FA2*1)/EZ2,0.0000001)</f>
        <v>1</v>
      </c>
      <c r="AF2" s="421">
        <f t="shared" ref="AF2:AF11" si="31">EB2</f>
        <v>21</v>
      </c>
      <c r="AG2" s="421">
        <f t="shared" ref="AG2:AG11" si="32">EC2</f>
        <v>4</v>
      </c>
      <c r="AH2" s="421">
        <f t="shared" ref="AH2:AH11" si="33">AF2+AG2</f>
        <v>25</v>
      </c>
      <c r="AI2" s="421">
        <f t="shared" ref="AI2:AI11" si="34">AF2-FA2</f>
        <v>20</v>
      </c>
      <c r="AJ2" s="420">
        <f t="shared" ref="AJ2:AJ11" si="35">EW2</f>
        <v>5</v>
      </c>
      <c r="AK2" s="422">
        <f t="shared" ref="AK2:AK11" si="36">IFERROR((P2/L2),0)</f>
        <v>0.49671484888304862</v>
      </c>
      <c r="AL2" s="422">
        <f t="shared" ref="AL2:AL11" si="37">IFERROR((Q2/L2),0)</f>
        <v>9.4612352168199729E-2</v>
      </c>
      <c r="AM2" s="422">
        <f t="shared" ref="AM2:AM11" si="38">IFERROR((P2+Q2)/L2,0)</f>
        <v>0.59132720105124836</v>
      </c>
      <c r="AN2" s="5">
        <f t="shared" ref="AN2:AN11" si="39">SUBSTITUTE(EF2,".","," )*1</f>
        <v>17.239999999999998</v>
      </c>
      <c r="AO2" s="5">
        <f t="shared" ref="AO2:AO11" si="40">IFERROR(AN2-(EZ2*0.79),0)</f>
        <v>16.45</v>
      </c>
      <c r="AP2" s="5">
        <f t="shared" ref="AP2:AP11" si="41">IFERROR(AO2/L2,0)</f>
        <v>0.3890932982917214</v>
      </c>
      <c r="AQ2" s="5">
        <f t="shared" ref="AQ2:AQ11" si="42">SUBSTITUTE(EG2,".","," )*1</f>
        <v>4.8600000000000003</v>
      </c>
      <c r="AR2" s="5">
        <f t="shared" ref="AR2:AR11" si="43">IFERROR(AQ2/L2,0)</f>
        <v>0.11495400788436269</v>
      </c>
      <c r="AS2" s="5">
        <f t="shared" ref="AS2:AS11" si="44">AO2+AQ2</f>
        <v>21.31</v>
      </c>
      <c r="AT2" s="5">
        <f t="shared" ref="AT2:AT11" si="45">IFERROR(AS2/L2,0)</f>
        <v>0.50404730617608406</v>
      </c>
      <c r="AU2" s="21">
        <f t="shared" ref="AU2:AU11" si="46">IFERROR(AQ2/(AQ2+EC2),0)</f>
        <v>0.54853273137697522</v>
      </c>
      <c r="AV2" s="21">
        <f t="shared" ref="AV2:AV11" si="47">IFERROR(EB2/(EB2+AN2),0)</f>
        <v>0.54916317991631802</v>
      </c>
      <c r="AW2" s="6">
        <f t="shared" ref="AW2:AW11" si="48">ES2</f>
        <v>18</v>
      </c>
      <c r="AX2" s="6">
        <f t="shared" ref="AX2:AX11" si="49">ET2</f>
        <v>7</v>
      </c>
      <c r="AY2" s="21">
        <f t="shared" ref="AY2:AY11" si="50">IFERROR((AX2*1)/AW2,0)</f>
        <v>0.3888888888888889</v>
      </c>
      <c r="AZ2" s="304">
        <f t="shared" ref="AZ2:AZ11" si="51">EN2</f>
        <v>29</v>
      </c>
      <c r="BA2" s="305">
        <f t="shared" ref="BA2:BA11" si="52">IFERROR(AZ2/L2,0)</f>
        <v>0.68593955321944811</v>
      </c>
      <c r="BB2" s="413">
        <f t="shared" ref="BB2:BB11" si="53">(0.45*(ED2))+(0.15*BN2)+(0.05*BK2)+(0.15*AZ2)+(0.15*AQ2)+(CM2*0.05)</f>
        <v>22.323999999999998</v>
      </c>
      <c r="BC2" s="413">
        <f t="shared" ref="BC2:BC11" si="54">(0.45*(ED2/L2))+(0.15*BO2)+(0.05*BL2)+(0.15*BA2)+(0.15*AR2)+(CN2*0.05)</f>
        <v>0.52803153745072262</v>
      </c>
      <c r="BD2" s="6">
        <f t="shared" ref="BD2:BD11" si="55">EJ2</f>
        <v>1214</v>
      </c>
      <c r="BE2" s="5">
        <f t="shared" ref="BE2:BE11" si="56">IFERROR(BD2/L2,0)</f>
        <v>28.714848883048621</v>
      </c>
      <c r="BF2" s="6">
        <f t="shared" ref="BF2:BF11" si="57">EK2</f>
        <v>1090</v>
      </c>
      <c r="BG2" s="5">
        <f t="shared" ref="BG2:BG11" si="58">IFERROR(BF2/L2,0)</f>
        <v>25.781865965834427</v>
      </c>
      <c r="BH2" s="21">
        <f t="shared" ref="BH2:BH11" si="59">BF2/BD2</f>
        <v>0.89785831960461282</v>
      </c>
      <c r="BI2" s="417">
        <f t="shared" ref="BI2:BI11" si="60">EJ2-EK2</f>
        <v>124</v>
      </c>
      <c r="BJ2" s="418">
        <f t="shared" ref="BJ2:BJ11" si="61">IFERROR(BI2/L2,0)</f>
        <v>2.9329829172141917</v>
      </c>
      <c r="BK2" s="195">
        <f t="shared" ref="BK2:BK11" si="62">EM2</f>
        <v>37</v>
      </c>
      <c r="BL2" s="5">
        <f t="shared" ref="BL2:BL11" si="63">IFERROR(BK2/L2,0)</f>
        <v>0.87516425755584759</v>
      </c>
      <c r="BM2" s="21">
        <f t="shared" ref="BM2:BM11" si="64">EM2/EJ2</f>
        <v>3.0477759472817133E-2</v>
      </c>
      <c r="BN2" s="195">
        <f t="shared" ref="BN2:BN11" si="65">IFERROR(EL2,0)</f>
        <v>57</v>
      </c>
      <c r="BO2" s="185">
        <f t="shared" ref="BO2:BO11" si="66">IFERROR(BN2/L2,0)</f>
        <v>1.3482260183968462</v>
      </c>
      <c r="BP2" s="5">
        <f t="shared" ref="BP2:BP11" si="67">IFERROR(EL2/EC2,25)</f>
        <v>14.25</v>
      </c>
      <c r="BQ2" s="21">
        <f t="shared" ref="BQ2:BQ11" si="68">IFERROR(EC2/EL2,0)</f>
        <v>7.0175438596491224E-2</v>
      </c>
      <c r="BR2" s="5">
        <f t="shared" ref="BR2:BR11" si="69">IFERROR((AQ2-EC2),0)</f>
        <v>0.86000000000000032</v>
      </c>
      <c r="BS2" s="5">
        <f t="shared" ref="BS2:BS11" si="70">IFERROR(AQ2/EL2,0)</f>
        <v>8.5263157894736846E-2</v>
      </c>
      <c r="BT2" s="24">
        <f t="shared" ref="BT2:BT11" si="71">IFERROR(DY2/EL2,0)</f>
        <v>66.754385964912274</v>
      </c>
      <c r="BU2" s="5">
        <f t="shared" ref="BU2:BU11" si="72">IFERROR(DY2/((ED2-EZ2)+EP2+EL2),0)</f>
        <v>26.241379310344829</v>
      </c>
      <c r="BV2" s="5">
        <f t="shared" ref="BV2:BV11" si="73">IFERROR(EB2-AN2,0)</f>
        <v>3.7600000000000016</v>
      </c>
      <c r="BW2" s="5">
        <f t="shared" ref="BW2:BW11" si="74">IFERROR(BV2-(FA2*0.79),0)</f>
        <v>2.9700000000000015</v>
      </c>
      <c r="BX2" s="6">
        <f t="shared" ref="BX2:BX11" si="75">IFERROR(EO2-EZ2,0)</f>
        <v>144</v>
      </c>
      <c r="BY2" s="5">
        <f t="shared" ref="BY2:BY11" si="76">IFERROR(BX2/L2,0)</f>
        <v>3.4060446780551903</v>
      </c>
      <c r="BZ2" s="6">
        <f t="shared" ref="BZ2:BZ11" si="77">EO2-EP2</f>
        <v>70</v>
      </c>
      <c r="CA2" s="5">
        <f t="shared" ref="CA2:CA11" si="78">BZ2/L2</f>
        <v>1.6557161629434953</v>
      </c>
      <c r="CB2" s="6">
        <f t="shared" ref="CB2:CB11" si="79">IFERROR(EP2,0)</f>
        <v>75</v>
      </c>
      <c r="CC2" s="5">
        <f t="shared" ref="CC2:CC11" si="80">CB2/L2</f>
        <v>1.773981603153745</v>
      </c>
      <c r="CD2" s="5">
        <f t="shared" ref="CD2:CD11" si="81">IFERROR((EP2-FA2)/L2,0)</f>
        <v>1.7503285151116952</v>
      </c>
      <c r="CE2" s="21">
        <f t="shared" ref="CE2:CE11" si="82">IFERROR(((EP2-FA2)/(EO2-EZ2)),0)</f>
        <v>0.51388888888888884</v>
      </c>
      <c r="CF2" s="5">
        <f t="shared" ref="CF2:CF11" si="83">IFERROR(BX2/(EB2-FA2),50)</f>
        <v>7.2</v>
      </c>
      <c r="CG2" s="5">
        <f t="shared" ref="CG2:CG11" si="84">IFERROR(EP2/EB2,50)</f>
        <v>3.5714285714285716</v>
      </c>
      <c r="CH2" s="21">
        <f t="shared" ref="CH2:CH11" si="85">IFERROR(AI2/BX2,0)</f>
        <v>0.1388888888888889</v>
      </c>
      <c r="CI2" s="298">
        <f t="shared" ref="CI2:CI11" si="86">EB2-EW2-EZ2</f>
        <v>15</v>
      </c>
      <c r="CJ2" s="298">
        <f t="shared" ref="CJ2:CJ11" si="87">EW2</f>
        <v>5</v>
      </c>
      <c r="CK2" s="298">
        <f t="shared" ref="CK2:CK11" si="88">EZ2</f>
        <v>1</v>
      </c>
      <c r="CL2" s="21">
        <f t="shared" ref="CL2:CL11" si="89">IFERROR((EW2/L2)/EX2,0)</f>
        <v>0.10751403655477242</v>
      </c>
      <c r="CM2" s="6">
        <f t="shared" ref="CM2:CM11" si="90">EE2</f>
        <v>10.9</v>
      </c>
      <c r="CN2" s="5">
        <f t="shared" ref="CN2:CN11" si="91">IFERROR(CM2/L2,0)</f>
        <v>0.25781865965834427</v>
      </c>
      <c r="CO2" s="167">
        <f t="shared" ref="CO2:CO11" si="92">IFERROR(ES2+EO2+EN2+EL2,0)</f>
        <v>249</v>
      </c>
      <c r="CP2" s="5">
        <f t="shared" ref="CP2:CP11" si="93">IFERROR(CO2/L2,0)</f>
        <v>5.8896189224704338</v>
      </c>
      <c r="CQ2" s="6">
        <f t="shared" ref="CQ2:CQ11" si="94">IFERROR(ET2+EP2+EN2+EL2,0)</f>
        <v>168</v>
      </c>
      <c r="CR2" s="5">
        <f t="shared" ref="CR2:CR11" si="95">IFERROR(CQ2/L2,0)</f>
        <v>3.973718791064389</v>
      </c>
      <c r="CS2" s="21">
        <f t="shared" ref="CS2:CS11" si="96">IFERROR(CQ2/CO2,0)</f>
        <v>0.67469879518072284</v>
      </c>
      <c r="CT2" s="6">
        <f t="shared" ref="CT2:CT11" si="97">IFERROR(EP2+AQ2+(ED2-EZ2)+EL2+EW2+ET2+(EB2*0.5)+(EC2*0.5),0)</f>
        <v>174.36</v>
      </c>
      <c r="CU2" s="5">
        <f t="shared" ref="CU2:CU11" si="98">IFERROR(CT2/L2,0)</f>
        <v>4.1241524310118267</v>
      </c>
      <c r="CV2" s="6">
        <f t="shared" ref="CV2:CV11" si="99">IFERROR((EL2+(ED2-EZ2)+AQ2)+(EB2*0.75)+(EC2*0.75)+EP2+ET2,0)</f>
        <v>175.61</v>
      </c>
      <c r="CW2" s="5">
        <f t="shared" ref="CW2:CW11" si="100">IFERROR(CV2/L2,0)</f>
        <v>4.1537187910643896</v>
      </c>
      <c r="CX2" s="385">
        <f t="shared" ref="CX2:CX11" si="101">(((ED2/DY2)*90)*5)+(((AR2*4.5)+(((AN2/DY2)*90)*3.8)+(((EL2/DY2)*90)*2.5)+(((ET2/DY2)*90)*1.8)+(((EM2/DY2)*90)*2.2)+(((EB2/DY2)*90)*2)+(((EC2/DY2)*90)*2.5)))</f>
        <v>10.546486202365308</v>
      </c>
      <c r="CY2" s="5">
        <f t="shared" ref="CY2:CY11" si="102">IFERROR((EJ2+EN2+ET2+EV2+EY2+FA2+ER2+EO2+ED2+EL2+EM2)/L2,0)</f>
        <v>36.070959264126152</v>
      </c>
      <c r="CZ2" s="5">
        <f t="shared" ref="CZ2:CZ11" si="103">IFERROR((EK2+EL2+ED2+EM2)/L2,0)</f>
        <v>28.336399474375821</v>
      </c>
      <c r="DA2" s="6">
        <f t="shared" ref="DA2:DA11" si="104">IFERROR((EL2+EM2),0)</f>
        <v>94</v>
      </c>
      <c r="DB2" s="5">
        <f t="shared" ref="DB2:DB11" si="105">IFERROR(DA2/L2,0)</f>
        <v>2.2233902759526938</v>
      </c>
      <c r="DC2" s="6">
        <f t="shared" ref="DC2:DC11" si="106">IFERROR(EN2+EO2+EL2+(ED2-EZ2)+EM2+ES2,0)</f>
        <v>299</v>
      </c>
      <c r="DD2" s="5">
        <f t="shared" ref="DD2:DD11" si="107">IFERROR(DC2/L2,0)</f>
        <v>7.0722733245729303</v>
      </c>
      <c r="DE2" s="6">
        <f t="shared" ref="DE2:DE11" si="108">IFERROR(EL2+ED2+EO2,0)</f>
        <v>216</v>
      </c>
      <c r="DF2" s="5">
        <f t="shared" ref="DF2:DF11" si="109">IFERROR(DE2/L2,0)</f>
        <v>5.1090670170827854</v>
      </c>
      <c r="DG2" s="6">
        <f t="shared" ref="DG2:DG11" si="110">(EO2-EP2)+(EJ2-EK2)+(ES2-ET2)</f>
        <v>205</v>
      </c>
      <c r="DH2" s="5">
        <f t="shared" ref="DH2:DH11" si="111">IFERROR(DG2/L2,0)</f>
        <v>4.8488830486202366</v>
      </c>
      <c r="DI2" s="5">
        <f t="shared" ref="DI2:DI11" si="112">EE2</f>
        <v>10.9</v>
      </c>
      <c r="DJ2" s="5">
        <f t="shared" ref="DJ2:DJ11" si="113">VALUE(SUBSTITUTE(FC2, " km", ""))</f>
        <v>454.8</v>
      </c>
      <c r="DK2" s="5">
        <f t="shared" ref="DK2:DK11" si="114">IFERROR(DJ2/L2,0)</f>
        <v>10.757424441524311</v>
      </c>
      <c r="DL2" s="286">
        <f t="shared" ref="DL2:DL11" si="115">DM2*L2</f>
        <v>266.35000000000002</v>
      </c>
      <c r="DM2" s="287">
        <f t="shared" ref="DM2:DM11" si="116">FB2</f>
        <v>6.3</v>
      </c>
      <c r="DN2" s="60">
        <f t="shared" ref="DN2:DN11" si="117">IFERROR(VALUE(SUBSTITUTE(FD2, ".", ",")),0)</f>
        <v>7.03</v>
      </c>
      <c r="DO2" t="s">
        <v>19</v>
      </c>
      <c r="DP2" t="s">
        <v>13</v>
      </c>
      <c r="DQ2" t="s">
        <v>1079</v>
      </c>
      <c r="DR2">
        <v>24</v>
      </c>
      <c r="DS2" t="s">
        <v>1080</v>
      </c>
      <c r="DT2" t="s">
        <v>963</v>
      </c>
      <c r="DU2" t="s">
        <v>573</v>
      </c>
      <c r="DV2" t="s">
        <v>1081</v>
      </c>
      <c r="DW2" t="s">
        <v>1082</v>
      </c>
      <c r="DX2" s="430">
        <v>47848</v>
      </c>
      <c r="DY2">
        <v>3805</v>
      </c>
      <c r="DZ2" t="s">
        <v>1083</v>
      </c>
      <c r="EA2">
        <v>4</v>
      </c>
      <c r="EB2">
        <v>21</v>
      </c>
      <c r="EC2">
        <v>4</v>
      </c>
      <c r="ED2">
        <v>14</v>
      </c>
      <c r="EE2">
        <v>10.9</v>
      </c>
      <c r="EF2" t="s">
        <v>1084</v>
      </c>
      <c r="EG2" t="s">
        <v>1085</v>
      </c>
      <c r="EH2">
        <v>55</v>
      </c>
      <c r="EI2">
        <v>63</v>
      </c>
      <c r="EJ2">
        <v>1214</v>
      </c>
      <c r="EK2">
        <v>1090</v>
      </c>
      <c r="EL2">
        <v>57</v>
      </c>
      <c r="EM2">
        <v>37</v>
      </c>
      <c r="EN2">
        <v>29</v>
      </c>
      <c r="EO2">
        <v>145</v>
      </c>
      <c r="EP2">
        <v>75</v>
      </c>
      <c r="EQ2">
        <v>59</v>
      </c>
      <c r="ER2">
        <v>14</v>
      </c>
      <c r="ES2">
        <v>18</v>
      </c>
      <c r="ET2">
        <v>7</v>
      </c>
      <c r="EU2">
        <v>18</v>
      </c>
      <c r="EV2">
        <v>7</v>
      </c>
      <c r="EW2">
        <v>5</v>
      </c>
      <c r="EX2">
        <v>1.1000000000000001</v>
      </c>
      <c r="EY2">
        <v>0</v>
      </c>
      <c r="EZ2">
        <v>1</v>
      </c>
      <c r="FA2">
        <v>1</v>
      </c>
      <c r="FB2">
        <v>6.3</v>
      </c>
      <c r="FC2" t="s">
        <v>1086</v>
      </c>
      <c r="FD2">
        <v>7.03</v>
      </c>
    </row>
    <row r="3" spans="1:160" ht="24.95" customHeight="1" thickBot="1" x14ac:dyDescent="0.3">
      <c r="A3" s="29" t="str">
        <f t="shared" si="0"/>
        <v>2º</v>
      </c>
      <c r="B3" s="67" t="str">
        <f t="shared" si="1"/>
        <v>Arthur Cabral</v>
      </c>
      <c r="C3" s="83" t="str">
        <f t="shared" si="2"/>
        <v>BRA</v>
      </c>
      <c r="D3" s="9" t="str">
        <f t="shared" si="3"/>
        <v>Botafogo</v>
      </c>
      <c r="E3" s="91" t="str">
        <f t="shared" si="4"/>
        <v>Pé Direito</v>
      </c>
      <c r="F3" s="155">
        <f t="shared" si="5"/>
        <v>1.86</v>
      </c>
      <c r="G3" s="35">
        <f t="shared" si="6"/>
        <v>47118</v>
      </c>
      <c r="H3" s="7">
        <f t="shared" si="7"/>
        <v>28</v>
      </c>
      <c r="I3" s="299" t="str">
        <f t="shared" si="8"/>
        <v>282m € - 325m € p/m</v>
      </c>
      <c r="J3" s="3" t="str">
        <f t="shared" si="9"/>
        <v>18M €</v>
      </c>
      <c r="K3" s="89">
        <f t="shared" si="10"/>
        <v>31.398046398046404</v>
      </c>
      <c r="L3" s="133">
        <f t="shared" si="11"/>
        <v>37.222222222222221</v>
      </c>
      <c r="M3" s="134">
        <f t="shared" si="12"/>
        <v>59</v>
      </c>
      <c r="N3" s="134">
        <f t="shared" si="13"/>
        <v>56.779661016949156</v>
      </c>
      <c r="O3" s="173">
        <f t="shared" si="14"/>
        <v>0.75</v>
      </c>
      <c r="P3" s="402">
        <f t="shared" si="15"/>
        <v>17</v>
      </c>
      <c r="Q3" s="402">
        <f t="shared" si="16"/>
        <v>3</v>
      </c>
      <c r="R3" s="402">
        <f t="shared" si="17"/>
        <v>20</v>
      </c>
      <c r="S3" s="6">
        <f t="shared" si="18"/>
        <v>1</v>
      </c>
      <c r="T3" s="24">
        <f t="shared" si="19"/>
        <v>3350</v>
      </c>
      <c r="U3" s="21">
        <f t="shared" si="20"/>
        <v>2.6865671641791045E-2</v>
      </c>
      <c r="V3" s="298">
        <f t="shared" si="21"/>
        <v>0</v>
      </c>
      <c r="W3" s="300">
        <f t="shared" si="22"/>
        <v>0</v>
      </c>
      <c r="X3" s="298">
        <f t="shared" si="23"/>
        <v>0</v>
      </c>
      <c r="Y3" s="300">
        <f t="shared" si="24"/>
        <v>0</v>
      </c>
      <c r="Z3" s="290">
        <f t="shared" si="25"/>
        <v>0</v>
      </c>
      <c r="AA3" s="298">
        <f t="shared" si="26"/>
        <v>0</v>
      </c>
      <c r="AB3" s="286">
        <f t="shared" si="27"/>
        <v>0</v>
      </c>
      <c r="AC3" s="286">
        <f t="shared" si="28"/>
        <v>0</v>
      </c>
      <c r="AD3" s="286">
        <f t="shared" si="29"/>
        <v>0</v>
      </c>
      <c r="AE3" s="21">
        <f t="shared" si="30"/>
        <v>9.9999999999999995E-8</v>
      </c>
      <c r="AF3" s="421">
        <f t="shared" si="31"/>
        <v>17</v>
      </c>
      <c r="AG3" s="421">
        <f t="shared" si="32"/>
        <v>3</v>
      </c>
      <c r="AH3" s="421">
        <f t="shared" si="33"/>
        <v>20</v>
      </c>
      <c r="AI3" s="421">
        <f t="shared" si="34"/>
        <v>17</v>
      </c>
      <c r="AJ3" s="420">
        <f t="shared" si="35"/>
        <v>1</v>
      </c>
      <c r="AK3" s="422">
        <f t="shared" si="36"/>
        <v>0.45671641791044776</v>
      </c>
      <c r="AL3" s="422">
        <f t="shared" si="37"/>
        <v>8.0597014925373134E-2</v>
      </c>
      <c r="AM3" s="422">
        <f t="shared" si="38"/>
        <v>0.53731343283582089</v>
      </c>
      <c r="AN3" s="5">
        <f t="shared" si="39"/>
        <v>9.1999999999999993</v>
      </c>
      <c r="AO3" s="5">
        <f t="shared" si="40"/>
        <v>9.1999999999999993</v>
      </c>
      <c r="AP3" s="5">
        <f t="shared" si="41"/>
        <v>0.2471641791044776</v>
      </c>
      <c r="AQ3" s="5">
        <f t="shared" si="42"/>
        <v>3.83</v>
      </c>
      <c r="AR3" s="5">
        <f t="shared" si="43"/>
        <v>0.10289552238805971</v>
      </c>
      <c r="AS3" s="5">
        <f t="shared" si="44"/>
        <v>13.03</v>
      </c>
      <c r="AT3" s="5">
        <f t="shared" si="45"/>
        <v>0.35005970149253729</v>
      </c>
      <c r="AU3" s="21">
        <f t="shared" si="46"/>
        <v>0.56076134699853586</v>
      </c>
      <c r="AV3" s="21">
        <f t="shared" si="47"/>
        <v>0.64885496183206104</v>
      </c>
      <c r="AW3" s="6">
        <f t="shared" si="48"/>
        <v>22</v>
      </c>
      <c r="AX3" s="6">
        <f t="shared" si="49"/>
        <v>6</v>
      </c>
      <c r="AY3" s="21">
        <f t="shared" si="50"/>
        <v>0.27272727272727271</v>
      </c>
      <c r="AZ3" s="304">
        <f t="shared" si="51"/>
        <v>18</v>
      </c>
      <c r="BA3" s="305">
        <f t="shared" si="52"/>
        <v>0.4835820895522388</v>
      </c>
      <c r="BB3" s="413">
        <f t="shared" si="53"/>
        <v>15.019500000000001</v>
      </c>
      <c r="BC3" s="413">
        <f t="shared" si="54"/>
        <v>0.40350895522388058</v>
      </c>
      <c r="BD3" s="6">
        <f t="shared" si="55"/>
        <v>1040</v>
      </c>
      <c r="BE3" s="5">
        <f t="shared" si="56"/>
        <v>27.940298507462686</v>
      </c>
      <c r="BF3" s="6">
        <f t="shared" si="57"/>
        <v>911</v>
      </c>
      <c r="BG3" s="5">
        <f t="shared" si="58"/>
        <v>24.474626865671642</v>
      </c>
      <c r="BH3" s="21">
        <f t="shared" si="59"/>
        <v>0.87596153846153846</v>
      </c>
      <c r="BI3" s="417">
        <f t="shared" si="60"/>
        <v>129</v>
      </c>
      <c r="BJ3" s="418">
        <f t="shared" si="61"/>
        <v>3.4656716417910447</v>
      </c>
      <c r="BK3" s="195">
        <f t="shared" si="62"/>
        <v>36</v>
      </c>
      <c r="BL3" s="5">
        <f t="shared" si="63"/>
        <v>0.96716417910447761</v>
      </c>
      <c r="BM3" s="21">
        <f t="shared" si="64"/>
        <v>3.4615384615384617E-2</v>
      </c>
      <c r="BN3" s="195">
        <f t="shared" si="65"/>
        <v>44</v>
      </c>
      <c r="BO3" s="185">
        <f t="shared" si="66"/>
        <v>1.182089552238806</v>
      </c>
      <c r="BP3" s="5">
        <f t="shared" si="67"/>
        <v>14.666666666666666</v>
      </c>
      <c r="BQ3" s="21">
        <f t="shared" si="68"/>
        <v>6.8181818181818177E-2</v>
      </c>
      <c r="BR3" s="5">
        <f t="shared" si="69"/>
        <v>0.83000000000000007</v>
      </c>
      <c r="BS3" s="5">
        <f t="shared" si="70"/>
        <v>8.7045454545454551E-2</v>
      </c>
      <c r="BT3" s="24">
        <f t="shared" si="71"/>
        <v>76.13636363636364</v>
      </c>
      <c r="BU3" s="5">
        <f t="shared" si="72"/>
        <v>36.021505376344088</v>
      </c>
      <c r="BV3" s="5">
        <f t="shared" si="73"/>
        <v>7.8000000000000007</v>
      </c>
      <c r="BW3" s="5">
        <f t="shared" si="74"/>
        <v>7.8000000000000007</v>
      </c>
      <c r="BX3" s="6">
        <f t="shared" si="75"/>
        <v>87</v>
      </c>
      <c r="BY3" s="5">
        <f t="shared" si="76"/>
        <v>2.3373134328358209</v>
      </c>
      <c r="BZ3" s="6">
        <f t="shared" si="77"/>
        <v>44</v>
      </c>
      <c r="CA3" s="5">
        <f t="shared" si="78"/>
        <v>1.182089552238806</v>
      </c>
      <c r="CB3" s="6">
        <f t="shared" si="79"/>
        <v>43</v>
      </c>
      <c r="CC3" s="5">
        <f t="shared" si="80"/>
        <v>1.155223880597015</v>
      </c>
      <c r="CD3" s="5">
        <f t="shared" si="81"/>
        <v>1.155223880597015</v>
      </c>
      <c r="CE3" s="21">
        <f t="shared" si="82"/>
        <v>0.4942528735632184</v>
      </c>
      <c r="CF3" s="5">
        <f t="shared" si="83"/>
        <v>5.117647058823529</v>
      </c>
      <c r="CG3" s="5">
        <f t="shared" si="84"/>
        <v>2.5294117647058822</v>
      </c>
      <c r="CH3" s="21">
        <f t="shared" si="85"/>
        <v>0.19540229885057472</v>
      </c>
      <c r="CI3" s="298">
        <f t="shared" si="86"/>
        <v>16</v>
      </c>
      <c r="CJ3" s="298">
        <f t="shared" si="87"/>
        <v>1</v>
      </c>
      <c r="CK3" s="298">
        <f t="shared" si="88"/>
        <v>0</v>
      </c>
      <c r="CL3" s="21">
        <f t="shared" si="89"/>
        <v>3.3582089552238806E-2</v>
      </c>
      <c r="CM3" s="6">
        <f t="shared" si="90"/>
        <v>12.9</v>
      </c>
      <c r="CN3" s="5">
        <f t="shared" si="91"/>
        <v>0.34656716417910449</v>
      </c>
      <c r="CO3" s="167">
        <f t="shared" si="92"/>
        <v>171</v>
      </c>
      <c r="CP3" s="5">
        <f t="shared" si="93"/>
        <v>4.5940298507462689</v>
      </c>
      <c r="CQ3" s="6">
        <f t="shared" si="94"/>
        <v>111</v>
      </c>
      <c r="CR3" s="5">
        <f t="shared" si="95"/>
        <v>2.982089552238806</v>
      </c>
      <c r="CS3" s="21">
        <f t="shared" si="96"/>
        <v>0.64912280701754388</v>
      </c>
      <c r="CT3" s="6">
        <f t="shared" si="97"/>
        <v>113.83</v>
      </c>
      <c r="CU3" s="5">
        <f t="shared" si="98"/>
        <v>3.0581194029850747</v>
      </c>
      <c r="CV3" s="6">
        <f t="shared" si="99"/>
        <v>117.83</v>
      </c>
      <c r="CW3" s="5">
        <f t="shared" si="100"/>
        <v>3.1655820895522386</v>
      </c>
      <c r="CX3" s="385">
        <f t="shared" si="101"/>
        <v>8.6962835820895528</v>
      </c>
      <c r="CY3" s="5">
        <f t="shared" si="102"/>
        <v>34.011940298507461</v>
      </c>
      <c r="CZ3" s="5">
        <f t="shared" si="103"/>
        <v>26.785074626865672</v>
      </c>
      <c r="DA3" s="6">
        <f t="shared" si="104"/>
        <v>80</v>
      </c>
      <c r="DB3" s="5">
        <f t="shared" si="105"/>
        <v>2.1492537313432836</v>
      </c>
      <c r="DC3" s="6">
        <f t="shared" si="106"/>
        <v>213</v>
      </c>
      <c r="DD3" s="5">
        <f t="shared" si="107"/>
        <v>5.7223880597014922</v>
      </c>
      <c r="DE3" s="6">
        <f t="shared" si="108"/>
        <v>137</v>
      </c>
      <c r="DF3" s="5">
        <f t="shared" si="109"/>
        <v>3.6805970149253731</v>
      </c>
      <c r="DG3" s="6">
        <f t="shared" si="110"/>
        <v>189</v>
      </c>
      <c r="DH3" s="5">
        <f t="shared" si="111"/>
        <v>5.0776119402985076</v>
      </c>
      <c r="DI3" s="5">
        <f t="shared" si="112"/>
        <v>12.9</v>
      </c>
      <c r="DJ3" s="5">
        <f t="shared" si="113"/>
        <v>389.4</v>
      </c>
      <c r="DK3" s="5">
        <f t="shared" si="114"/>
        <v>10.461492537313433</v>
      </c>
      <c r="DL3" s="286">
        <f t="shared" si="115"/>
        <v>249.38888888888889</v>
      </c>
      <c r="DM3" s="287">
        <f t="shared" si="116"/>
        <v>6.7</v>
      </c>
      <c r="DN3" s="60">
        <f t="shared" si="117"/>
        <v>6.84</v>
      </c>
      <c r="DO3"/>
      <c r="DP3" t="s">
        <v>13</v>
      </c>
      <c r="DQ3" t="s">
        <v>1087</v>
      </c>
      <c r="DR3">
        <v>28</v>
      </c>
      <c r="DS3" t="s">
        <v>1088</v>
      </c>
      <c r="DT3" t="s">
        <v>541</v>
      </c>
      <c r="DU3" t="s">
        <v>573</v>
      </c>
      <c r="DV3" t="s">
        <v>1089</v>
      </c>
      <c r="DW3" t="s">
        <v>1090</v>
      </c>
      <c r="DX3" s="430">
        <v>47118</v>
      </c>
      <c r="DY3">
        <v>3350</v>
      </c>
      <c r="DZ3" t="s">
        <v>1091</v>
      </c>
      <c r="EA3">
        <v>1</v>
      </c>
      <c r="EB3">
        <v>17</v>
      </c>
      <c r="EC3">
        <v>3</v>
      </c>
      <c r="ED3">
        <v>6</v>
      </c>
      <c r="EE3">
        <v>12.9</v>
      </c>
      <c r="EF3" t="s">
        <v>1092</v>
      </c>
      <c r="EG3" t="s">
        <v>1093</v>
      </c>
      <c r="EH3">
        <v>29</v>
      </c>
      <c r="EI3">
        <v>65</v>
      </c>
      <c r="EJ3">
        <v>1040</v>
      </c>
      <c r="EK3">
        <v>911</v>
      </c>
      <c r="EL3">
        <v>44</v>
      </c>
      <c r="EM3">
        <v>36</v>
      </c>
      <c r="EN3">
        <v>18</v>
      </c>
      <c r="EO3">
        <v>87</v>
      </c>
      <c r="EP3">
        <v>43</v>
      </c>
      <c r="EQ3">
        <v>98</v>
      </c>
      <c r="ER3">
        <v>23</v>
      </c>
      <c r="ES3">
        <v>22</v>
      </c>
      <c r="ET3">
        <v>6</v>
      </c>
      <c r="EU3">
        <v>22</v>
      </c>
      <c r="EV3">
        <v>6</v>
      </c>
      <c r="EW3">
        <v>1</v>
      </c>
      <c r="EX3">
        <v>0.8</v>
      </c>
      <c r="EY3">
        <v>0</v>
      </c>
      <c r="EZ3">
        <v>0</v>
      </c>
      <c r="FA3">
        <v>0</v>
      </c>
      <c r="FB3">
        <v>6.7</v>
      </c>
      <c r="FC3" t="s">
        <v>1094</v>
      </c>
      <c r="FD3">
        <v>6.84</v>
      </c>
    </row>
    <row r="4" spans="1:160" ht="24.95" customHeight="1" thickBot="1" x14ac:dyDescent="0.3">
      <c r="A4" s="29" t="str">
        <f t="shared" si="0"/>
        <v>3º</v>
      </c>
      <c r="B4" s="67" t="str">
        <f t="shared" si="1"/>
        <v>Isidro Pitta</v>
      </c>
      <c r="C4" s="83" t="str">
        <f t="shared" si="2"/>
        <v>PAR</v>
      </c>
      <c r="D4" s="9" t="str">
        <f t="shared" si="3"/>
        <v>RB Bragantino</v>
      </c>
      <c r="E4" s="91" t="str">
        <f t="shared" si="4"/>
        <v>Pé Direito</v>
      </c>
      <c r="F4" s="155">
        <f t="shared" si="5"/>
        <v>1.83</v>
      </c>
      <c r="G4" s="35">
        <f t="shared" si="6"/>
        <v>47848</v>
      </c>
      <c r="H4" s="7">
        <f t="shared" si="7"/>
        <v>27</v>
      </c>
      <c r="I4" s="299" t="str">
        <f t="shared" si="8"/>
        <v>60m € - 71,5m € p/m</v>
      </c>
      <c r="J4" s="3" t="str">
        <f t="shared" si="9"/>
        <v>11M € - 16M €</v>
      </c>
      <c r="K4" s="89">
        <f t="shared" si="10"/>
        <v>31.398046398046404</v>
      </c>
      <c r="L4" s="133">
        <f t="shared" si="11"/>
        <v>26.877777777777776</v>
      </c>
      <c r="M4" s="134">
        <f t="shared" si="12"/>
        <v>44</v>
      </c>
      <c r="N4" s="134">
        <f t="shared" si="13"/>
        <v>54.977272727272727</v>
      </c>
      <c r="O4" s="173">
        <f t="shared" si="14"/>
        <v>0.52</v>
      </c>
      <c r="P4" s="402">
        <f t="shared" si="15"/>
        <v>13</v>
      </c>
      <c r="Q4" s="402">
        <f t="shared" si="16"/>
        <v>2</v>
      </c>
      <c r="R4" s="402">
        <f t="shared" si="17"/>
        <v>15</v>
      </c>
      <c r="S4" s="6">
        <f t="shared" si="18"/>
        <v>1</v>
      </c>
      <c r="T4" s="24">
        <f t="shared" si="19"/>
        <v>2419</v>
      </c>
      <c r="U4" s="21">
        <f t="shared" si="20"/>
        <v>3.7205456800330716E-2</v>
      </c>
      <c r="V4" s="298">
        <f t="shared" si="21"/>
        <v>0</v>
      </c>
      <c r="W4" s="300">
        <f t="shared" si="22"/>
        <v>0</v>
      </c>
      <c r="X4" s="298">
        <f t="shared" si="23"/>
        <v>0</v>
      </c>
      <c r="Y4" s="300">
        <f t="shared" si="24"/>
        <v>0</v>
      </c>
      <c r="Z4" s="290">
        <f t="shared" si="25"/>
        <v>0</v>
      </c>
      <c r="AA4" s="298">
        <f t="shared" si="26"/>
        <v>0</v>
      </c>
      <c r="AB4" s="286">
        <f t="shared" si="27"/>
        <v>2</v>
      </c>
      <c r="AC4" s="286">
        <f t="shared" si="28"/>
        <v>1</v>
      </c>
      <c r="AD4" s="286">
        <f t="shared" si="29"/>
        <v>1</v>
      </c>
      <c r="AE4" s="21">
        <f t="shared" si="30"/>
        <v>0.5</v>
      </c>
      <c r="AF4" s="421">
        <f t="shared" si="31"/>
        <v>13</v>
      </c>
      <c r="AG4" s="421">
        <f t="shared" si="32"/>
        <v>2</v>
      </c>
      <c r="AH4" s="421">
        <f t="shared" si="33"/>
        <v>15</v>
      </c>
      <c r="AI4" s="421">
        <f t="shared" si="34"/>
        <v>12</v>
      </c>
      <c r="AJ4" s="420">
        <f t="shared" si="35"/>
        <v>4</v>
      </c>
      <c r="AK4" s="422">
        <f t="shared" si="36"/>
        <v>0.48367093840429931</v>
      </c>
      <c r="AL4" s="422">
        <f t="shared" si="37"/>
        <v>7.4410913600661432E-2</v>
      </c>
      <c r="AM4" s="422">
        <f t="shared" si="38"/>
        <v>0.55808185200496074</v>
      </c>
      <c r="AN4" s="5">
        <f t="shared" si="39"/>
        <v>13.14</v>
      </c>
      <c r="AO4" s="5">
        <f t="shared" si="40"/>
        <v>11.56</v>
      </c>
      <c r="AP4" s="5">
        <f t="shared" si="41"/>
        <v>0.43009508061182311</v>
      </c>
      <c r="AQ4" s="5">
        <f t="shared" si="42"/>
        <v>2.66</v>
      </c>
      <c r="AR4" s="5">
        <f t="shared" si="43"/>
        <v>9.8966515088879714E-2</v>
      </c>
      <c r="AS4" s="5">
        <f t="shared" si="44"/>
        <v>14.22</v>
      </c>
      <c r="AT4" s="5">
        <f t="shared" si="45"/>
        <v>0.52906159570070277</v>
      </c>
      <c r="AU4" s="21">
        <f t="shared" si="46"/>
        <v>0.57081545064377681</v>
      </c>
      <c r="AV4" s="21">
        <f t="shared" si="47"/>
        <v>0.49732211170619739</v>
      </c>
      <c r="AW4" s="6">
        <f t="shared" si="48"/>
        <v>3</v>
      </c>
      <c r="AX4" s="6">
        <f t="shared" si="49"/>
        <v>0</v>
      </c>
      <c r="AY4" s="21">
        <f t="shared" si="50"/>
        <v>0</v>
      </c>
      <c r="AZ4" s="304">
        <f t="shared" si="51"/>
        <v>22</v>
      </c>
      <c r="BA4" s="305">
        <f t="shared" si="52"/>
        <v>0.81852004960727576</v>
      </c>
      <c r="BB4" s="413">
        <f t="shared" si="53"/>
        <v>12.369000000000002</v>
      </c>
      <c r="BC4" s="413">
        <f t="shared" si="54"/>
        <v>0.46019429516329063</v>
      </c>
      <c r="BD4" s="6">
        <f t="shared" si="55"/>
        <v>877</v>
      </c>
      <c r="BE4" s="5">
        <f t="shared" si="56"/>
        <v>32.629185613890037</v>
      </c>
      <c r="BF4" s="6">
        <f t="shared" si="57"/>
        <v>793</v>
      </c>
      <c r="BG4" s="5">
        <f t="shared" si="58"/>
        <v>29.503927242662257</v>
      </c>
      <c r="BH4" s="21">
        <f t="shared" si="59"/>
        <v>0.90421892816419613</v>
      </c>
      <c r="BI4" s="417">
        <f t="shared" si="60"/>
        <v>84</v>
      </c>
      <c r="BJ4" s="418">
        <f t="shared" si="61"/>
        <v>3.1252583712277802</v>
      </c>
      <c r="BK4" s="195">
        <f t="shared" si="62"/>
        <v>16</v>
      </c>
      <c r="BL4" s="5">
        <f t="shared" si="63"/>
        <v>0.59528730880529146</v>
      </c>
      <c r="BM4" s="21">
        <f t="shared" si="64"/>
        <v>1.8244013683010263E-2</v>
      </c>
      <c r="BN4" s="195">
        <f t="shared" si="65"/>
        <v>30</v>
      </c>
      <c r="BO4" s="185">
        <f t="shared" si="66"/>
        <v>1.1161637040099215</v>
      </c>
      <c r="BP4" s="5">
        <f t="shared" si="67"/>
        <v>15</v>
      </c>
      <c r="BQ4" s="21">
        <f t="shared" si="68"/>
        <v>6.6666666666666666E-2</v>
      </c>
      <c r="BR4" s="5">
        <f t="shared" si="69"/>
        <v>0.66000000000000014</v>
      </c>
      <c r="BS4" s="5">
        <f t="shared" si="70"/>
        <v>8.8666666666666671E-2</v>
      </c>
      <c r="BT4" s="24">
        <f t="shared" si="71"/>
        <v>80.63333333333334</v>
      </c>
      <c r="BU4" s="5">
        <f t="shared" si="72"/>
        <v>28.458823529411763</v>
      </c>
      <c r="BV4" s="5">
        <f t="shared" si="73"/>
        <v>-0.14000000000000057</v>
      </c>
      <c r="BW4" s="5">
        <f t="shared" si="74"/>
        <v>-0.9300000000000006</v>
      </c>
      <c r="BX4" s="6">
        <f t="shared" si="75"/>
        <v>94</v>
      </c>
      <c r="BY4" s="5">
        <f t="shared" si="76"/>
        <v>3.4973129392310875</v>
      </c>
      <c r="BZ4" s="6">
        <f t="shared" si="77"/>
        <v>45</v>
      </c>
      <c r="CA4" s="5">
        <f t="shared" si="78"/>
        <v>1.6742455560148823</v>
      </c>
      <c r="CB4" s="6">
        <f t="shared" si="79"/>
        <v>51</v>
      </c>
      <c r="CC4" s="5">
        <f t="shared" si="80"/>
        <v>1.8974782968168666</v>
      </c>
      <c r="CD4" s="5">
        <f t="shared" si="81"/>
        <v>1.8602728400165358</v>
      </c>
      <c r="CE4" s="21">
        <f t="shared" si="82"/>
        <v>0.53191489361702127</v>
      </c>
      <c r="CF4" s="5">
        <f t="shared" si="83"/>
        <v>7.833333333333333</v>
      </c>
      <c r="CG4" s="5">
        <f t="shared" si="84"/>
        <v>3.9230769230769229</v>
      </c>
      <c r="CH4" s="21">
        <f t="shared" si="85"/>
        <v>0.1276595744680851</v>
      </c>
      <c r="CI4" s="298">
        <f t="shared" si="86"/>
        <v>7</v>
      </c>
      <c r="CJ4" s="298">
        <f t="shared" si="87"/>
        <v>4</v>
      </c>
      <c r="CK4" s="298">
        <f t="shared" si="88"/>
        <v>2</v>
      </c>
      <c r="CL4" s="21">
        <f t="shared" si="89"/>
        <v>0.14882182720132286</v>
      </c>
      <c r="CM4" s="6">
        <f t="shared" si="90"/>
        <v>13.4</v>
      </c>
      <c r="CN4" s="5">
        <f t="shared" si="91"/>
        <v>0.49855312112443162</v>
      </c>
      <c r="CO4" s="167">
        <f t="shared" si="92"/>
        <v>151</v>
      </c>
      <c r="CP4" s="5">
        <f t="shared" si="93"/>
        <v>5.6180239768499387</v>
      </c>
      <c r="CQ4" s="6">
        <f t="shared" si="94"/>
        <v>103</v>
      </c>
      <c r="CR4" s="5">
        <f t="shared" si="95"/>
        <v>3.8321620504340639</v>
      </c>
      <c r="CS4" s="21">
        <f t="shared" si="96"/>
        <v>0.68211920529801329</v>
      </c>
      <c r="CT4" s="6">
        <f t="shared" si="97"/>
        <v>99.16</v>
      </c>
      <c r="CU4" s="5">
        <f t="shared" si="98"/>
        <v>3.6892930963207937</v>
      </c>
      <c r="CV4" s="6">
        <f t="shared" si="99"/>
        <v>98.91</v>
      </c>
      <c r="CW4" s="5">
        <f t="shared" si="100"/>
        <v>3.679991732120711</v>
      </c>
      <c r="CX4" s="385">
        <f t="shared" si="101"/>
        <v>8.67266639107069</v>
      </c>
      <c r="CY4" s="5">
        <f t="shared" si="102"/>
        <v>39.512195121951223</v>
      </c>
      <c r="CZ4" s="5">
        <f t="shared" si="103"/>
        <v>31.438610996279454</v>
      </c>
      <c r="DA4" s="6">
        <f t="shared" si="104"/>
        <v>46</v>
      </c>
      <c r="DB4" s="5">
        <f t="shared" si="105"/>
        <v>1.7114510128152129</v>
      </c>
      <c r="DC4" s="6">
        <f t="shared" si="106"/>
        <v>171</v>
      </c>
      <c r="DD4" s="5">
        <f t="shared" si="107"/>
        <v>6.3621331128565526</v>
      </c>
      <c r="DE4" s="6">
        <f t="shared" si="108"/>
        <v>132</v>
      </c>
      <c r="DF4" s="5">
        <f t="shared" si="109"/>
        <v>4.911120297643655</v>
      </c>
      <c r="DG4" s="6">
        <f t="shared" si="110"/>
        <v>132</v>
      </c>
      <c r="DH4" s="5">
        <f t="shared" si="111"/>
        <v>4.911120297643655</v>
      </c>
      <c r="DI4" s="5">
        <f t="shared" si="112"/>
        <v>13.4</v>
      </c>
      <c r="DJ4" s="5">
        <f t="shared" si="113"/>
        <v>266.10000000000002</v>
      </c>
      <c r="DK4" s="5">
        <f t="shared" si="114"/>
        <v>9.9003720545680043</v>
      </c>
      <c r="DL4" s="286">
        <f t="shared" si="115"/>
        <v>182.76888888888888</v>
      </c>
      <c r="DM4" s="287">
        <f t="shared" si="116"/>
        <v>6.8</v>
      </c>
      <c r="DN4" s="60">
        <f t="shared" si="117"/>
        <v>6.92</v>
      </c>
      <c r="DO4"/>
      <c r="DP4" t="s">
        <v>1095</v>
      </c>
      <c r="DQ4" t="s">
        <v>1096</v>
      </c>
      <c r="DR4">
        <v>27</v>
      </c>
      <c r="DS4" t="s">
        <v>1097</v>
      </c>
      <c r="DT4" t="s">
        <v>696</v>
      </c>
      <c r="DU4" t="s">
        <v>573</v>
      </c>
      <c r="DV4" t="s">
        <v>1098</v>
      </c>
      <c r="DW4" t="s">
        <v>1099</v>
      </c>
      <c r="DX4" s="430">
        <v>47848</v>
      </c>
      <c r="DY4">
        <v>2419</v>
      </c>
      <c r="DZ4" t="s">
        <v>1100</v>
      </c>
      <c r="EA4">
        <v>1</v>
      </c>
      <c r="EB4">
        <v>13</v>
      </c>
      <c r="EC4">
        <v>2</v>
      </c>
      <c r="ED4">
        <v>6</v>
      </c>
      <c r="EE4">
        <v>13.4</v>
      </c>
      <c r="EF4" t="s">
        <v>1101</v>
      </c>
      <c r="EG4" t="s">
        <v>1102</v>
      </c>
      <c r="EH4">
        <v>23</v>
      </c>
      <c r="EI4">
        <v>38</v>
      </c>
      <c r="EJ4">
        <v>877</v>
      </c>
      <c r="EK4">
        <v>793</v>
      </c>
      <c r="EL4">
        <v>30</v>
      </c>
      <c r="EM4">
        <v>16</v>
      </c>
      <c r="EN4">
        <v>22</v>
      </c>
      <c r="EO4">
        <v>96</v>
      </c>
      <c r="EP4">
        <v>51</v>
      </c>
      <c r="EQ4">
        <v>42</v>
      </c>
      <c r="ER4">
        <v>14</v>
      </c>
      <c r="ES4">
        <v>3</v>
      </c>
      <c r="ET4">
        <v>0</v>
      </c>
      <c r="EU4">
        <v>3</v>
      </c>
      <c r="EV4">
        <v>0</v>
      </c>
      <c r="EW4">
        <v>4</v>
      </c>
      <c r="EX4">
        <v>1</v>
      </c>
      <c r="EY4">
        <v>0</v>
      </c>
      <c r="EZ4">
        <v>2</v>
      </c>
      <c r="FA4">
        <v>1</v>
      </c>
      <c r="FB4">
        <v>6.8</v>
      </c>
      <c r="FC4" t="s">
        <v>1103</v>
      </c>
      <c r="FD4">
        <v>6.92</v>
      </c>
    </row>
    <row r="5" spans="1:160" ht="24.95" customHeight="1" thickBot="1" x14ac:dyDescent="0.3">
      <c r="A5" s="29" t="str">
        <f t="shared" si="0"/>
        <v>4º</v>
      </c>
      <c r="B5" s="67" t="str">
        <f t="shared" si="1"/>
        <v>Reinier</v>
      </c>
      <c r="C5" s="83" t="str">
        <f t="shared" si="2"/>
        <v>BRA</v>
      </c>
      <c r="D5" s="9" t="str">
        <f t="shared" si="3"/>
        <v>Atlético Mineiro</v>
      </c>
      <c r="E5" s="91" t="str">
        <f t="shared" si="4"/>
        <v>Somente Pé Direito</v>
      </c>
      <c r="F5" s="155">
        <f t="shared" si="5"/>
        <v>1.85</v>
      </c>
      <c r="G5" s="35">
        <f t="shared" si="6"/>
        <v>47483</v>
      </c>
      <c r="H5" s="7">
        <f t="shared" si="7"/>
        <v>24</v>
      </c>
      <c r="I5" s="299" t="str">
        <f t="shared" si="8"/>
        <v>67m € - 77,5m € p/m</v>
      </c>
      <c r="J5" s="3" t="str">
        <f t="shared" si="9"/>
        <v>7,6M € - 11M €</v>
      </c>
      <c r="K5" s="89">
        <f t="shared" si="10"/>
        <v>31.398046398046404</v>
      </c>
      <c r="L5" s="133">
        <f t="shared" si="11"/>
        <v>44.744444444444447</v>
      </c>
      <c r="M5" s="134">
        <f t="shared" si="12"/>
        <v>59</v>
      </c>
      <c r="N5" s="134">
        <f t="shared" si="13"/>
        <v>68.254237288135599</v>
      </c>
      <c r="O5" s="173">
        <f t="shared" si="14"/>
        <v>0.92</v>
      </c>
      <c r="P5" s="402">
        <f t="shared" si="15"/>
        <v>15</v>
      </c>
      <c r="Q5" s="402">
        <f t="shared" si="16"/>
        <v>5</v>
      </c>
      <c r="R5" s="402">
        <f t="shared" si="17"/>
        <v>20</v>
      </c>
      <c r="S5" s="6">
        <f t="shared" si="18"/>
        <v>4</v>
      </c>
      <c r="T5" s="24">
        <f t="shared" si="19"/>
        <v>1006.75</v>
      </c>
      <c r="U5" s="21">
        <f t="shared" si="20"/>
        <v>8.9396573131363288E-2</v>
      </c>
      <c r="V5" s="298">
        <f t="shared" si="21"/>
        <v>21</v>
      </c>
      <c r="W5" s="300">
        <f t="shared" si="22"/>
        <v>0.46933200893965726</v>
      </c>
      <c r="X5" s="298">
        <f t="shared" si="23"/>
        <v>1</v>
      </c>
      <c r="Y5" s="300">
        <f t="shared" si="24"/>
        <v>2.2349143282840822E-2</v>
      </c>
      <c r="Z5" s="290">
        <f t="shared" si="25"/>
        <v>4.7619047619047616E-2</v>
      </c>
      <c r="AA5" s="298">
        <f t="shared" si="26"/>
        <v>1</v>
      </c>
      <c r="AB5" s="286">
        <f t="shared" si="27"/>
        <v>1</v>
      </c>
      <c r="AC5" s="286">
        <f t="shared" si="28"/>
        <v>1</v>
      </c>
      <c r="AD5" s="286">
        <f t="shared" si="29"/>
        <v>0</v>
      </c>
      <c r="AE5" s="21">
        <f t="shared" si="30"/>
        <v>1</v>
      </c>
      <c r="AF5" s="421">
        <f t="shared" si="31"/>
        <v>15</v>
      </c>
      <c r="AG5" s="421">
        <f t="shared" si="32"/>
        <v>5</v>
      </c>
      <c r="AH5" s="421">
        <f t="shared" si="33"/>
        <v>20</v>
      </c>
      <c r="AI5" s="421">
        <f t="shared" si="34"/>
        <v>14</v>
      </c>
      <c r="AJ5" s="420">
        <f t="shared" si="35"/>
        <v>4</v>
      </c>
      <c r="AK5" s="422">
        <f t="shared" si="36"/>
        <v>0.33523714924261233</v>
      </c>
      <c r="AL5" s="422">
        <f t="shared" si="37"/>
        <v>0.11174571641420411</v>
      </c>
      <c r="AM5" s="422">
        <f t="shared" si="38"/>
        <v>0.44698286565681644</v>
      </c>
      <c r="AN5" s="5">
        <f t="shared" si="39"/>
        <v>11.12</v>
      </c>
      <c r="AO5" s="5">
        <f t="shared" si="40"/>
        <v>10.329999999999998</v>
      </c>
      <c r="AP5" s="5">
        <f t="shared" si="41"/>
        <v>0.23086665011174567</v>
      </c>
      <c r="AQ5" s="5">
        <f t="shared" si="42"/>
        <v>6.12</v>
      </c>
      <c r="AR5" s="5">
        <f t="shared" si="43"/>
        <v>0.13677675689098584</v>
      </c>
      <c r="AS5" s="5">
        <f t="shared" si="44"/>
        <v>16.45</v>
      </c>
      <c r="AT5" s="5">
        <f t="shared" si="45"/>
        <v>0.36764340700273151</v>
      </c>
      <c r="AU5" s="21">
        <f t="shared" si="46"/>
        <v>0.55035971223021574</v>
      </c>
      <c r="AV5" s="21">
        <f t="shared" si="47"/>
        <v>0.57427258805513026</v>
      </c>
      <c r="AW5" s="6">
        <f t="shared" si="48"/>
        <v>39</v>
      </c>
      <c r="AX5" s="6">
        <f t="shared" si="49"/>
        <v>20</v>
      </c>
      <c r="AY5" s="21">
        <f t="shared" si="50"/>
        <v>0.51282051282051277</v>
      </c>
      <c r="AZ5" s="304">
        <f t="shared" si="51"/>
        <v>57</v>
      </c>
      <c r="BA5" s="305">
        <f t="shared" si="52"/>
        <v>1.2739011671219269</v>
      </c>
      <c r="BB5" s="413">
        <f t="shared" si="53"/>
        <v>30.637999999999998</v>
      </c>
      <c r="BC5" s="413">
        <f t="shared" si="54"/>
        <v>0.68473305189967715</v>
      </c>
      <c r="BD5" s="6">
        <f t="shared" si="55"/>
        <v>1782</v>
      </c>
      <c r="BE5" s="5">
        <f t="shared" si="56"/>
        <v>39.82617333002235</v>
      </c>
      <c r="BF5" s="6">
        <f t="shared" si="57"/>
        <v>1575</v>
      </c>
      <c r="BG5" s="5">
        <f t="shared" si="58"/>
        <v>35.1999006704743</v>
      </c>
      <c r="BH5" s="21">
        <f t="shared" si="59"/>
        <v>0.88383838383838387</v>
      </c>
      <c r="BI5" s="417">
        <f t="shared" si="60"/>
        <v>207</v>
      </c>
      <c r="BJ5" s="418">
        <f t="shared" si="61"/>
        <v>4.6262726595480501</v>
      </c>
      <c r="BK5" s="195">
        <f t="shared" si="62"/>
        <v>112</v>
      </c>
      <c r="BL5" s="5">
        <f t="shared" si="63"/>
        <v>2.5031040476781721</v>
      </c>
      <c r="BM5" s="21">
        <f t="shared" si="64"/>
        <v>6.2850729517396189E-2</v>
      </c>
      <c r="BN5" s="195">
        <f t="shared" si="65"/>
        <v>64</v>
      </c>
      <c r="BO5" s="185">
        <f t="shared" si="66"/>
        <v>1.4303451701018126</v>
      </c>
      <c r="BP5" s="5">
        <f t="shared" si="67"/>
        <v>12.8</v>
      </c>
      <c r="BQ5" s="21">
        <f t="shared" si="68"/>
        <v>7.8125E-2</v>
      </c>
      <c r="BR5" s="5">
        <f t="shared" si="69"/>
        <v>1.1200000000000001</v>
      </c>
      <c r="BS5" s="5">
        <f t="shared" si="70"/>
        <v>9.5625000000000002E-2</v>
      </c>
      <c r="BT5" s="24">
        <f t="shared" si="71"/>
        <v>62.921875</v>
      </c>
      <c r="BU5" s="5">
        <f t="shared" si="72"/>
        <v>31.708661417322833</v>
      </c>
      <c r="BV5" s="5">
        <f t="shared" si="73"/>
        <v>3.8800000000000008</v>
      </c>
      <c r="BW5" s="5">
        <f t="shared" si="74"/>
        <v>3.0900000000000007</v>
      </c>
      <c r="BX5" s="6">
        <f t="shared" si="75"/>
        <v>109</v>
      </c>
      <c r="BY5" s="5">
        <f t="shared" si="76"/>
        <v>2.4360566178296499</v>
      </c>
      <c r="BZ5" s="6">
        <f t="shared" si="77"/>
        <v>58</v>
      </c>
      <c r="CA5" s="5">
        <f t="shared" si="78"/>
        <v>1.2962503104047678</v>
      </c>
      <c r="CB5" s="6">
        <f t="shared" si="79"/>
        <v>52</v>
      </c>
      <c r="CC5" s="5">
        <f t="shared" si="80"/>
        <v>1.1621554507077227</v>
      </c>
      <c r="CD5" s="5">
        <f t="shared" si="81"/>
        <v>1.1398063074248819</v>
      </c>
      <c r="CE5" s="21">
        <f t="shared" si="82"/>
        <v>0.46788990825688076</v>
      </c>
      <c r="CF5" s="5">
        <f t="shared" si="83"/>
        <v>7.7857142857142856</v>
      </c>
      <c r="CG5" s="5">
        <f t="shared" si="84"/>
        <v>3.4666666666666668</v>
      </c>
      <c r="CH5" s="21">
        <f t="shared" si="85"/>
        <v>0.12844036697247707</v>
      </c>
      <c r="CI5" s="298">
        <f t="shared" si="86"/>
        <v>10</v>
      </c>
      <c r="CJ5" s="298">
        <f t="shared" si="87"/>
        <v>4</v>
      </c>
      <c r="CK5" s="298">
        <f t="shared" si="88"/>
        <v>1</v>
      </c>
      <c r="CL5" s="21">
        <f t="shared" si="89"/>
        <v>8.9396573131363288E-2</v>
      </c>
      <c r="CM5" s="6">
        <f t="shared" si="90"/>
        <v>11.4</v>
      </c>
      <c r="CN5" s="5">
        <f t="shared" si="91"/>
        <v>0.25478023342438538</v>
      </c>
      <c r="CO5" s="167">
        <f t="shared" si="92"/>
        <v>270</v>
      </c>
      <c r="CP5" s="5">
        <f t="shared" si="93"/>
        <v>6.0342686863670219</v>
      </c>
      <c r="CQ5" s="6">
        <f t="shared" si="94"/>
        <v>193</v>
      </c>
      <c r="CR5" s="5">
        <f t="shared" si="95"/>
        <v>4.3133846535882787</v>
      </c>
      <c r="CS5" s="21">
        <f t="shared" si="96"/>
        <v>0.71481481481481479</v>
      </c>
      <c r="CT5" s="6">
        <f t="shared" si="97"/>
        <v>167.12</v>
      </c>
      <c r="CU5" s="5">
        <f t="shared" si="98"/>
        <v>3.7349888254283585</v>
      </c>
      <c r="CV5" s="6">
        <f t="shared" si="99"/>
        <v>168.12</v>
      </c>
      <c r="CW5" s="5">
        <f t="shared" si="100"/>
        <v>3.7573379687111994</v>
      </c>
      <c r="CX5" s="385">
        <f t="shared" si="101"/>
        <v>13.737928979389121</v>
      </c>
      <c r="CY5" s="5">
        <f t="shared" si="102"/>
        <v>49.86093866401788</v>
      </c>
      <c r="CZ5" s="5">
        <f t="shared" si="103"/>
        <v>39.401539607648374</v>
      </c>
      <c r="DA5" s="6">
        <f t="shared" si="104"/>
        <v>176</v>
      </c>
      <c r="DB5" s="5">
        <f t="shared" si="105"/>
        <v>3.9334492177799847</v>
      </c>
      <c r="DC5" s="6">
        <f t="shared" si="106"/>
        <v>393</v>
      </c>
      <c r="DD5" s="5">
        <f t="shared" si="107"/>
        <v>8.7832133101564427</v>
      </c>
      <c r="DE5" s="6">
        <f t="shared" si="108"/>
        <v>186</v>
      </c>
      <c r="DF5" s="5">
        <f t="shared" si="109"/>
        <v>4.1569406506083935</v>
      </c>
      <c r="DG5" s="6">
        <f t="shared" si="110"/>
        <v>284</v>
      </c>
      <c r="DH5" s="5">
        <f t="shared" si="111"/>
        <v>6.3471566923267941</v>
      </c>
      <c r="DI5" s="5">
        <f t="shared" si="112"/>
        <v>11.4</v>
      </c>
      <c r="DJ5" s="5">
        <f t="shared" si="113"/>
        <v>516.70000000000005</v>
      </c>
      <c r="DK5" s="5">
        <f t="shared" si="114"/>
        <v>11.547802334243855</v>
      </c>
      <c r="DL5" s="286">
        <f t="shared" si="115"/>
        <v>474.29111111111115</v>
      </c>
      <c r="DM5" s="287">
        <f t="shared" si="116"/>
        <v>10.6</v>
      </c>
      <c r="DN5" s="60">
        <f t="shared" si="117"/>
        <v>6.84</v>
      </c>
      <c r="DO5"/>
      <c r="DP5" t="s">
        <v>13</v>
      </c>
      <c r="DQ5" t="s">
        <v>1104</v>
      </c>
      <c r="DR5">
        <v>24</v>
      </c>
      <c r="DS5" t="s">
        <v>1105</v>
      </c>
      <c r="DT5" t="s">
        <v>751</v>
      </c>
      <c r="DU5" t="s">
        <v>574</v>
      </c>
      <c r="DV5" t="s">
        <v>1106</v>
      </c>
      <c r="DW5" t="s">
        <v>1107</v>
      </c>
      <c r="DX5" s="430">
        <v>47483</v>
      </c>
      <c r="DY5">
        <v>4027</v>
      </c>
      <c r="DZ5" t="s">
        <v>1108</v>
      </c>
      <c r="EA5">
        <v>4</v>
      </c>
      <c r="EB5">
        <v>15</v>
      </c>
      <c r="EC5">
        <v>5</v>
      </c>
      <c r="ED5">
        <v>12</v>
      </c>
      <c r="EE5">
        <v>11.4</v>
      </c>
      <c r="EF5" t="s">
        <v>1109</v>
      </c>
      <c r="EG5" t="s">
        <v>1110</v>
      </c>
      <c r="EH5">
        <v>44</v>
      </c>
      <c r="EI5">
        <v>43</v>
      </c>
      <c r="EJ5">
        <v>1782</v>
      </c>
      <c r="EK5">
        <v>1575</v>
      </c>
      <c r="EL5">
        <v>64</v>
      </c>
      <c r="EM5">
        <v>112</v>
      </c>
      <c r="EN5">
        <v>57</v>
      </c>
      <c r="EO5">
        <v>110</v>
      </c>
      <c r="EP5">
        <v>52</v>
      </c>
      <c r="EQ5">
        <v>221</v>
      </c>
      <c r="ER5">
        <v>51</v>
      </c>
      <c r="ES5">
        <v>39</v>
      </c>
      <c r="ET5">
        <v>20</v>
      </c>
      <c r="EU5">
        <v>60</v>
      </c>
      <c r="EV5">
        <v>21</v>
      </c>
      <c r="EW5">
        <v>4</v>
      </c>
      <c r="EX5">
        <v>1</v>
      </c>
      <c r="EY5">
        <v>1</v>
      </c>
      <c r="EZ5">
        <v>1</v>
      </c>
      <c r="FA5">
        <v>1</v>
      </c>
      <c r="FB5">
        <v>10.6</v>
      </c>
      <c r="FC5" t="s">
        <v>1111</v>
      </c>
      <c r="FD5">
        <v>6.84</v>
      </c>
    </row>
    <row r="6" spans="1:160" ht="24.95" customHeight="1" thickBot="1" x14ac:dyDescent="0.3">
      <c r="A6" s="29" t="str">
        <f t="shared" si="0"/>
        <v>5º</v>
      </c>
      <c r="B6" s="67" t="str">
        <f t="shared" si="1"/>
        <v>Mateo Cassierra</v>
      </c>
      <c r="C6" s="83" t="str">
        <f t="shared" si="2"/>
        <v>COL</v>
      </c>
      <c r="D6" s="9" t="str">
        <f t="shared" si="3"/>
        <v>Atlético Mineiro</v>
      </c>
      <c r="E6" s="91" t="str">
        <f t="shared" si="4"/>
        <v>Pé Direito</v>
      </c>
      <c r="F6" s="155">
        <f t="shared" si="5"/>
        <v>1.86</v>
      </c>
      <c r="G6" s="35">
        <f t="shared" si="6"/>
        <v>47483</v>
      </c>
      <c r="H6" s="7">
        <f t="shared" si="7"/>
        <v>29</v>
      </c>
      <c r="I6" s="299" t="str">
        <f t="shared" si="8"/>
        <v>58m € - 66m € p/m</v>
      </c>
      <c r="J6" s="3" t="str">
        <f t="shared" si="9"/>
        <v>8,6M € - 10,5M €</v>
      </c>
      <c r="K6" s="89">
        <f t="shared" si="10"/>
        <v>31.398046398046404</v>
      </c>
      <c r="L6" s="133">
        <f t="shared" si="11"/>
        <v>50.233333333333334</v>
      </c>
      <c r="M6" s="134">
        <f t="shared" si="12"/>
        <v>56</v>
      </c>
      <c r="N6" s="134">
        <f t="shared" si="13"/>
        <v>80.732142857142861</v>
      </c>
      <c r="O6" s="173">
        <f t="shared" si="14"/>
        <v>0.98</v>
      </c>
      <c r="P6" s="402">
        <f t="shared" si="15"/>
        <v>22</v>
      </c>
      <c r="Q6" s="402">
        <f t="shared" si="16"/>
        <v>6</v>
      </c>
      <c r="R6" s="402">
        <f t="shared" si="17"/>
        <v>28</v>
      </c>
      <c r="S6" s="6">
        <f t="shared" si="18"/>
        <v>3</v>
      </c>
      <c r="T6" s="24">
        <f t="shared" si="19"/>
        <v>1507</v>
      </c>
      <c r="U6" s="21">
        <f t="shared" si="20"/>
        <v>5.9721300597213006E-2</v>
      </c>
      <c r="V6" s="298">
        <f t="shared" si="21"/>
        <v>0</v>
      </c>
      <c r="W6" s="300">
        <f t="shared" si="22"/>
        <v>0</v>
      </c>
      <c r="X6" s="298">
        <f t="shared" si="23"/>
        <v>0</v>
      </c>
      <c r="Y6" s="300">
        <f t="shared" si="24"/>
        <v>0</v>
      </c>
      <c r="Z6" s="290">
        <f t="shared" si="25"/>
        <v>0</v>
      </c>
      <c r="AA6" s="298">
        <f t="shared" si="26"/>
        <v>0</v>
      </c>
      <c r="AB6" s="286">
        <f t="shared" si="27"/>
        <v>3</v>
      </c>
      <c r="AC6" s="286">
        <f t="shared" si="28"/>
        <v>2</v>
      </c>
      <c r="AD6" s="286">
        <f t="shared" si="29"/>
        <v>1</v>
      </c>
      <c r="AE6" s="21">
        <f t="shared" si="30"/>
        <v>0.66666666666666663</v>
      </c>
      <c r="AF6" s="421">
        <f t="shared" si="31"/>
        <v>22</v>
      </c>
      <c r="AG6" s="421">
        <f t="shared" si="32"/>
        <v>6</v>
      </c>
      <c r="AH6" s="421">
        <f t="shared" si="33"/>
        <v>28</v>
      </c>
      <c r="AI6" s="421">
        <f t="shared" si="34"/>
        <v>20</v>
      </c>
      <c r="AJ6" s="420">
        <f t="shared" si="35"/>
        <v>2</v>
      </c>
      <c r="AK6" s="422">
        <f t="shared" si="36"/>
        <v>0.43795620437956201</v>
      </c>
      <c r="AL6" s="422">
        <f t="shared" si="37"/>
        <v>0.11944260119442601</v>
      </c>
      <c r="AM6" s="422">
        <f t="shared" si="38"/>
        <v>0.55739880557398802</v>
      </c>
      <c r="AN6" s="5">
        <f t="shared" si="39"/>
        <v>16.59</v>
      </c>
      <c r="AO6" s="5">
        <f t="shared" si="40"/>
        <v>14.219999999999999</v>
      </c>
      <c r="AP6" s="5">
        <f t="shared" si="41"/>
        <v>0.28307896483078965</v>
      </c>
      <c r="AQ6" s="5">
        <f t="shared" si="42"/>
        <v>3.94</v>
      </c>
      <c r="AR6" s="5">
        <f t="shared" si="43"/>
        <v>7.8433974784339749E-2</v>
      </c>
      <c r="AS6" s="5">
        <f t="shared" si="44"/>
        <v>18.16</v>
      </c>
      <c r="AT6" s="5">
        <f t="shared" si="45"/>
        <v>0.36151293961512937</v>
      </c>
      <c r="AU6" s="21">
        <f t="shared" si="46"/>
        <v>0.39637826961770622</v>
      </c>
      <c r="AV6" s="21">
        <f t="shared" si="47"/>
        <v>0.57009587976159626</v>
      </c>
      <c r="AW6" s="6">
        <f t="shared" si="48"/>
        <v>29</v>
      </c>
      <c r="AX6" s="6">
        <f t="shared" si="49"/>
        <v>6</v>
      </c>
      <c r="AY6" s="21">
        <f t="shared" si="50"/>
        <v>0.20689655172413793</v>
      </c>
      <c r="AZ6" s="304">
        <f t="shared" si="51"/>
        <v>27</v>
      </c>
      <c r="BA6" s="305">
        <f t="shared" si="52"/>
        <v>0.53749170537491708</v>
      </c>
      <c r="BB6" s="413">
        <f t="shared" si="53"/>
        <v>21.911000000000001</v>
      </c>
      <c r="BC6" s="413">
        <f t="shared" si="54"/>
        <v>0.43618447246184477</v>
      </c>
      <c r="BD6" s="6">
        <f t="shared" si="55"/>
        <v>1518</v>
      </c>
      <c r="BE6" s="5">
        <f t="shared" si="56"/>
        <v>30.21897810218978</v>
      </c>
      <c r="BF6" s="6">
        <f t="shared" si="57"/>
        <v>1345</v>
      </c>
      <c r="BG6" s="5">
        <f t="shared" si="58"/>
        <v>26.775049767750499</v>
      </c>
      <c r="BH6" s="21">
        <f t="shared" si="59"/>
        <v>0.88603425559947302</v>
      </c>
      <c r="BI6" s="417">
        <f t="shared" si="60"/>
        <v>173</v>
      </c>
      <c r="BJ6" s="418">
        <f t="shared" si="61"/>
        <v>3.4439283344392835</v>
      </c>
      <c r="BK6" s="195">
        <f t="shared" si="62"/>
        <v>68</v>
      </c>
      <c r="BL6" s="5">
        <f t="shared" si="63"/>
        <v>1.3536828135368282</v>
      </c>
      <c r="BM6" s="21">
        <f t="shared" si="64"/>
        <v>4.4795783926218712E-2</v>
      </c>
      <c r="BN6" s="195">
        <f t="shared" si="65"/>
        <v>59</v>
      </c>
      <c r="BO6" s="185">
        <f t="shared" si="66"/>
        <v>1.1745189117451891</v>
      </c>
      <c r="BP6" s="5">
        <f t="shared" si="67"/>
        <v>9.8333333333333339</v>
      </c>
      <c r="BQ6" s="21">
        <f t="shared" si="68"/>
        <v>0.10169491525423729</v>
      </c>
      <c r="BR6" s="5">
        <f t="shared" si="69"/>
        <v>-2.06</v>
      </c>
      <c r="BS6" s="5">
        <f t="shared" si="70"/>
        <v>6.6779661016949154E-2</v>
      </c>
      <c r="BT6" s="24">
        <f t="shared" si="71"/>
        <v>76.627118644067792</v>
      </c>
      <c r="BU6" s="5">
        <f t="shared" si="72"/>
        <v>36.167999999999999</v>
      </c>
      <c r="BV6" s="5">
        <f t="shared" si="73"/>
        <v>5.41</v>
      </c>
      <c r="BW6" s="5">
        <f t="shared" si="74"/>
        <v>3.83</v>
      </c>
      <c r="BX6" s="6">
        <f t="shared" si="75"/>
        <v>124</v>
      </c>
      <c r="BY6" s="5">
        <f t="shared" si="76"/>
        <v>2.4684804246848042</v>
      </c>
      <c r="BZ6" s="6">
        <f t="shared" si="77"/>
        <v>68</v>
      </c>
      <c r="CA6" s="5">
        <f t="shared" si="78"/>
        <v>1.3536828135368282</v>
      </c>
      <c r="CB6" s="6">
        <f t="shared" si="79"/>
        <v>59</v>
      </c>
      <c r="CC6" s="5">
        <f t="shared" si="80"/>
        <v>1.1745189117451891</v>
      </c>
      <c r="CD6" s="5">
        <f t="shared" si="81"/>
        <v>1.1347047113470472</v>
      </c>
      <c r="CE6" s="21">
        <f t="shared" si="82"/>
        <v>0.45967741935483869</v>
      </c>
      <c r="CF6" s="5">
        <f t="shared" si="83"/>
        <v>6.2</v>
      </c>
      <c r="CG6" s="5">
        <f t="shared" si="84"/>
        <v>2.6818181818181817</v>
      </c>
      <c r="CH6" s="21">
        <f t="shared" si="85"/>
        <v>0.16129032258064516</v>
      </c>
      <c r="CI6" s="298">
        <f t="shared" si="86"/>
        <v>17</v>
      </c>
      <c r="CJ6" s="298">
        <f t="shared" si="87"/>
        <v>2</v>
      </c>
      <c r="CK6" s="298">
        <f t="shared" si="88"/>
        <v>3</v>
      </c>
      <c r="CL6" s="21">
        <f t="shared" si="89"/>
        <v>4.9767750497677503E-2</v>
      </c>
      <c r="CM6" s="6">
        <f t="shared" si="90"/>
        <v>10.4</v>
      </c>
      <c r="CN6" s="5">
        <f t="shared" si="91"/>
        <v>0.20703384207033843</v>
      </c>
      <c r="CO6" s="167">
        <f t="shared" si="92"/>
        <v>242</v>
      </c>
      <c r="CP6" s="5">
        <f t="shared" si="93"/>
        <v>4.8175182481751824</v>
      </c>
      <c r="CQ6" s="6">
        <f t="shared" si="94"/>
        <v>151</v>
      </c>
      <c r="CR6" s="5">
        <f t="shared" si="95"/>
        <v>3.0059721300597211</v>
      </c>
      <c r="CS6" s="21">
        <f t="shared" si="96"/>
        <v>0.62396694214876036</v>
      </c>
      <c r="CT6" s="6">
        <f t="shared" si="97"/>
        <v>150.94</v>
      </c>
      <c r="CU6" s="5">
        <f t="shared" si="98"/>
        <v>3.0047777040477768</v>
      </c>
      <c r="CV6" s="6">
        <f t="shared" si="99"/>
        <v>155.94</v>
      </c>
      <c r="CW6" s="5">
        <f t="shared" si="100"/>
        <v>3.1043132050431321</v>
      </c>
      <c r="CX6" s="385">
        <f t="shared" si="101"/>
        <v>9.9072063702720641</v>
      </c>
      <c r="CY6" s="5">
        <f t="shared" si="102"/>
        <v>37.166556071665561</v>
      </c>
      <c r="CZ6" s="5">
        <f t="shared" si="103"/>
        <v>29.502322495023225</v>
      </c>
      <c r="DA6" s="6">
        <f t="shared" si="104"/>
        <v>127</v>
      </c>
      <c r="DB6" s="5">
        <f t="shared" si="105"/>
        <v>2.5282017252820173</v>
      </c>
      <c r="DC6" s="6">
        <f t="shared" si="106"/>
        <v>317</v>
      </c>
      <c r="DD6" s="5">
        <f t="shared" si="107"/>
        <v>6.3105507631055078</v>
      </c>
      <c r="DE6" s="6">
        <f t="shared" si="108"/>
        <v>196</v>
      </c>
      <c r="DF6" s="5">
        <f t="shared" si="109"/>
        <v>3.9017916390179161</v>
      </c>
      <c r="DG6" s="6">
        <f t="shared" si="110"/>
        <v>264</v>
      </c>
      <c r="DH6" s="5">
        <f t="shared" si="111"/>
        <v>5.2554744525547443</v>
      </c>
      <c r="DI6" s="5">
        <f t="shared" si="112"/>
        <v>10.4</v>
      </c>
      <c r="DJ6" s="5">
        <f t="shared" si="113"/>
        <v>541.29999999999995</v>
      </c>
      <c r="DK6" s="5">
        <f t="shared" si="114"/>
        <v>10.775713337757132</v>
      </c>
      <c r="DL6" s="286">
        <f t="shared" si="115"/>
        <v>341.58666666666664</v>
      </c>
      <c r="DM6" s="287">
        <f t="shared" si="116"/>
        <v>6.8</v>
      </c>
      <c r="DN6" s="60">
        <f t="shared" si="117"/>
        <v>6.89</v>
      </c>
      <c r="DO6" t="s">
        <v>19</v>
      </c>
      <c r="DP6" t="s">
        <v>989</v>
      </c>
      <c r="DQ6" t="s">
        <v>1112</v>
      </c>
      <c r="DR6">
        <v>29</v>
      </c>
      <c r="DS6" t="s">
        <v>1105</v>
      </c>
      <c r="DT6" t="s">
        <v>541</v>
      </c>
      <c r="DU6" t="s">
        <v>573</v>
      </c>
      <c r="DV6" t="s">
        <v>1113</v>
      </c>
      <c r="DW6" t="s">
        <v>1114</v>
      </c>
      <c r="DX6" s="430">
        <v>47483</v>
      </c>
      <c r="DY6">
        <v>4521</v>
      </c>
      <c r="DZ6" t="s">
        <v>1115</v>
      </c>
      <c r="EA6">
        <v>3</v>
      </c>
      <c r="EB6">
        <v>22</v>
      </c>
      <c r="EC6">
        <v>6</v>
      </c>
      <c r="ED6">
        <v>10</v>
      </c>
      <c r="EE6">
        <v>10.4</v>
      </c>
      <c r="EF6" t="s">
        <v>1116</v>
      </c>
      <c r="EG6" t="s">
        <v>1117</v>
      </c>
      <c r="EH6">
        <v>48</v>
      </c>
      <c r="EI6">
        <v>54</v>
      </c>
      <c r="EJ6">
        <v>1518</v>
      </c>
      <c r="EK6">
        <v>1345</v>
      </c>
      <c r="EL6">
        <v>59</v>
      </c>
      <c r="EM6">
        <v>68</v>
      </c>
      <c r="EN6">
        <v>27</v>
      </c>
      <c r="EO6">
        <v>127</v>
      </c>
      <c r="EP6">
        <v>59</v>
      </c>
      <c r="EQ6">
        <v>145</v>
      </c>
      <c r="ER6">
        <v>44</v>
      </c>
      <c r="ES6">
        <v>29</v>
      </c>
      <c r="ET6">
        <v>6</v>
      </c>
      <c r="EU6">
        <v>29</v>
      </c>
      <c r="EV6">
        <v>6</v>
      </c>
      <c r="EW6">
        <v>2</v>
      </c>
      <c r="EX6">
        <v>0.8</v>
      </c>
      <c r="EY6">
        <v>0</v>
      </c>
      <c r="EZ6">
        <v>3</v>
      </c>
      <c r="FA6">
        <v>2</v>
      </c>
      <c r="FB6">
        <v>6.8</v>
      </c>
      <c r="FC6" t="s">
        <v>1118</v>
      </c>
      <c r="FD6">
        <v>6.89</v>
      </c>
    </row>
    <row r="7" spans="1:160" ht="24.95" customHeight="1" thickBot="1" x14ac:dyDescent="0.3">
      <c r="A7" s="29" t="str">
        <f t="shared" si="0"/>
        <v>6º</v>
      </c>
      <c r="B7" s="67" t="str">
        <f t="shared" si="1"/>
        <v>Jhonatan Candia</v>
      </c>
      <c r="C7" s="83" t="str">
        <f t="shared" si="2"/>
        <v>URU</v>
      </c>
      <c r="D7" s="9" t="str">
        <f t="shared" si="3"/>
        <v>Barracas Central</v>
      </c>
      <c r="E7" s="91" t="str">
        <f t="shared" si="4"/>
        <v>Pé Direito</v>
      </c>
      <c r="F7" s="155">
        <f t="shared" si="5"/>
        <v>1.77</v>
      </c>
      <c r="G7" s="35">
        <f t="shared" si="6"/>
        <v>46752</v>
      </c>
      <c r="H7" s="7">
        <f t="shared" si="7"/>
        <v>31</v>
      </c>
      <c r="I7" s="299" t="str">
        <f t="shared" si="8"/>
        <v>20,5m € - 34m € p/m</v>
      </c>
      <c r="J7" s="3" t="str">
        <f t="shared" si="9"/>
        <v>200m € - 2M €</v>
      </c>
      <c r="K7" s="89">
        <f t="shared" si="10"/>
        <v>31.398046398046404</v>
      </c>
      <c r="L7" s="133">
        <f t="shared" si="11"/>
        <v>25.855555555555554</v>
      </c>
      <c r="M7" s="134">
        <f t="shared" si="12"/>
        <v>37</v>
      </c>
      <c r="N7" s="134">
        <f t="shared" si="13"/>
        <v>62.891891891891895</v>
      </c>
      <c r="O7" s="173">
        <f t="shared" si="14"/>
        <v>0.7</v>
      </c>
      <c r="P7" s="402">
        <f t="shared" si="15"/>
        <v>11</v>
      </c>
      <c r="Q7" s="402">
        <f t="shared" si="16"/>
        <v>2</v>
      </c>
      <c r="R7" s="402">
        <f t="shared" si="17"/>
        <v>13</v>
      </c>
      <c r="S7" s="6">
        <f t="shared" si="18"/>
        <v>0</v>
      </c>
      <c r="T7" s="24">
        <f t="shared" si="19"/>
        <v>5000</v>
      </c>
      <c r="U7" s="21">
        <f t="shared" si="20"/>
        <v>0</v>
      </c>
      <c r="V7" s="298">
        <f t="shared" si="21"/>
        <v>0</v>
      </c>
      <c r="W7" s="300">
        <f t="shared" si="22"/>
        <v>0</v>
      </c>
      <c r="X7" s="298">
        <f t="shared" si="23"/>
        <v>0</v>
      </c>
      <c r="Y7" s="300">
        <f t="shared" si="24"/>
        <v>0</v>
      </c>
      <c r="Z7" s="290">
        <f t="shared" si="25"/>
        <v>0</v>
      </c>
      <c r="AA7" s="298">
        <f t="shared" si="26"/>
        <v>6</v>
      </c>
      <c r="AB7" s="286">
        <f t="shared" si="27"/>
        <v>2</v>
      </c>
      <c r="AC7" s="286">
        <f t="shared" si="28"/>
        <v>2</v>
      </c>
      <c r="AD7" s="286">
        <f t="shared" si="29"/>
        <v>0</v>
      </c>
      <c r="AE7" s="21">
        <f t="shared" si="30"/>
        <v>1</v>
      </c>
      <c r="AF7" s="421">
        <f t="shared" si="31"/>
        <v>11</v>
      </c>
      <c r="AG7" s="421">
        <f t="shared" si="32"/>
        <v>2</v>
      </c>
      <c r="AH7" s="421">
        <f t="shared" si="33"/>
        <v>13</v>
      </c>
      <c r="AI7" s="421">
        <f t="shared" si="34"/>
        <v>9</v>
      </c>
      <c r="AJ7" s="420">
        <f t="shared" si="35"/>
        <v>0</v>
      </c>
      <c r="AK7" s="422">
        <f t="shared" si="36"/>
        <v>0.42544048130640311</v>
      </c>
      <c r="AL7" s="422">
        <f t="shared" si="37"/>
        <v>7.7352814782982379E-2</v>
      </c>
      <c r="AM7" s="422">
        <f t="shared" si="38"/>
        <v>0.5027932960893855</v>
      </c>
      <c r="AN7" s="5">
        <f t="shared" si="39"/>
        <v>6.88</v>
      </c>
      <c r="AO7" s="5">
        <f t="shared" si="40"/>
        <v>5.3</v>
      </c>
      <c r="AP7" s="5">
        <f t="shared" si="41"/>
        <v>0.20498495917490331</v>
      </c>
      <c r="AQ7" s="5">
        <f t="shared" si="42"/>
        <v>1.66</v>
      </c>
      <c r="AR7" s="5">
        <f t="shared" si="43"/>
        <v>6.4202836269875371E-2</v>
      </c>
      <c r="AS7" s="5">
        <f t="shared" si="44"/>
        <v>6.96</v>
      </c>
      <c r="AT7" s="5">
        <f t="shared" si="45"/>
        <v>0.26918779544477872</v>
      </c>
      <c r="AU7" s="21">
        <f t="shared" si="46"/>
        <v>0.45355191256830596</v>
      </c>
      <c r="AV7" s="21">
        <f t="shared" si="47"/>
        <v>0.61521252796420589</v>
      </c>
      <c r="AW7" s="6">
        <f t="shared" si="48"/>
        <v>15</v>
      </c>
      <c r="AX7" s="6">
        <f t="shared" si="49"/>
        <v>5</v>
      </c>
      <c r="AY7" s="21">
        <f t="shared" si="50"/>
        <v>0.33333333333333331</v>
      </c>
      <c r="AZ7" s="304">
        <f t="shared" si="51"/>
        <v>29</v>
      </c>
      <c r="BA7" s="305">
        <f t="shared" si="52"/>
        <v>1.1216158143532446</v>
      </c>
      <c r="BB7" s="413">
        <f t="shared" si="53"/>
        <v>12.814</v>
      </c>
      <c r="BC7" s="413">
        <f t="shared" si="54"/>
        <v>0.49559948431456813</v>
      </c>
      <c r="BD7" s="6">
        <f t="shared" si="55"/>
        <v>863</v>
      </c>
      <c r="BE7" s="5">
        <f t="shared" si="56"/>
        <v>33.377739578856897</v>
      </c>
      <c r="BF7" s="6">
        <f t="shared" si="57"/>
        <v>780</v>
      </c>
      <c r="BG7" s="5">
        <f t="shared" si="58"/>
        <v>30.16759776536313</v>
      </c>
      <c r="BH7" s="21">
        <f t="shared" si="59"/>
        <v>0.9038238702201622</v>
      </c>
      <c r="BI7" s="417">
        <f t="shared" si="60"/>
        <v>83</v>
      </c>
      <c r="BJ7" s="418">
        <f t="shared" si="61"/>
        <v>3.2101418134937689</v>
      </c>
      <c r="BK7" s="195">
        <f t="shared" si="62"/>
        <v>26</v>
      </c>
      <c r="BL7" s="5">
        <f t="shared" si="63"/>
        <v>1.005586592178771</v>
      </c>
      <c r="BM7" s="21">
        <f t="shared" si="64"/>
        <v>3.0127462340672075E-2</v>
      </c>
      <c r="BN7" s="195">
        <f t="shared" si="65"/>
        <v>27</v>
      </c>
      <c r="BO7" s="185">
        <f t="shared" si="66"/>
        <v>1.0442629995702621</v>
      </c>
      <c r="BP7" s="5">
        <f t="shared" si="67"/>
        <v>13.5</v>
      </c>
      <c r="BQ7" s="21">
        <f t="shared" si="68"/>
        <v>7.407407407407407E-2</v>
      </c>
      <c r="BR7" s="5">
        <f t="shared" si="69"/>
        <v>-0.34000000000000008</v>
      </c>
      <c r="BS7" s="5">
        <f t="shared" si="70"/>
        <v>6.1481481481481477E-2</v>
      </c>
      <c r="BT7" s="24">
        <f t="shared" si="71"/>
        <v>86.18518518518519</v>
      </c>
      <c r="BU7" s="5">
        <f t="shared" si="72"/>
        <v>36.936507936507937</v>
      </c>
      <c r="BV7" s="5">
        <f t="shared" si="73"/>
        <v>4.12</v>
      </c>
      <c r="BW7" s="5">
        <f t="shared" si="74"/>
        <v>2.54</v>
      </c>
      <c r="BX7" s="6">
        <f t="shared" si="75"/>
        <v>63</v>
      </c>
      <c r="BY7" s="5">
        <f t="shared" si="76"/>
        <v>2.4366136656639452</v>
      </c>
      <c r="BZ7" s="6">
        <f t="shared" si="77"/>
        <v>31</v>
      </c>
      <c r="CA7" s="5">
        <f t="shared" si="78"/>
        <v>1.1989686291362269</v>
      </c>
      <c r="CB7" s="6">
        <f t="shared" si="79"/>
        <v>34</v>
      </c>
      <c r="CC7" s="5">
        <f t="shared" si="80"/>
        <v>1.3149978513107006</v>
      </c>
      <c r="CD7" s="5">
        <f t="shared" si="81"/>
        <v>1.2376450365277181</v>
      </c>
      <c r="CE7" s="21">
        <f t="shared" si="82"/>
        <v>0.50793650793650791</v>
      </c>
      <c r="CF7" s="5">
        <f t="shared" si="83"/>
        <v>7</v>
      </c>
      <c r="CG7" s="5">
        <f t="shared" si="84"/>
        <v>3.0909090909090908</v>
      </c>
      <c r="CH7" s="21">
        <f t="shared" si="85"/>
        <v>0.14285714285714285</v>
      </c>
      <c r="CI7" s="298">
        <f t="shared" si="86"/>
        <v>9</v>
      </c>
      <c r="CJ7" s="298">
        <f t="shared" si="87"/>
        <v>0</v>
      </c>
      <c r="CK7" s="298">
        <f t="shared" si="88"/>
        <v>2</v>
      </c>
      <c r="CL7" s="21">
        <f t="shared" si="89"/>
        <v>0</v>
      </c>
      <c r="CM7" s="6">
        <f t="shared" si="90"/>
        <v>21.3</v>
      </c>
      <c r="CN7" s="5">
        <f t="shared" si="91"/>
        <v>0.82380747743876237</v>
      </c>
      <c r="CO7" s="167">
        <f t="shared" si="92"/>
        <v>136</v>
      </c>
      <c r="CP7" s="5">
        <f t="shared" si="93"/>
        <v>5.2599914052428023</v>
      </c>
      <c r="CQ7" s="6">
        <f t="shared" si="94"/>
        <v>95</v>
      </c>
      <c r="CR7" s="5">
        <f t="shared" si="95"/>
        <v>3.6742587021916631</v>
      </c>
      <c r="CS7" s="21">
        <f t="shared" si="96"/>
        <v>0.69852941176470584</v>
      </c>
      <c r="CT7" s="6">
        <f t="shared" si="97"/>
        <v>76.16</v>
      </c>
      <c r="CU7" s="5">
        <f t="shared" si="98"/>
        <v>2.9455951869359689</v>
      </c>
      <c r="CV7" s="6">
        <f t="shared" si="99"/>
        <v>79.41</v>
      </c>
      <c r="CW7" s="5">
        <f t="shared" si="100"/>
        <v>3.0712935109583155</v>
      </c>
      <c r="CX7" s="385">
        <f t="shared" si="101"/>
        <v>8.288895573700044</v>
      </c>
      <c r="CY7" s="5">
        <f t="shared" si="102"/>
        <v>40.648904168457243</v>
      </c>
      <c r="CZ7" s="5">
        <f t="shared" si="103"/>
        <v>32.372152986678131</v>
      </c>
      <c r="DA7" s="6">
        <f t="shared" si="104"/>
        <v>53</v>
      </c>
      <c r="DB7" s="5">
        <f t="shared" si="105"/>
        <v>2.0498495917490334</v>
      </c>
      <c r="DC7" s="6">
        <f t="shared" si="106"/>
        <v>164</v>
      </c>
      <c r="DD7" s="5">
        <f t="shared" si="107"/>
        <v>6.3429308122045551</v>
      </c>
      <c r="DE7" s="6">
        <f t="shared" si="108"/>
        <v>96</v>
      </c>
      <c r="DF7" s="5">
        <f t="shared" si="109"/>
        <v>3.7129351095831544</v>
      </c>
      <c r="DG7" s="6">
        <f t="shared" si="110"/>
        <v>124</v>
      </c>
      <c r="DH7" s="5">
        <f t="shared" si="111"/>
        <v>4.7958745165449077</v>
      </c>
      <c r="DI7" s="5">
        <f t="shared" si="112"/>
        <v>21.3</v>
      </c>
      <c r="DJ7" s="5">
        <f t="shared" si="113"/>
        <v>261</v>
      </c>
      <c r="DK7" s="5">
        <f t="shared" si="114"/>
        <v>10.094542329179202</v>
      </c>
      <c r="DL7" s="286">
        <f t="shared" si="115"/>
        <v>204.25888888888889</v>
      </c>
      <c r="DM7" s="287">
        <f t="shared" si="116"/>
        <v>7.9</v>
      </c>
      <c r="DN7" s="60">
        <f t="shared" si="117"/>
        <v>6.81</v>
      </c>
      <c r="DO7"/>
      <c r="DP7" t="s">
        <v>1119</v>
      </c>
      <c r="DQ7" t="s">
        <v>1120</v>
      </c>
      <c r="DR7">
        <v>31</v>
      </c>
      <c r="DS7" t="s">
        <v>1121</v>
      </c>
      <c r="DT7" t="s">
        <v>605</v>
      </c>
      <c r="DU7" t="s">
        <v>573</v>
      </c>
      <c r="DV7" t="s">
        <v>1122</v>
      </c>
      <c r="DW7" t="s">
        <v>1123</v>
      </c>
      <c r="DX7" s="430">
        <v>46752</v>
      </c>
      <c r="DY7">
        <v>2327</v>
      </c>
      <c r="DZ7" t="s">
        <v>1124</v>
      </c>
      <c r="EA7">
        <v>0</v>
      </c>
      <c r="EB7">
        <v>11</v>
      </c>
      <c r="EC7">
        <v>2</v>
      </c>
      <c r="ED7">
        <v>4</v>
      </c>
      <c r="EE7">
        <v>21.3</v>
      </c>
      <c r="EF7" t="s">
        <v>1125</v>
      </c>
      <c r="EG7" t="s">
        <v>1126</v>
      </c>
      <c r="EH7">
        <v>26</v>
      </c>
      <c r="EI7">
        <v>53</v>
      </c>
      <c r="EJ7">
        <v>863</v>
      </c>
      <c r="EK7">
        <v>780</v>
      </c>
      <c r="EL7">
        <v>27</v>
      </c>
      <c r="EM7">
        <v>26</v>
      </c>
      <c r="EN7">
        <v>29</v>
      </c>
      <c r="EO7">
        <v>65</v>
      </c>
      <c r="EP7">
        <v>34</v>
      </c>
      <c r="EQ7">
        <v>66</v>
      </c>
      <c r="ER7">
        <v>19</v>
      </c>
      <c r="ES7">
        <v>15</v>
      </c>
      <c r="ET7">
        <v>5</v>
      </c>
      <c r="EU7">
        <v>15</v>
      </c>
      <c r="EV7">
        <v>5</v>
      </c>
      <c r="EW7">
        <v>0</v>
      </c>
      <c r="EX7">
        <v>0.9</v>
      </c>
      <c r="EY7">
        <v>6</v>
      </c>
      <c r="EZ7">
        <v>2</v>
      </c>
      <c r="FA7">
        <v>2</v>
      </c>
      <c r="FB7">
        <v>7.9</v>
      </c>
      <c r="FC7" t="s">
        <v>1127</v>
      </c>
      <c r="FD7">
        <v>6.81</v>
      </c>
    </row>
    <row r="8" spans="1:160" ht="24.95" customHeight="1" thickBot="1" x14ac:dyDescent="0.3">
      <c r="A8" s="29" t="str">
        <f t="shared" si="0"/>
        <v>7º</v>
      </c>
      <c r="B8" s="67" t="str">
        <f t="shared" si="1"/>
        <v>Gustavo Henrique</v>
      </c>
      <c r="C8" s="83" t="str">
        <f t="shared" si="2"/>
        <v>BRA</v>
      </c>
      <c r="D8" s="9" t="str">
        <f t="shared" si="3"/>
        <v>Anápolis</v>
      </c>
      <c r="E8" s="91" t="str">
        <f t="shared" si="4"/>
        <v>Pé Direito</v>
      </c>
      <c r="F8" s="155">
        <f t="shared" si="5"/>
        <v>1.76</v>
      </c>
      <c r="G8" s="35">
        <f t="shared" si="6"/>
        <v>46752</v>
      </c>
      <c r="H8" s="7">
        <f t="shared" si="7"/>
        <v>27</v>
      </c>
      <c r="I8" s="299" t="str">
        <f t="shared" si="8"/>
        <v>11,5m € - 13m € p/m</v>
      </c>
      <c r="J8" s="3" t="str">
        <f t="shared" si="9"/>
        <v>240m € - 700m €</v>
      </c>
      <c r="K8" s="89">
        <f t="shared" si="10"/>
        <v>31.398046398046404</v>
      </c>
      <c r="L8" s="133">
        <f t="shared" si="11"/>
        <v>24.022222222222222</v>
      </c>
      <c r="M8" s="134">
        <f t="shared" si="12"/>
        <v>32</v>
      </c>
      <c r="N8" s="134">
        <f t="shared" si="13"/>
        <v>67.5625</v>
      </c>
      <c r="O8" s="173">
        <f t="shared" si="14"/>
        <v>0.88</v>
      </c>
      <c r="P8" s="402">
        <f t="shared" si="15"/>
        <v>4</v>
      </c>
      <c r="Q8" s="402">
        <f t="shared" si="16"/>
        <v>4</v>
      </c>
      <c r="R8" s="402">
        <f t="shared" si="17"/>
        <v>8</v>
      </c>
      <c r="S8" s="6">
        <f t="shared" si="18"/>
        <v>1</v>
      </c>
      <c r="T8" s="24">
        <f t="shared" si="19"/>
        <v>2162</v>
      </c>
      <c r="U8" s="21">
        <f t="shared" si="20"/>
        <v>4.1628122109158186E-2</v>
      </c>
      <c r="V8" s="298">
        <f t="shared" si="21"/>
        <v>4</v>
      </c>
      <c r="W8" s="300">
        <f t="shared" si="22"/>
        <v>0.16651248843663274</v>
      </c>
      <c r="X8" s="298">
        <f t="shared" si="23"/>
        <v>0</v>
      </c>
      <c r="Y8" s="300">
        <f t="shared" si="24"/>
        <v>0</v>
      </c>
      <c r="Z8" s="290">
        <f t="shared" si="25"/>
        <v>0</v>
      </c>
      <c r="AA8" s="298">
        <f t="shared" si="26"/>
        <v>0</v>
      </c>
      <c r="AB8" s="286">
        <f t="shared" si="27"/>
        <v>0</v>
      </c>
      <c r="AC8" s="286">
        <f t="shared" si="28"/>
        <v>0</v>
      </c>
      <c r="AD8" s="286">
        <f t="shared" si="29"/>
        <v>0</v>
      </c>
      <c r="AE8" s="21">
        <f t="shared" si="30"/>
        <v>9.9999999999999995E-8</v>
      </c>
      <c r="AF8" s="421">
        <f t="shared" si="31"/>
        <v>4</v>
      </c>
      <c r="AG8" s="421">
        <f t="shared" si="32"/>
        <v>4</v>
      </c>
      <c r="AH8" s="421">
        <f t="shared" si="33"/>
        <v>8</v>
      </c>
      <c r="AI8" s="421">
        <f t="shared" si="34"/>
        <v>4</v>
      </c>
      <c r="AJ8" s="420">
        <f t="shared" si="35"/>
        <v>1</v>
      </c>
      <c r="AK8" s="422">
        <f t="shared" si="36"/>
        <v>0.16651248843663274</v>
      </c>
      <c r="AL8" s="422">
        <f t="shared" si="37"/>
        <v>0.16651248843663274</v>
      </c>
      <c r="AM8" s="422">
        <f t="shared" si="38"/>
        <v>0.33302497687326549</v>
      </c>
      <c r="AN8" s="5">
        <f t="shared" si="39"/>
        <v>5.17</v>
      </c>
      <c r="AO8" s="5">
        <f t="shared" si="40"/>
        <v>5.17</v>
      </c>
      <c r="AP8" s="5">
        <f t="shared" si="41"/>
        <v>0.21521739130434783</v>
      </c>
      <c r="AQ8" s="5">
        <f t="shared" si="42"/>
        <v>4.0999999999999996</v>
      </c>
      <c r="AR8" s="5">
        <f t="shared" si="43"/>
        <v>0.17067530064754854</v>
      </c>
      <c r="AS8" s="5">
        <f t="shared" si="44"/>
        <v>9.27</v>
      </c>
      <c r="AT8" s="5">
        <f t="shared" si="45"/>
        <v>0.38589269195189635</v>
      </c>
      <c r="AU8" s="21">
        <f t="shared" si="46"/>
        <v>0.50617283950617287</v>
      </c>
      <c r="AV8" s="21">
        <f t="shared" si="47"/>
        <v>0.4362050163576881</v>
      </c>
      <c r="AW8" s="6">
        <f t="shared" si="48"/>
        <v>59</v>
      </c>
      <c r="AX8" s="6">
        <f t="shared" si="49"/>
        <v>13</v>
      </c>
      <c r="AY8" s="21">
        <f t="shared" si="50"/>
        <v>0.22033898305084745</v>
      </c>
      <c r="AZ8" s="304">
        <f t="shared" si="51"/>
        <v>85</v>
      </c>
      <c r="BA8" s="305">
        <f t="shared" si="52"/>
        <v>3.5383903792784457</v>
      </c>
      <c r="BB8" s="413">
        <f t="shared" si="53"/>
        <v>29.585000000000001</v>
      </c>
      <c r="BC8" s="413">
        <f t="shared" si="54"/>
        <v>1.2315679925994449</v>
      </c>
      <c r="BD8" s="6">
        <f t="shared" si="55"/>
        <v>1010</v>
      </c>
      <c r="BE8" s="5">
        <f t="shared" si="56"/>
        <v>42.044403330249771</v>
      </c>
      <c r="BF8" s="6">
        <f t="shared" si="57"/>
        <v>901</v>
      </c>
      <c r="BG8" s="5">
        <f t="shared" si="58"/>
        <v>37.506938020351527</v>
      </c>
      <c r="BH8" s="21">
        <f t="shared" si="59"/>
        <v>0.89207920792079209</v>
      </c>
      <c r="BI8" s="417">
        <f t="shared" si="60"/>
        <v>109</v>
      </c>
      <c r="BJ8" s="418">
        <f t="shared" si="61"/>
        <v>4.5374653098982423</v>
      </c>
      <c r="BK8" s="195">
        <f t="shared" si="62"/>
        <v>74</v>
      </c>
      <c r="BL8" s="5">
        <f t="shared" si="63"/>
        <v>3.080481036077706</v>
      </c>
      <c r="BM8" s="21">
        <f t="shared" si="64"/>
        <v>7.3267326732673263E-2</v>
      </c>
      <c r="BN8" s="195">
        <f t="shared" si="65"/>
        <v>46</v>
      </c>
      <c r="BO8" s="185">
        <f t="shared" si="66"/>
        <v>1.9148936170212767</v>
      </c>
      <c r="BP8" s="5">
        <f t="shared" si="67"/>
        <v>11.5</v>
      </c>
      <c r="BQ8" s="21">
        <f t="shared" si="68"/>
        <v>8.6956521739130432E-2</v>
      </c>
      <c r="BR8" s="5">
        <f t="shared" si="69"/>
        <v>9.9999999999999645E-2</v>
      </c>
      <c r="BS8" s="5">
        <f t="shared" si="70"/>
        <v>8.9130434782608695E-2</v>
      </c>
      <c r="BT8" s="24">
        <f t="shared" si="71"/>
        <v>47</v>
      </c>
      <c r="BU8" s="5">
        <f t="shared" si="72"/>
        <v>28.826666666666668</v>
      </c>
      <c r="BV8" s="5">
        <f t="shared" si="73"/>
        <v>-1.17</v>
      </c>
      <c r="BW8" s="5">
        <f t="shared" si="74"/>
        <v>-1.17</v>
      </c>
      <c r="BX8" s="6">
        <f t="shared" si="75"/>
        <v>37</v>
      </c>
      <c r="BY8" s="5">
        <f t="shared" si="76"/>
        <v>1.540240518038853</v>
      </c>
      <c r="BZ8" s="6">
        <f t="shared" si="77"/>
        <v>19</v>
      </c>
      <c r="CA8" s="5">
        <f t="shared" si="78"/>
        <v>0.79093432007400555</v>
      </c>
      <c r="CB8" s="6">
        <f t="shared" si="79"/>
        <v>18</v>
      </c>
      <c r="CC8" s="5">
        <f t="shared" si="80"/>
        <v>0.74930619796484732</v>
      </c>
      <c r="CD8" s="5">
        <f t="shared" si="81"/>
        <v>0.74930619796484732</v>
      </c>
      <c r="CE8" s="21">
        <f t="shared" si="82"/>
        <v>0.48648648648648651</v>
      </c>
      <c r="CF8" s="5">
        <f t="shared" si="83"/>
        <v>9.25</v>
      </c>
      <c r="CG8" s="5">
        <f t="shared" si="84"/>
        <v>4.5</v>
      </c>
      <c r="CH8" s="21">
        <f t="shared" si="85"/>
        <v>0.10810810810810811</v>
      </c>
      <c r="CI8" s="298">
        <f t="shared" si="86"/>
        <v>3</v>
      </c>
      <c r="CJ8" s="298">
        <f t="shared" si="87"/>
        <v>1</v>
      </c>
      <c r="CK8" s="298">
        <f t="shared" si="88"/>
        <v>0</v>
      </c>
      <c r="CL8" s="21">
        <f t="shared" si="89"/>
        <v>0.13876040703052731</v>
      </c>
      <c r="CM8" s="6">
        <f t="shared" si="90"/>
        <v>13.4</v>
      </c>
      <c r="CN8" s="5">
        <f t="shared" si="91"/>
        <v>0.55781683626271972</v>
      </c>
      <c r="CO8" s="167">
        <f t="shared" si="92"/>
        <v>227</v>
      </c>
      <c r="CP8" s="5">
        <f t="shared" si="93"/>
        <v>9.4495837187789089</v>
      </c>
      <c r="CQ8" s="6">
        <f t="shared" si="94"/>
        <v>162</v>
      </c>
      <c r="CR8" s="5">
        <f t="shared" si="95"/>
        <v>6.7437557816836264</v>
      </c>
      <c r="CS8" s="21">
        <f t="shared" si="96"/>
        <v>0.71365638766519823</v>
      </c>
      <c r="CT8" s="6">
        <f t="shared" si="97"/>
        <v>97.1</v>
      </c>
      <c r="CU8" s="5">
        <f t="shared" si="98"/>
        <v>4.0420906567992594</v>
      </c>
      <c r="CV8" s="6">
        <f t="shared" si="99"/>
        <v>98.1</v>
      </c>
      <c r="CW8" s="5">
        <f t="shared" si="100"/>
        <v>4.0837187789084179</v>
      </c>
      <c r="CX8" s="385">
        <f t="shared" si="101"/>
        <v>17.163108233117484</v>
      </c>
      <c r="CY8" s="5">
        <f t="shared" si="102"/>
        <v>55.115633672525441</v>
      </c>
      <c r="CZ8" s="5">
        <f t="shared" si="103"/>
        <v>42.960222016651251</v>
      </c>
      <c r="DA8" s="6">
        <f t="shared" si="104"/>
        <v>120</v>
      </c>
      <c r="DB8" s="5">
        <f t="shared" si="105"/>
        <v>4.9953746530989829</v>
      </c>
      <c r="DC8" s="6">
        <f t="shared" si="106"/>
        <v>312</v>
      </c>
      <c r="DD8" s="5">
        <f t="shared" si="107"/>
        <v>12.987974098057354</v>
      </c>
      <c r="DE8" s="6">
        <f t="shared" si="108"/>
        <v>94</v>
      </c>
      <c r="DF8" s="5">
        <f t="shared" si="109"/>
        <v>3.9130434782608696</v>
      </c>
      <c r="DG8" s="6">
        <f t="shared" si="110"/>
        <v>174</v>
      </c>
      <c r="DH8" s="5">
        <f t="shared" si="111"/>
        <v>7.2432932469935247</v>
      </c>
      <c r="DI8" s="5">
        <f t="shared" si="112"/>
        <v>13.4</v>
      </c>
      <c r="DJ8" s="5">
        <f t="shared" si="113"/>
        <v>270.89999999999998</v>
      </c>
      <c r="DK8" s="5">
        <f t="shared" si="114"/>
        <v>11.277058279370952</v>
      </c>
      <c r="DL8" s="286">
        <f t="shared" si="115"/>
        <v>230.61333333333332</v>
      </c>
      <c r="DM8" s="287">
        <f t="shared" si="116"/>
        <v>9.6</v>
      </c>
      <c r="DN8" s="60">
        <f t="shared" si="117"/>
        <v>6.9</v>
      </c>
      <c r="DO8"/>
      <c r="DP8" t="s">
        <v>13</v>
      </c>
      <c r="DQ8" t="s">
        <v>1128</v>
      </c>
      <c r="DR8">
        <v>27</v>
      </c>
      <c r="DS8" t="s">
        <v>1129</v>
      </c>
      <c r="DT8" t="s">
        <v>545</v>
      </c>
      <c r="DU8" t="s">
        <v>573</v>
      </c>
      <c r="DV8" t="s">
        <v>1130</v>
      </c>
      <c r="DW8" t="s">
        <v>1131</v>
      </c>
      <c r="DX8" s="430">
        <v>46752</v>
      </c>
      <c r="DY8">
        <v>2162</v>
      </c>
      <c r="DZ8" t="s">
        <v>1132</v>
      </c>
      <c r="EA8">
        <v>1</v>
      </c>
      <c r="EB8">
        <v>4</v>
      </c>
      <c r="EC8">
        <v>4</v>
      </c>
      <c r="ED8">
        <v>11</v>
      </c>
      <c r="EE8">
        <v>13.4</v>
      </c>
      <c r="EF8" t="s">
        <v>1133</v>
      </c>
      <c r="EG8" t="s">
        <v>1134</v>
      </c>
      <c r="EH8">
        <v>17</v>
      </c>
      <c r="EI8">
        <v>21</v>
      </c>
      <c r="EJ8">
        <v>1010</v>
      </c>
      <c r="EK8">
        <v>901</v>
      </c>
      <c r="EL8">
        <v>46</v>
      </c>
      <c r="EM8">
        <v>74</v>
      </c>
      <c r="EN8">
        <v>85</v>
      </c>
      <c r="EO8">
        <v>37</v>
      </c>
      <c r="EP8">
        <v>18</v>
      </c>
      <c r="EQ8">
        <v>153</v>
      </c>
      <c r="ER8">
        <v>35</v>
      </c>
      <c r="ES8">
        <v>59</v>
      </c>
      <c r="ET8">
        <v>13</v>
      </c>
      <c r="EU8">
        <v>63</v>
      </c>
      <c r="EV8">
        <v>13</v>
      </c>
      <c r="EW8">
        <v>1</v>
      </c>
      <c r="EX8">
        <v>0.3</v>
      </c>
      <c r="EY8">
        <v>0</v>
      </c>
      <c r="EZ8">
        <v>0</v>
      </c>
      <c r="FA8">
        <v>0</v>
      </c>
      <c r="FB8">
        <v>9.6</v>
      </c>
      <c r="FC8" t="s">
        <v>1135</v>
      </c>
      <c r="FD8">
        <v>6.9</v>
      </c>
    </row>
    <row r="9" spans="1:160" ht="24.95" customHeight="1" thickBot="1" x14ac:dyDescent="0.3">
      <c r="A9" s="29" t="str">
        <f t="shared" si="0"/>
        <v>8º</v>
      </c>
      <c r="B9" s="67" t="str">
        <f t="shared" si="1"/>
        <v>Derek</v>
      </c>
      <c r="C9" s="83" t="str">
        <f t="shared" si="2"/>
        <v>BRA</v>
      </c>
      <c r="D9" s="9" t="str">
        <f t="shared" si="3"/>
        <v>Náutico</v>
      </c>
      <c r="E9" s="91" t="str">
        <f t="shared" si="4"/>
        <v>Pé Esquerdo</v>
      </c>
      <c r="F9" s="155">
        <f t="shared" si="5"/>
        <v>1.85</v>
      </c>
      <c r="G9" s="35">
        <f t="shared" si="6"/>
        <v>46752</v>
      </c>
      <c r="H9" s="7">
        <f t="shared" si="7"/>
        <v>29</v>
      </c>
      <c r="I9" s="299" t="str">
        <f t="shared" si="8"/>
        <v>13,25m € - 15,5m € p/m</v>
      </c>
      <c r="J9" s="3" t="str">
        <f t="shared" si="9"/>
        <v>650m € - 1,4M €</v>
      </c>
      <c r="K9" s="89">
        <f t="shared" si="10"/>
        <v>31.398046398046404</v>
      </c>
      <c r="L9" s="133">
        <f t="shared" si="11"/>
        <v>23.955555555555556</v>
      </c>
      <c r="M9" s="134">
        <f t="shared" si="12"/>
        <v>39</v>
      </c>
      <c r="N9" s="134">
        <f t="shared" si="13"/>
        <v>55.282051282051285</v>
      </c>
      <c r="O9" s="173">
        <f t="shared" si="14"/>
        <v>0.56000000000000005</v>
      </c>
      <c r="P9" s="402">
        <f t="shared" si="15"/>
        <v>10</v>
      </c>
      <c r="Q9" s="402">
        <f t="shared" si="16"/>
        <v>2</v>
      </c>
      <c r="R9" s="402">
        <f t="shared" si="17"/>
        <v>12</v>
      </c>
      <c r="S9" s="6">
        <f t="shared" si="18"/>
        <v>0</v>
      </c>
      <c r="T9" s="24">
        <f t="shared" si="19"/>
        <v>5000</v>
      </c>
      <c r="U9" s="21">
        <f t="shared" si="20"/>
        <v>0</v>
      </c>
      <c r="V9" s="298">
        <f t="shared" si="21"/>
        <v>0</v>
      </c>
      <c r="W9" s="300">
        <f t="shared" si="22"/>
        <v>0</v>
      </c>
      <c r="X9" s="298">
        <f t="shared" si="23"/>
        <v>0</v>
      </c>
      <c r="Y9" s="300">
        <f t="shared" si="24"/>
        <v>0</v>
      </c>
      <c r="Z9" s="290">
        <f t="shared" si="25"/>
        <v>0</v>
      </c>
      <c r="AA9" s="298">
        <f t="shared" si="26"/>
        <v>0</v>
      </c>
      <c r="AB9" s="286">
        <f t="shared" si="27"/>
        <v>0</v>
      </c>
      <c r="AC9" s="286">
        <f t="shared" si="28"/>
        <v>0</v>
      </c>
      <c r="AD9" s="286">
        <f t="shared" si="29"/>
        <v>0</v>
      </c>
      <c r="AE9" s="21">
        <f t="shared" si="30"/>
        <v>9.9999999999999995E-8</v>
      </c>
      <c r="AF9" s="421">
        <f t="shared" si="31"/>
        <v>10</v>
      </c>
      <c r="AG9" s="421">
        <f t="shared" si="32"/>
        <v>2</v>
      </c>
      <c r="AH9" s="421">
        <f t="shared" si="33"/>
        <v>12</v>
      </c>
      <c r="AI9" s="421">
        <f t="shared" si="34"/>
        <v>10</v>
      </c>
      <c r="AJ9" s="420">
        <f t="shared" si="35"/>
        <v>2</v>
      </c>
      <c r="AK9" s="422">
        <f t="shared" si="36"/>
        <v>0.41743970315398887</v>
      </c>
      <c r="AL9" s="422">
        <f t="shared" si="37"/>
        <v>8.3487940630797772E-2</v>
      </c>
      <c r="AM9" s="422">
        <f t="shared" si="38"/>
        <v>0.5009276437847866</v>
      </c>
      <c r="AN9" s="5">
        <f t="shared" si="39"/>
        <v>8.3800000000000008</v>
      </c>
      <c r="AO9" s="5">
        <f t="shared" si="40"/>
        <v>8.3800000000000008</v>
      </c>
      <c r="AP9" s="5">
        <f t="shared" si="41"/>
        <v>0.34981447124304271</v>
      </c>
      <c r="AQ9" s="5">
        <f t="shared" si="42"/>
        <v>3.67</v>
      </c>
      <c r="AR9" s="5">
        <f t="shared" si="43"/>
        <v>0.15320037105751391</v>
      </c>
      <c r="AS9" s="5">
        <f t="shared" si="44"/>
        <v>12.05</v>
      </c>
      <c r="AT9" s="5">
        <f t="shared" si="45"/>
        <v>0.5030148423005566</v>
      </c>
      <c r="AU9" s="21">
        <f t="shared" si="46"/>
        <v>0.64726631393298062</v>
      </c>
      <c r="AV9" s="21">
        <f t="shared" si="47"/>
        <v>0.54406964091403687</v>
      </c>
      <c r="AW9" s="6">
        <f t="shared" si="48"/>
        <v>7</v>
      </c>
      <c r="AX9" s="6">
        <f t="shared" si="49"/>
        <v>1</v>
      </c>
      <c r="AY9" s="21">
        <f t="shared" si="50"/>
        <v>0.14285714285714285</v>
      </c>
      <c r="AZ9" s="304">
        <f t="shared" si="51"/>
        <v>13</v>
      </c>
      <c r="BA9" s="305">
        <f t="shared" si="52"/>
        <v>0.5426716141001855</v>
      </c>
      <c r="BB9" s="413">
        <f t="shared" si="53"/>
        <v>9.2605000000000004</v>
      </c>
      <c r="BC9" s="413">
        <f t="shared" si="54"/>
        <v>0.38657003710575133</v>
      </c>
      <c r="BD9" s="6">
        <f t="shared" si="55"/>
        <v>591</v>
      </c>
      <c r="BE9" s="5">
        <f t="shared" si="56"/>
        <v>24.670686456400741</v>
      </c>
      <c r="BF9" s="6">
        <f t="shared" si="57"/>
        <v>528</v>
      </c>
      <c r="BG9" s="5">
        <f t="shared" si="58"/>
        <v>22.040816326530614</v>
      </c>
      <c r="BH9" s="21">
        <f t="shared" si="59"/>
        <v>0.89340101522842641</v>
      </c>
      <c r="BI9" s="417">
        <f t="shared" si="60"/>
        <v>63</v>
      </c>
      <c r="BJ9" s="418">
        <f t="shared" si="61"/>
        <v>2.6298701298701297</v>
      </c>
      <c r="BK9" s="195">
        <f t="shared" si="62"/>
        <v>12</v>
      </c>
      <c r="BL9" s="5">
        <f t="shared" si="63"/>
        <v>0.5009276437847866</v>
      </c>
      <c r="BM9" s="21">
        <f t="shared" si="64"/>
        <v>2.030456852791878E-2</v>
      </c>
      <c r="BN9" s="195">
        <f t="shared" si="65"/>
        <v>17</v>
      </c>
      <c r="BO9" s="185">
        <f t="shared" si="66"/>
        <v>0.70964749536178107</v>
      </c>
      <c r="BP9" s="5">
        <f t="shared" si="67"/>
        <v>8.5</v>
      </c>
      <c r="BQ9" s="21">
        <f t="shared" si="68"/>
        <v>0.11764705882352941</v>
      </c>
      <c r="BR9" s="5">
        <f t="shared" si="69"/>
        <v>1.67</v>
      </c>
      <c r="BS9" s="5">
        <f t="shared" si="70"/>
        <v>0.21588235294117647</v>
      </c>
      <c r="BT9" s="24">
        <f t="shared" si="71"/>
        <v>126.82352941176471</v>
      </c>
      <c r="BU9" s="5">
        <f t="shared" si="72"/>
        <v>35.93333333333333</v>
      </c>
      <c r="BV9" s="5">
        <f t="shared" si="73"/>
        <v>1.6199999999999992</v>
      </c>
      <c r="BW9" s="5">
        <f t="shared" si="74"/>
        <v>1.6199999999999992</v>
      </c>
      <c r="BX9" s="6">
        <f t="shared" si="75"/>
        <v>72</v>
      </c>
      <c r="BY9" s="5">
        <f t="shared" si="76"/>
        <v>3.0055658627087198</v>
      </c>
      <c r="BZ9" s="6">
        <f t="shared" si="77"/>
        <v>35</v>
      </c>
      <c r="CA9" s="5">
        <f t="shared" si="78"/>
        <v>1.4610389610389611</v>
      </c>
      <c r="CB9" s="6">
        <f t="shared" si="79"/>
        <v>37</v>
      </c>
      <c r="CC9" s="5">
        <f t="shared" si="80"/>
        <v>1.5445269016697587</v>
      </c>
      <c r="CD9" s="5">
        <f t="shared" si="81"/>
        <v>1.5445269016697587</v>
      </c>
      <c r="CE9" s="21">
        <f t="shared" si="82"/>
        <v>0.51388888888888884</v>
      </c>
      <c r="CF9" s="5">
        <f t="shared" si="83"/>
        <v>7.2</v>
      </c>
      <c r="CG9" s="5">
        <f t="shared" si="84"/>
        <v>3.7</v>
      </c>
      <c r="CH9" s="21">
        <f t="shared" si="85"/>
        <v>0.1388888888888889</v>
      </c>
      <c r="CI9" s="298">
        <f t="shared" si="86"/>
        <v>8</v>
      </c>
      <c r="CJ9" s="298">
        <f t="shared" si="87"/>
        <v>2</v>
      </c>
      <c r="CK9" s="298">
        <f t="shared" si="88"/>
        <v>0</v>
      </c>
      <c r="CL9" s="21">
        <f t="shared" si="89"/>
        <v>8.3487940630797772E-2</v>
      </c>
      <c r="CM9" s="6">
        <f t="shared" si="90"/>
        <v>18.2</v>
      </c>
      <c r="CN9" s="5">
        <f t="shared" si="91"/>
        <v>0.75974025974025972</v>
      </c>
      <c r="CO9" s="167">
        <f t="shared" si="92"/>
        <v>109</v>
      </c>
      <c r="CP9" s="5">
        <f t="shared" si="93"/>
        <v>4.550092764378479</v>
      </c>
      <c r="CQ9" s="6">
        <f t="shared" si="94"/>
        <v>68</v>
      </c>
      <c r="CR9" s="5">
        <f t="shared" si="95"/>
        <v>2.8385899814471243</v>
      </c>
      <c r="CS9" s="21">
        <f t="shared" si="96"/>
        <v>0.62385321100917435</v>
      </c>
      <c r="CT9" s="6">
        <f t="shared" si="97"/>
        <v>72.67</v>
      </c>
      <c r="CU9" s="5">
        <f t="shared" si="98"/>
        <v>3.0335343228200373</v>
      </c>
      <c r="CV9" s="6">
        <f t="shared" si="99"/>
        <v>73.67</v>
      </c>
      <c r="CW9" s="5">
        <f t="shared" si="100"/>
        <v>3.0752782931354359</v>
      </c>
      <c r="CX9" s="385">
        <f t="shared" si="101"/>
        <v>7.2659137291280143</v>
      </c>
      <c r="CY9" s="5">
        <f t="shared" si="102"/>
        <v>30.264378478664192</v>
      </c>
      <c r="CZ9" s="5">
        <f t="shared" si="103"/>
        <v>23.501855287569573</v>
      </c>
      <c r="DA9" s="6">
        <f t="shared" si="104"/>
        <v>29</v>
      </c>
      <c r="DB9" s="5">
        <f t="shared" si="105"/>
        <v>1.2105751391465678</v>
      </c>
      <c r="DC9" s="6">
        <f t="shared" si="106"/>
        <v>127</v>
      </c>
      <c r="DD9" s="5">
        <f t="shared" si="107"/>
        <v>5.3014842300556584</v>
      </c>
      <c r="DE9" s="6">
        <f t="shared" si="108"/>
        <v>95</v>
      </c>
      <c r="DF9" s="5">
        <f t="shared" si="109"/>
        <v>3.9656771799628943</v>
      </c>
      <c r="DG9" s="6">
        <f t="shared" si="110"/>
        <v>104</v>
      </c>
      <c r="DH9" s="5">
        <f t="shared" si="111"/>
        <v>4.341372912801484</v>
      </c>
      <c r="DI9" s="5">
        <f t="shared" si="112"/>
        <v>18.2</v>
      </c>
      <c r="DJ9" s="5">
        <f t="shared" si="113"/>
        <v>250.5</v>
      </c>
      <c r="DK9" s="5">
        <f t="shared" si="114"/>
        <v>10.456864564007422</v>
      </c>
      <c r="DL9" s="286">
        <f t="shared" si="115"/>
        <v>131.75555555555556</v>
      </c>
      <c r="DM9" s="287">
        <f t="shared" si="116"/>
        <v>5.5</v>
      </c>
      <c r="DN9" s="60">
        <f t="shared" si="117"/>
        <v>6.78</v>
      </c>
      <c r="DO9"/>
      <c r="DP9" t="s">
        <v>13</v>
      </c>
      <c r="DQ9" t="s">
        <v>1136</v>
      </c>
      <c r="DR9">
        <v>29</v>
      </c>
      <c r="DS9" t="s">
        <v>1004</v>
      </c>
      <c r="DT9" t="s">
        <v>751</v>
      </c>
      <c r="DU9" t="s">
        <v>579</v>
      </c>
      <c r="DV9" t="s">
        <v>1137</v>
      </c>
      <c r="DW9" t="s">
        <v>1138</v>
      </c>
      <c r="DX9" s="430">
        <v>46752</v>
      </c>
      <c r="DY9">
        <v>2156</v>
      </c>
      <c r="DZ9" t="s">
        <v>1139</v>
      </c>
      <c r="EA9">
        <v>0</v>
      </c>
      <c r="EB9">
        <v>10</v>
      </c>
      <c r="EC9">
        <v>2</v>
      </c>
      <c r="ED9">
        <v>6</v>
      </c>
      <c r="EE9">
        <v>18.2</v>
      </c>
      <c r="EF9" t="s">
        <v>1140</v>
      </c>
      <c r="EG9" t="s">
        <v>1141</v>
      </c>
      <c r="EH9">
        <v>21</v>
      </c>
      <c r="EI9">
        <v>52</v>
      </c>
      <c r="EJ9">
        <v>591</v>
      </c>
      <c r="EK9">
        <v>528</v>
      </c>
      <c r="EL9">
        <v>17</v>
      </c>
      <c r="EM9">
        <v>12</v>
      </c>
      <c r="EN9">
        <v>13</v>
      </c>
      <c r="EO9">
        <v>72</v>
      </c>
      <c r="EP9">
        <v>37</v>
      </c>
      <c r="EQ9">
        <v>46</v>
      </c>
      <c r="ER9">
        <v>12</v>
      </c>
      <c r="ES9">
        <v>7</v>
      </c>
      <c r="ET9">
        <v>1</v>
      </c>
      <c r="EU9">
        <v>7</v>
      </c>
      <c r="EV9">
        <v>1</v>
      </c>
      <c r="EW9">
        <v>2</v>
      </c>
      <c r="EX9">
        <v>1</v>
      </c>
      <c r="EY9">
        <v>0</v>
      </c>
      <c r="EZ9">
        <v>0</v>
      </c>
      <c r="FA9">
        <v>0</v>
      </c>
      <c r="FB9">
        <v>5.5</v>
      </c>
      <c r="FC9" t="s">
        <v>1142</v>
      </c>
      <c r="FD9">
        <v>6.78</v>
      </c>
    </row>
    <row r="10" spans="1:160" ht="24.95" customHeight="1" thickBot="1" x14ac:dyDescent="0.3">
      <c r="A10" s="29" t="str">
        <f t="shared" si="0"/>
        <v>9º</v>
      </c>
      <c r="B10" s="67" t="str">
        <f t="shared" si="1"/>
        <v>Brayan Alcócer</v>
      </c>
      <c r="C10" s="83" t="str">
        <f t="shared" si="2"/>
        <v>VEN</v>
      </c>
      <c r="D10" s="9" t="str">
        <f t="shared" si="3"/>
        <v>Metropolitanos</v>
      </c>
      <c r="E10" s="91" t="str">
        <f t="shared" si="4"/>
        <v>Pé Direito</v>
      </c>
      <c r="F10" s="155">
        <f t="shared" si="5"/>
        <v>1.75</v>
      </c>
      <c r="G10" s="35">
        <f t="shared" si="6"/>
        <v>47483</v>
      </c>
      <c r="H10" s="7">
        <f t="shared" si="7"/>
        <v>23</v>
      </c>
      <c r="I10" s="299" t="str">
        <f t="shared" si="8"/>
        <v>2,1m € - 2,6m € p/m</v>
      </c>
      <c r="J10" s="3" t="str">
        <f t="shared" si="9"/>
        <v>45m € - 450m €</v>
      </c>
      <c r="K10" s="89">
        <f t="shared" si="10"/>
        <v>31.398046398046404</v>
      </c>
      <c r="L10" s="133">
        <f t="shared" si="11"/>
        <v>23.211111111111112</v>
      </c>
      <c r="M10" s="134">
        <f t="shared" si="12"/>
        <v>28</v>
      </c>
      <c r="N10" s="134">
        <f t="shared" si="13"/>
        <v>74.607142857142861</v>
      </c>
      <c r="O10" s="173">
        <f t="shared" si="14"/>
        <v>0.86</v>
      </c>
      <c r="P10" s="402">
        <f t="shared" si="15"/>
        <v>10</v>
      </c>
      <c r="Q10" s="402">
        <f t="shared" si="16"/>
        <v>3</v>
      </c>
      <c r="R10" s="402">
        <f t="shared" si="17"/>
        <v>13</v>
      </c>
      <c r="S10" s="6">
        <f t="shared" si="18"/>
        <v>6</v>
      </c>
      <c r="T10" s="24">
        <f t="shared" si="19"/>
        <v>348.16666666666669</v>
      </c>
      <c r="U10" s="21">
        <f t="shared" si="20"/>
        <v>0.25849688846337959</v>
      </c>
      <c r="V10" s="298">
        <f t="shared" si="21"/>
        <v>0</v>
      </c>
      <c r="W10" s="300">
        <f t="shared" si="22"/>
        <v>0</v>
      </c>
      <c r="X10" s="298">
        <f t="shared" si="23"/>
        <v>0</v>
      </c>
      <c r="Y10" s="300">
        <f t="shared" si="24"/>
        <v>0</v>
      </c>
      <c r="Z10" s="290">
        <f t="shared" si="25"/>
        <v>0</v>
      </c>
      <c r="AA10" s="298">
        <f t="shared" si="26"/>
        <v>1</v>
      </c>
      <c r="AB10" s="286">
        <f t="shared" si="27"/>
        <v>3</v>
      </c>
      <c r="AC10" s="286">
        <f t="shared" si="28"/>
        <v>3</v>
      </c>
      <c r="AD10" s="286">
        <f t="shared" si="29"/>
        <v>0</v>
      </c>
      <c r="AE10" s="21">
        <f t="shared" si="30"/>
        <v>1</v>
      </c>
      <c r="AF10" s="421">
        <f t="shared" si="31"/>
        <v>10</v>
      </c>
      <c r="AG10" s="421">
        <f t="shared" si="32"/>
        <v>3</v>
      </c>
      <c r="AH10" s="421">
        <f t="shared" si="33"/>
        <v>13</v>
      </c>
      <c r="AI10" s="421">
        <f t="shared" si="34"/>
        <v>7</v>
      </c>
      <c r="AJ10" s="420">
        <f t="shared" si="35"/>
        <v>1</v>
      </c>
      <c r="AK10" s="422">
        <f t="shared" si="36"/>
        <v>0.43082814743896597</v>
      </c>
      <c r="AL10" s="422">
        <f t="shared" si="37"/>
        <v>0.1292484442316898</v>
      </c>
      <c r="AM10" s="422">
        <f t="shared" si="38"/>
        <v>0.56007659167065582</v>
      </c>
      <c r="AN10" s="5">
        <f t="shared" si="39"/>
        <v>4.21</v>
      </c>
      <c r="AO10" s="5">
        <f t="shared" si="40"/>
        <v>1.8399999999999999</v>
      </c>
      <c r="AP10" s="5">
        <f t="shared" si="41"/>
        <v>7.9272379128769735E-2</v>
      </c>
      <c r="AQ10" s="5">
        <f t="shared" si="42"/>
        <v>4.33</v>
      </c>
      <c r="AR10" s="5">
        <f t="shared" si="43"/>
        <v>0.18654858784107228</v>
      </c>
      <c r="AS10" s="5">
        <f t="shared" si="44"/>
        <v>6.17</v>
      </c>
      <c r="AT10" s="5">
        <f t="shared" si="45"/>
        <v>0.26582096696984203</v>
      </c>
      <c r="AU10" s="21">
        <f t="shared" si="46"/>
        <v>0.59072305593451568</v>
      </c>
      <c r="AV10" s="21">
        <f t="shared" si="47"/>
        <v>0.70372976776917662</v>
      </c>
      <c r="AW10" s="6">
        <f t="shared" si="48"/>
        <v>90</v>
      </c>
      <c r="AX10" s="6">
        <f t="shared" si="49"/>
        <v>17</v>
      </c>
      <c r="AY10" s="21">
        <f t="shared" si="50"/>
        <v>0.18888888888888888</v>
      </c>
      <c r="AZ10" s="304">
        <f t="shared" si="51"/>
        <v>72</v>
      </c>
      <c r="BA10" s="305">
        <f t="shared" si="52"/>
        <v>3.1019626615605551</v>
      </c>
      <c r="BB10" s="413">
        <f t="shared" si="53"/>
        <v>26.369499999999999</v>
      </c>
      <c r="BC10" s="413">
        <f t="shared" si="54"/>
        <v>1.1360722833891814</v>
      </c>
      <c r="BD10" s="6">
        <f t="shared" si="55"/>
        <v>1003</v>
      </c>
      <c r="BE10" s="5">
        <f t="shared" si="56"/>
        <v>43.21206318812829</v>
      </c>
      <c r="BF10" s="6">
        <f t="shared" si="57"/>
        <v>861</v>
      </c>
      <c r="BG10" s="5">
        <f t="shared" si="58"/>
        <v>37.094303494494973</v>
      </c>
      <c r="BH10" s="21">
        <f t="shared" si="59"/>
        <v>0.85842472582253238</v>
      </c>
      <c r="BI10" s="417">
        <f t="shared" si="60"/>
        <v>142</v>
      </c>
      <c r="BJ10" s="418">
        <f t="shared" si="61"/>
        <v>6.1177596936333174</v>
      </c>
      <c r="BK10" s="195">
        <f t="shared" si="62"/>
        <v>72</v>
      </c>
      <c r="BL10" s="5">
        <f t="shared" si="63"/>
        <v>3.1019626615605551</v>
      </c>
      <c r="BM10" s="21">
        <f t="shared" si="64"/>
        <v>7.1784646061814561E-2</v>
      </c>
      <c r="BN10" s="195">
        <f t="shared" si="65"/>
        <v>49</v>
      </c>
      <c r="BO10" s="185">
        <f t="shared" si="66"/>
        <v>2.1110579224509332</v>
      </c>
      <c r="BP10" s="5">
        <f t="shared" si="67"/>
        <v>16.333333333333332</v>
      </c>
      <c r="BQ10" s="21">
        <f t="shared" si="68"/>
        <v>6.1224489795918366E-2</v>
      </c>
      <c r="BR10" s="5">
        <f t="shared" si="69"/>
        <v>1.33</v>
      </c>
      <c r="BS10" s="5">
        <f t="shared" si="70"/>
        <v>8.8367346938775515E-2</v>
      </c>
      <c r="BT10" s="24">
        <f t="shared" si="71"/>
        <v>42.632653061224488</v>
      </c>
      <c r="BU10" s="5">
        <f t="shared" si="72"/>
        <v>30.275362318840578</v>
      </c>
      <c r="BV10" s="5">
        <f t="shared" si="73"/>
        <v>5.79</v>
      </c>
      <c r="BW10" s="5">
        <f t="shared" si="74"/>
        <v>3.42</v>
      </c>
      <c r="BX10" s="6">
        <f t="shared" si="75"/>
        <v>38</v>
      </c>
      <c r="BY10" s="5">
        <f t="shared" si="76"/>
        <v>1.6371469602680708</v>
      </c>
      <c r="BZ10" s="6">
        <f t="shared" si="77"/>
        <v>25</v>
      </c>
      <c r="CA10" s="5">
        <f t="shared" si="78"/>
        <v>1.077070368597415</v>
      </c>
      <c r="CB10" s="6">
        <f t="shared" si="79"/>
        <v>16</v>
      </c>
      <c r="CC10" s="5">
        <f t="shared" si="80"/>
        <v>0.68932503590234562</v>
      </c>
      <c r="CD10" s="5">
        <f t="shared" si="81"/>
        <v>0.56007659167065582</v>
      </c>
      <c r="CE10" s="21">
        <f t="shared" si="82"/>
        <v>0.34210526315789475</v>
      </c>
      <c r="CF10" s="5">
        <f t="shared" si="83"/>
        <v>5.4285714285714288</v>
      </c>
      <c r="CG10" s="5">
        <f t="shared" si="84"/>
        <v>1.6</v>
      </c>
      <c r="CH10" s="21">
        <f t="shared" si="85"/>
        <v>0.18421052631578946</v>
      </c>
      <c r="CI10" s="298">
        <f t="shared" si="86"/>
        <v>6</v>
      </c>
      <c r="CJ10" s="298">
        <f t="shared" si="87"/>
        <v>1</v>
      </c>
      <c r="CK10" s="298">
        <f t="shared" si="88"/>
        <v>3</v>
      </c>
      <c r="CL10" s="21">
        <f t="shared" si="89"/>
        <v>8.6165629487793202E-2</v>
      </c>
      <c r="CM10" s="6">
        <f t="shared" si="90"/>
        <v>16.399999999999999</v>
      </c>
      <c r="CN10" s="5">
        <f t="shared" si="91"/>
        <v>0.70655816179990416</v>
      </c>
      <c r="CO10" s="167">
        <f t="shared" si="92"/>
        <v>252</v>
      </c>
      <c r="CP10" s="5">
        <f t="shared" si="93"/>
        <v>10.856869315461942</v>
      </c>
      <c r="CQ10" s="6">
        <f t="shared" si="94"/>
        <v>154</v>
      </c>
      <c r="CR10" s="5">
        <f t="shared" si="95"/>
        <v>6.6347534705600761</v>
      </c>
      <c r="CS10" s="21">
        <f t="shared" si="96"/>
        <v>0.61111111111111116</v>
      </c>
      <c r="CT10" s="6">
        <f t="shared" si="97"/>
        <v>97.83</v>
      </c>
      <c r="CU10" s="5">
        <f t="shared" si="98"/>
        <v>4.214791766395404</v>
      </c>
      <c r="CV10" s="6">
        <f t="shared" si="99"/>
        <v>100.08</v>
      </c>
      <c r="CW10" s="5">
        <f t="shared" si="100"/>
        <v>4.311728099569172</v>
      </c>
      <c r="CX10" s="385">
        <f t="shared" si="101"/>
        <v>17.641680229775012</v>
      </c>
      <c r="CY10" s="5">
        <f t="shared" si="102"/>
        <v>57.084729535662994</v>
      </c>
      <c r="CZ10" s="5">
        <f t="shared" si="103"/>
        <v>42.608903781713735</v>
      </c>
      <c r="DA10" s="6">
        <f t="shared" si="104"/>
        <v>121</v>
      </c>
      <c r="DB10" s="5">
        <f t="shared" si="105"/>
        <v>5.2130205840114883</v>
      </c>
      <c r="DC10" s="6">
        <f t="shared" si="106"/>
        <v>328</v>
      </c>
      <c r="DD10" s="5">
        <f t="shared" si="107"/>
        <v>14.131163235998084</v>
      </c>
      <c r="DE10" s="6">
        <f t="shared" si="108"/>
        <v>97</v>
      </c>
      <c r="DF10" s="5">
        <f t="shared" si="109"/>
        <v>4.1790330301579699</v>
      </c>
      <c r="DG10" s="6">
        <f t="shared" si="110"/>
        <v>240</v>
      </c>
      <c r="DH10" s="5">
        <f t="shared" si="111"/>
        <v>10.339875538535184</v>
      </c>
      <c r="DI10" s="5">
        <f t="shared" si="112"/>
        <v>16.399999999999999</v>
      </c>
      <c r="DJ10" s="5">
        <f t="shared" si="113"/>
        <v>255.3</v>
      </c>
      <c r="DK10" s="5">
        <f t="shared" si="114"/>
        <v>10.999042604116802</v>
      </c>
      <c r="DL10" s="286">
        <f t="shared" si="115"/>
        <v>313.35000000000002</v>
      </c>
      <c r="DM10" s="287">
        <f t="shared" si="116"/>
        <v>13.5</v>
      </c>
      <c r="DN10" s="60">
        <f t="shared" si="117"/>
        <v>7.08</v>
      </c>
      <c r="DO10" t="s">
        <v>19</v>
      </c>
      <c r="DP10" t="s">
        <v>1143</v>
      </c>
      <c r="DQ10" t="s">
        <v>1144</v>
      </c>
      <c r="DR10">
        <v>23</v>
      </c>
      <c r="DS10" t="s">
        <v>1145</v>
      </c>
      <c r="DT10" t="s">
        <v>546</v>
      </c>
      <c r="DU10" t="s">
        <v>573</v>
      </c>
      <c r="DV10" t="s">
        <v>1146</v>
      </c>
      <c r="DW10" t="s">
        <v>1147</v>
      </c>
      <c r="DX10" s="430">
        <v>47483</v>
      </c>
      <c r="DY10">
        <v>2089</v>
      </c>
      <c r="DZ10" t="s">
        <v>983</v>
      </c>
      <c r="EA10">
        <v>6</v>
      </c>
      <c r="EB10">
        <v>10</v>
      </c>
      <c r="EC10">
        <v>3</v>
      </c>
      <c r="ED10">
        <v>7</v>
      </c>
      <c r="EE10">
        <v>16.399999999999999</v>
      </c>
      <c r="EF10" t="s">
        <v>1148</v>
      </c>
      <c r="EG10" t="s">
        <v>1149</v>
      </c>
      <c r="EH10">
        <v>29</v>
      </c>
      <c r="EI10">
        <v>19</v>
      </c>
      <c r="EJ10">
        <v>1003</v>
      </c>
      <c r="EK10">
        <v>861</v>
      </c>
      <c r="EL10">
        <v>49</v>
      </c>
      <c r="EM10">
        <v>72</v>
      </c>
      <c r="EN10">
        <v>72</v>
      </c>
      <c r="EO10">
        <v>41</v>
      </c>
      <c r="EP10">
        <v>16</v>
      </c>
      <c r="EQ10">
        <v>188</v>
      </c>
      <c r="ER10">
        <v>43</v>
      </c>
      <c r="ES10">
        <v>90</v>
      </c>
      <c r="ET10">
        <v>17</v>
      </c>
      <c r="EU10">
        <v>90</v>
      </c>
      <c r="EV10">
        <v>17</v>
      </c>
      <c r="EW10">
        <v>1</v>
      </c>
      <c r="EX10">
        <v>0.5</v>
      </c>
      <c r="EY10">
        <v>1</v>
      </c>
      <c r="EZ10">
        <v>3</v>
      </c>
      <c r="FA10">
        <v>3</v>
      </c>
      <c r="FB10">
        <v>13.5</v>
      </c>
      <c r="FC10" t="s">
        <v>1150</v>
      </c>
      <c r="FD10">
        <v>7.08</v>
      </c>
    </row>
    <row r="11" spans="1:160" ht="24.95" customHeight="1" thickBot="1" x14ac:dyDescent="0.3">
      <c r="A11" s="29" t="str">
        <f t="shared" si="0"/>
        <v>10º</v>
      </c>
      <c r="B11" s="67" t="str">
        <f t="shared" si="1"/>
        <v>Cristian Núñez</v>
      </c>
      <c r="C11" s="83" t="str">
        <f t="shared" si="2"/>
        <v>PAR</v>
      </c>
      <c r="D11" s="9" t="str">
        <f t="shared" si="3"/>
        <v>Guaraní (PAR)</v>
      </c>
      <c r="E11" s="91" t="str">
        <f t="shared" si="4"/>
        <v>Pé Direito</v>
      </c>
      <c r="F11" s="155">
        <f t="shared" si="5"/>
        <v>1.66</v>
      </c>
      <c r="G11" s="35">
        <f t="shared" si="6"/>
        <v>47514</v>
      </c>
      <c r="H11" s="7">
        <f t="shared" si="7"/>
        <v>26</v>
      </c>
      <c r="I11" s="299" t="str">
        <f t="shared" si="8"/>
        <v>7,25m € - 9m € p/m</v>
      </c>
      <c r="J11" s="3" t="str">
        <f t="shared" si="9"/>
        <v>850m € - 1,9M €</v>
      </c>
      <c r="K11" s="89">
        <f t="shared" si="10"/>
        <v>31.398046398046404</v>
      </c>
      <c r="L11" s="133">
        <f t="shared" si="11"/>
        <v>28.077777777777779</v>
      </c>
      <c r="M11" s="134">
        <f t="shared" si="12"/>
        <v>31</v>
      </c>
      <c r="N11" s="134">
        <f t="shared" si="13"/>
        <v>81.516129032258064</v>
      </c>
      <c r="O11" s="173">
        <f t="shared" si="14"/>
        <v>0.9</v>
      </c>
      <c r="P11" s="402">
        <f t="shared" si="15"/>
        <v>4</v>
      </c>
      <c r="Q11" s="402">
        <f t="shared" si="16"/>
        <v>7</v>
      </c>
      <c r="R11" s="402">
        <f t="shared" si="17"/>
        <v>11</v>
      </c>
      <c r="S11" s="6">
        <f t="shared" si="18"/>
        <v>3</v>
      </c>
      <c r="T11" s="24">
        <f t="shared" si="19"/>
        <v>842.33333333333337</v>
      </c>
      <c r="U11" s="21">
        <f t="shared" si="20"/>
        <v>0.10684606252473287</v>
      </c>
      <c r="V11" s="298">
        <f t="shared" si="21"/>
        <v>35</v>
      </c>
      <c r="W11" s="300">
        <f t="shared" si="22"/>
        <v>1.2465373961218835</v>
      </c>
      <c r="X11" s="298">
        <f t="shared" si="23"/>
        <v>6</v>
      </c>
      <c r="Y11" s="300">
        <f t="shared" si="24"/>
        <v>0.21369212504946575</v>
      </c>
      <c r="Z11" s="290">
        <f t="shared" si="25"/>
        <v>0.17142857142857143</v>
      </c>
      <c r="AA11" s="298">
        <f t="shared" si="26"/>
        <v>0</v>
      </c>
      <c r="AB11" s="286">
        <f t="shared" si="27"/>
        <v>0</v>
      </c>
      <c r="AC11" s="286">
        <f t="shared" si="28"/>
        <v>0</v>
      </c>
      <c r="AD11" s="286">
        <f t="shared" si="29"/>
        <v>0</v>
      </c>
      <c r="AE11" s="21">
        <f t="shared" si="30"/>
        <v>9.9999999999999995E-8</v>
      </c>
      <c r="AF11" s="421">
        <f t="shared" si="31"/>
        <v>4</v>
      </c>
      <c r="AG11" s="421">
        <f t="shared" si="32"/>
        <v>7</v>
      </c>
      <c r="AH11" s="421">
        <f t="shared" si="33"/>
        <v>11</v>
      </c>
      <c r="AI11" s="421">
        <f t="shared" si="34"/>
        <v>4</v>
      </c>
      <c r="AJ11" s="420">
        <f t="shared" si="35"/>
        <v>1</v>
      </c>
      <c r="AK11" s="422">
        <f t="shared" si="36"/>
        <v>0.14246141669964385</v>
      </c>
      <c r="AL11" s="422">
        <f t="shared" si="37"/>
        <v>0.24930747922437671</v>
      </c>
      <c r="AM11" s="422">
        <f t="shared" si="38"/>
        <v>0.39176889592402053</v>
      </c>
      <c r="AN11" s="5">
        <f t="shared" si="39"/>
        <v>5.91</v>
      </c>
      <c r="AO11" s="5">
        <f t="shared" si="40"/>
        <v>5.91</v>
      </c>
      <c r="AP11" s="5">
        <f t="shared" si="41"/>
        <v>0.21048674317372379</v>
      </c>
      <c r="AQ11" s="5">
        <f t="shared" si="42"/>
        <v>3.41</v>
      </c>
      <c r="AR11" s="5">
        <f t="shared" si="43"/>
        <v>0.12144835773644638</v>
      </c>
      <c r="AS11" s="5">
        <f t="shared" si="44"/>
        <v>9.32</v>
      </c>
      <c r="AT11" s="5">
        <f t="shared" si="45"/>
        <v>0.33193510091017014</v>
      </c>
      <c r="AU11" s="21">
        <f t="shared" si="46"/>
        <v>0.32756964457252641</v>
      </c>
      <c r="AV11" s="21">
        <f t="shared" si="47"/>
        <v>0.40363269424823411</v>
      </c>
      <c r="AW11" s="6">
        <f t="shared" si="48"/>
        <v>100</v>
      </c>
      <c r="AX11" s="6">
        <f t="shared" si="49"/>
        <v>26</v>
      </c>
      <c r="AY11" s="21">
        <f t="shared" si="50"/>
        <v>0.26</v>
      </c>
      <c r="AZ11" s="304">
        <f t="shared" si="51"/>
        <v>92</v>
      </c>
      <c r="BA11" s="305">
        <f t="shared" si="52"/>
        <v>3.2766125840918083</v>
      </c>
      <c r="BB11" s="413">
        <f t="shared" si="53"/>
        <v>29.156500000000001</v>
      </c>
      <c r="BC11" s="413">
        <f t="shared" si="54"/>
        <v>1.0384190740007915</v>
      </c>
      <c r="BD11" s="6">
        <f t="shared" si="55"/>
        <v>1206</v>
      </c>
      <c r="BE11" s="5">
        <f t="shared" si="56"/>
        <v>42.952117134942618</v>
      </c>
      <c r="BF11" s="6">
        <f t="shared" si="57"/>
        <v>1063</v>
      </c>
      <c r="BG11" s="5">
        <f t="shared" si="58"/>
        <v>37.859121487930352</v>
      </c>
      <c r="BH11" s="21">
        <f t="shared" si="59"/>
        <v>0.88142620232172475</v>
      </c>
      <c r="BI11" s="417">
        <f t="shared" si="60"/>
        <v>143</v>
      </c>
      <c r="BJ11" s="418">
        <f t="shared" si="61"/>
        <v>5.092995647012267</v>
      </c>
      <c r="BK11" s="195">
        <f t="shared" si="62"/>
        <v>72</v>
      </c>
      <c r="BL11" s="5">
        <f t="shared" si="63"/>
        <v>2.5643055005935893</v>
      </c>
      <c r="BM11" s="21">
        <f t="shared" si="64"/>
        <v>5.9701492537313432E-2</v>
      </c>
      <c r="BN11" s="195">
        <f t="shared" si="65"/>
        <v>43</v>
      </c>
      <c r="BO11" s="185">
        <f t="shared" si="66"/>
        <v>1.5314602295211712</v>
      </c>
      <c r="BP11" s="5">
        <f t="shared" si="67"/>
        <v>6.1428571428571432</v>
      </c>
      <c r="BQ11" s="21">
        <f t="shared" si="68"/>
        <v>0.16279069767441862</v>
      </c>
      <c r="BR11" s="5">
        <f t="shared" si="69"/>
        <v>-3.59</v>
      </c>
      <c r="BS11" s="5">
        <f t="shared" si="70"/>
        <v>7.9302325581395355E-2</v>
      </c>
      <c r="BT11" s="24">
        <f t="shared" si="71"/>
        <v>58.767441860465119</v>
      </c>
      <c r="BU11" s="5">
        <f t="shared" si="72"/>
        <v>33.25</v>
      </c>
      <c r="BV11" s="5">
        <f t="shared" si="73"/>
        <v>-1.9100000000000001</v>
      </c>
      <c r="BW11" s="5">
        <f t="shared" si="74"/>
        <v>-1.9100000000000001</v>
      </c>
      <c r="BX11" s="6">
        <f t="shared" si="75"/>
        <v>52</v>
      </c>
      <c r="BY11" s="5">
        <f t="shared" si="76"/>
        <v>1.8519984170953698</v>
      </c>
      <c r="BZ11" s="6">
        <f t="shared" si="77"/>
        <v>28</v>
      </c>
      <c r="CA11" s="5">
        <f t="shared" si="78"/>
        <v>0.99722991689750684</v>
      </c>
      <c r="CB11" s="6">
        <f t="shared" si="79"/>
        <v>24</v>
      </c>
      <c r="CC11" s="5">
        <f t="shared" si="80"/>
        <v>0.85476850019786299</v>
      </c>
      <c r="CD11" s="5">
        <f t="shared" si="81"/>
        <v>0.85476850019786299</v>
      </c>
      <c r="CE11" s="21">
        <f t="shared" si="82"/>
        <v>0.46153846153846156</v>
      </c>
      <c r="CF11" s="5">
        <f t="shared" si="83"/>
        <v>13</v>
      </c>
      <c r="CG11" s="5">
        <f t="shared" si="84"/>
        <v>6</v>
      </c>
      <c r="CH11" s="21">
        <f t="shared" si="85"/>
        <v>7.6923076923076927E-2</v>
      </c>
      <c r="CI11" s="298">
        <f t="shared" si="86"/>
        <v>3</v>
      </c>
      <c r="CJ11" s="298">
        <f t="shared" si="87"/>
        <v>1</v>
      </c>
      <c r="CK11" s="298">
        <f t="shared" si="88"/>
        <v>0</v>
      </c>
      <c r="CL11" s="21">
        <f t="shared" si="89"/>
        <v>7.1230708349821925E-2</v>
      </c>
      <c r="CM11" s="6">
        <f t="shared" si="90"/>
        <v>14.9</v>
      </c>
      <c r="CN11" s="5">
        <f t="shared" si="91"/>
        <v>0.53066877720617334</v>
      </c>
      <c r="CO11" s="167">
        <f t="shared" si="92"/>
        <v>287</v>
      </c>
      <c r="CP11" s="5">
        <f t="shared" si="93"/>
        <v>10.221606648199446</v>
      </c>
      <c r="CQ11" s="6">
        <f t="shared" si="94"/>
        <v>185</v>
      </c>
      <c r="CR11" s="5">
        <f t="shared" si="95"/>
        <v>6.5888405223585274</v>
      </c>
      <c r="CS11" s="21">
        <f t="shared" si="96"/>
        <v>0.64459930313588854</v>
      </c>
      <c r="CT11" s="6">
        <f t="shared" si="97"/>
        <v>111.91</v>
      </c>
      <c r="CU11" s="5">
        <f t="shared" si="98"/>
        <v>3.9857142857142853</v>
      </c>
      <c r="CV11" s="6">
        <f t="shared" si="99"/>
        <v>113.66</v>
      </c>
      <c r="CW11" s="5">
        <f t="shared" si="100"/>
        <v>4.0480411555203792</v>
      </c>
      <c r="CX11" s="385">
        <f t="shared" si="101"/>
        <v>14.994170953700038</v>
      </c>
      <c r="CY11" s="5">
        <f t="shared" si="102"/>
        <v>56.414721013058958</v>
      </c>
      <c r="CZ11" s="5">
        <f t="shared" si="103"/>
        <v>42.275425405619309</v>
      </c>
      <c r="DA11" s="6">
        <f t="shared" si="104"/>
        <v>115</v>
      </c>
      <c r="DB11" s="5">
        <f t="shared" si="105"/>
        <v>4.0957657301147607</v>
      </c>
      <c r="DC11" s="6">
        <f t="shared" si="106"/>
        <v>368</v>
      </c>
      <c r="DD11" s="5">
        <f t="shared" si="107"/>
        <v>13.106450336367233</v>
      </c>
      <c r="DE11" s="6">
        <f t="shared" si="108"/>
        <v>104</v>
      </c>
      <c r="DF11" s="5">
        <f t="shared" si="109"/>
        <v>3.7039968341907397</v>
      </c>
      <c r="DG11" s="6">
        <f t="shared" si="110"/>
        <v>245</v>
      </c>
      <c r="DH11" s="5">
        <f t="shared" si="111"/>
        <v>8.7257617728531844</v>
      </c>
      <c r="DI11" s="5">
        <f t="shared" si="112"/>
        <v>14.9</v>
      </c>
      <c r="DJ11" s="5">
        <f t="shared" si="113"/>
        <v>329.4</v>
      </c>
      <c r="DK11" s="5">
        <f t="shared" si="114"/>
        <v>11.73169766521567</v>
      </c>
      <c r="DL11" s="286">
        <f t="shared" si="115"/>
        <v>390.28111111111116</v>
      </c>
      <c r="DM11" s="287">
        <f t="shared" si="116"/>
        <v>13.9</v>
      </c>
      <c r="DN11" s="60">
        <f t="shared" si="117"/>
        <v>6.9</v>
      </c>
      <c r="DO11"/>
      <c r="DP11" t="s">
        <v>1095</v>
      </c>
      <c r="DQ11" t="s">
        <v>1151</v>
      </c>
      <c r="DR11">
        <v>26</v>
      </c>
      <c r="DS11" t="s">
        <v>1152</v>
      </c>
      <c r="DT11" t="s">
        <v>1153</v>
      </c>
      <c r="DU11" t="s">
        <v>573</v>
      </c>
      <c r="DV11" t="s">
        <v>1154</v>
      </c>
      <c r="DW11" t="s">
        <v>1155</v>
      </c>
      <c r="DX11" s="430">
        <v>47514</v>
      </c>
      <c r="DY11">
        <v>2527</v>
      </c>
      <c r="DZ11" t="s">
        <v>1156</v>
      </c>
      <c r="EA11">
        <v>3</v>
      </c>
      <c r="EB11">
        <v>4</v>
      </c>
      <c r="EC11">
        <v>7</v>
      </c>
      <c r="ED11">
        <v>9</v>
      </c>
      <c r="EE11">
        <v>14.9</v>
      </c>
      <c r="EF11" t="s">
        <v>1157</v>
      </c>
      <c r="EG11" t="s">
        <v>1158</v>
      </c>
      <c r="EH11">
        <v>28</v>
      </c>
      <c r="EI11">
        <v>28</v>
      </c>
      <c r="EJ11">
        <v>1206</v>
      </c>
      <c r="EK11">
        <v>1063</v>
      </c>
      <c r="EL11">
        <v>43</v>
      </c>
      <c r="EM11">
        <v>72</v>
      </c>
      <c r="EN11">
        <v>92</v>
      </c>
      <c r="EO11">
        <v>52</v>
      </c>
      <c r="EP11">
        <v>24</v>
      </c>
      <c r="EQ11">
        <v>283</v>
      </c>
      <c r="ER11">
        <v>52</v>
      </c>
      <c r="ES11">
        <v>100</v>
      </c>
      <c r="ET11">
        <v>26</v>
      </c>
      <c r="EU11">
        <v>135</v>
      </c>
      <c r="EV11">
        <v>32</v>
      </c>
      <c r="EW11">
        <v>1</v>
      </c>
      <c r="EX11">
        <v>0.5</v>
      </c>
      <c r="EY11">
        <v>0</v>
      </c>
      <c r="EZ11">
        <v>0</v>
      </c>
      <c r="FA11">
        <v>0</v>
      </c>
      <c r="FB11">
        <v>13.9</v>
      </c>
      <c r="FC11" t="s">
        <v>1159</v>
      </c>
      <c r="FD11">
        <v>6.9</v>
      </c>
    </row>
    <row r="12" spans="1:160" ht="24.95" customHeight="1" thickBot="1" x14ac:dyDescent="0.3">
      <c r="A12" s="29" t="str">
        <f t="shared" si="0"/>
        <v>11º</v>
      </c>
      <c r="B12" s="67" t="str">
        <f t="shared" ref="B12:B75" si="118">DQ12</f>
        <v>Patricio Romero Fernández</v>
      </c>
      <c r="C12" s="83" t="str">
        <f t="shared" ref="C12:C75" si="119">DP12</f>
        <v>CHI</v>
      </c>
      <c r="D12" s="9" t="str">
        <f t="shared" ref="D12:D75" si="120">DS12</f>
        <v>U. de Concepción</v>
      </c>
      <c r="E12" s="91" t="str">
        <f t="shared" ref="E12:E75" si="121">DU12</f>
        <v>Pé Esquerdo</v>
      </c>
      <c r="F12" s="155">
        <f t="shared" ref="F12:F75" si="122">IFERROR(SUBSTITUTE(DT12," cm","")/100,0)</f>
        <v>1.74</v>
      </c>
      <c r="G12" s="35">
        <f t="shared" ref="G12:G75" si="123">IF(DX12="-", "Sem Data Final", DX12)</f>
        <v>46752</v>
      </c>
      <c r="H12" s="7">
        <f t="shared" ref="H12:H75" si="124">DR12</f>
        <v>21</v>
      </c>
      <c r="I12" s="299" t="str">
        <f t="shared" ref="I12:I75" si="125">DW12</f>
        <v>975 € - 1,2m € p/m</v>
      </c>
      <c r="J12" s="3" t="str">
        <f t="shared" ref="J12:J75" si="126">DV12</f>
        <v>130m € - 1,3M €</v>
      </c>
      <c r="K12" s="89">
        <f t="shared" si="10"/>
        <v>31.398046398046404</v>
      </c>
      <c r="L12" s="133">
        <f t="shared" ref="L12:L75" si="127">DY12/90</f>
        <v>37.022222222222226</v>
      </c>
      <c r="M12" s="134">
        <f t="shared" ref="M12:M75" si="128">IF(ISERROR(FIND("(",DZ12)), VALUE(DZ12), VALUE(LEFT(DZ12,FIND("(",DZ12)-2)) + VALUE(MID(DZ12,FIND("(",DZ12)+1,FIND(")",DZ12)-FIND("(",DZ12)-1)))</f>
        <v>44</v>
      </c>
      <c r="N12" s="134">
        <f t="shared" ref="N12:N75" si="129">IFERROR(DY12/M12,0)</f>
        <v>75.727272727272734</v>
      </c>
      <c r="O12" s="173">
        <f t="shared" ref="O12:O75" si="130">IFERROR(IF(ISERROR(FIND("(",DZ12)), "100%", TEXT(VALUE(LEFT(DZ12,FIND("(",DZ12)-2)) / (VALUE(LEFT(DZ12,FIND("(",DZ12)-2)) + VALUE(MID(DZ12,FIND("(",DZ12)+1,FIND(")",DZ12)-FIND("(",DZ12)-1))),"0%")),0)*1</f>
        <v>0.84</v>
      </c>
      <c r="P12" s="402">
        <f t="shared" ref="P12:P75" si="131">EB12</f>
        <v>11</v>
      </c>
      <c r="Q12" s="402">
        <f t="shared" ref="Q12:Q75" si="132">EC12</f>
        <v>3</v>
      </c>
      <c r="R12" s="402">
        <f t="shared" ref="R12:R75" si="133">P12+Q12</f>
        <v>14</v>
      </c>
      <c r="S12" s="6">
        <f t="shared" ref="S12:S75" si="134">EA12</f>
        <v>0</v>
      </c>
      <c r="T12" s="24">
        <f t="shared" ref="T12:T75" si="135">IFERROR(DY12/S12,5000)</f>
        <v>5000</v>
      </c>
      <c r="U12" s="21">
        <f t="shared" ref="U12:U75" si="136">(S12*1)/L12</f>
        <v>0</v>
      </c>
      <c r="V12" s="298">
        <f t="shared" ref="V12:V75" si="137">EU12-ES12</f>
        <v>0</v>
      </c>
      <c r="W12" s="300">
        <f t="shared" ref="W12:W75" si="138">IFERROR(V12/L12,0)</f>
        <v>0</v>
      </c>
      <c r="X12" s="298">
        <f t="shared" ref="X12:X75" si="139">EV12-ET12</f>
        <v>0</v>
      </c>
      <c r="Y12" s="300">
        <f t="shared" ref="Y12:Y75" si="140">IFERROR(X12/L12,0)</f>
        <v>0</v>
      </c>
      <c r="Z12" s="290">
        <f t="shared" ref="Z12:Z75" si="141">IFERROR(X12/V12,0)</f>
        <v>0</v>
      </c>
      <c r="AA12" s="298">
        <f t="shared" ref="AA12:AA75" si="142">EY12</f>
        <v>0</v>
      </c>
      <c r="AB12" s="286">
        <f t="shared" ref="AB12:AB75" si="143">EZ12</f>
        <v>0</v>
      </c>
      <c r="AC12" s="286">
        <f t="shared" ref="AC12:AC75" si="144">FA12</f>
        <v>0</v>
      </c>
      <c r="AD12" s="286">
        <f t="shared" ref="AD12:AD75" si="145">EZ12-FA12</f>
        <v>0</v>
      </c>
      <c r="AE12" s="21">
        <f t="shared" ref="AE12:AE75" si="146">IFERROR((FA12*1)/EZ12,0.0000001)</f>
        <v>9.9999999999999995E-8</v>
      </c>
      <c r="AF12" s="421">
        <f t="shared" ref="AF12:AF75" si="147">EB12</f>
        <v>11</v>
      </c>
      <c r="AG12" s="421">
        <f t="shared" ref="AG12:AG75" si="148">EC12</f>
        <v>3</v>
      </c>
      <c r="AH12" s="421">
        <f t="shared" ref="AH12:AH75" si="149">AF12+AG12</f>
        <v>14</v>
      </c>
      <c r="AI12" s="421">
        <f t="shared" ref="AI12:AI75" si="150">AF12-FA12</f>
        <v>11</v>
      </c>
      <c r="AJ12" s="420">
        <f t="shared" ref="AJ12:AJ75" si="151">EW12</f>
        <v>0</v>
      </c>
      <c r="AK12" s="422">
        <f t="shared" ref="AK12:AK75" si="152">IFERROR((P12/L12),0)</f>
        <v>0.29711884753901557</v>
      </c>
      <c r="AL12" s="422">
        <f t="shared" ref="AL12:AL75" si="153">IFERROR((Q12/L12),0)</f>
        <v>8.1032412965186068E-2</v>
      </c>
      <c r="AM12" s="422">
        <f t="shared" ref="AM12:AM75" si="154">IFERROR((P12+Q12)/L12,0)</f>
        <v>0.37815126050420167</v>
      </c>
      <c r="AN12" s="5">
        <f t="shared" ref="AN12:AN75" si="155">SUBSTITUTE(EF12,".","," )*1</f>
        <v>7.57</v>
      </c>
      <c r="AO12" s="5">
        <f t="shared" ref="AO12:AO75" si="156">IFERROR(AN12-(EZ12*0.79),0)</f>
        <v>7.57</v>
      </c>
      <c r="AP12" s="5">
        <f t="shared" ref="AP12:AP75" si="157">IFERROR(AO12/L12,0)</f>
        <v>0.20447178871548619</v>
      </c>
      <c r="AQ12" s="5">
        <f t="shared" ref="AQ12:AQ75" si="158">SUBSTITUTE(EG12,".","," )*1</f>
        <v>1.55</v>
      </c>
      <c r="AR12" s="5">
        <f t="shared" ref="AR12:AR75" si="159">IFERROR(AQ12/L12,0)</f>
        <v>4.1866746698679472E-2</v>
      </c>
      <c r="AS12" s="5">
        <f t="shared" ref="AS12:AS75" si="160">AO12+AQ12</f>
        <v>9.120000000000001</v>
      </c>
      <c r="AT12" s="5">
        <f t="shared" ref="AT12:AT75" si="161">IFERROR(AS12/L12,0)</f>
        <v>0.24633853541416567</v>
      </c>
      <c r="AU12" s="21">
        <f t="shared" ref="AU12:AU75" si="162">IFERROR(AQ12/(AQ12+EC12),0)</f>
        <v>0.34065934065934067</v>
      </c>
      <c r="AV12" s="21">
        <f t="shared" ref="AV12:AV75" si="163">IFERROR(EB12/(EB12+AN12),0)</f>
        <v>0.59235325794291871</v>
      </c>
      <c r="AW12" s="6">
        <f t="shared" ref="AW12:AW75" si="164">ES12</f>
        <v>12</v>
      </c>
      <c r="AX12" s="6">
        <f t="shared" ref="AX12:AX75" si="165">ET12</f>
        <v>2</v>
      </c>
      <c r="AY12" s="21">
        <f t="shared" ref="AY12:AY75" si="166">IFERROR((AX12*1)/AW12,0)</f>
        <v>0.16666666666666666</v>
      </c>
      <c r="AZ12" s="304">
        <f t="shared" ref="AZ12:AZ75" si="167">EN12</f>
        <v>22</v>
      </c>
      <c r="BA12" s="305">
        <f t="shared" ref="BA12:BA75" si="168">IFERROR(AZ12/L12,0)</f>
        <v>0.59423769507803115</v>
      </c>
      <c r="BB12" s="413">
        <f t="shared" ref="BB12:BB75" si="169">(0.45*(ED12))+(0.15*BN12)+(0.05*BK12)+(0.15*AZ12)+(0.15*AQ12)+(CM12*0.05)</f>
        <v>13.872499999999999</v>
      </c>
      <c r="BC12" s="413">
        <f t="shared" ref="BC12:BC75" si="170">(0.45*(ED12/L12))+(0.15*BO12)+(0.05*BL12)+(0.15*BA12)+(0.15*AR12)+(CN12*0.05)</f>
        <v>0.37470738295318123</v>
      </c>
      <c r="BD12" s="6">
        <f t="shared" ref="BD12:BD75" si="171">EJ12</f>
        <v>996</v>
      </c>
      <c r="BE12" s="5">
        <f t="shared" ref="BE12:BE75" si="172">IFERROR(BD12/L12,0)</f>
        <v>26.902761104441772</v>
      </c>
      <c r="BF12" s="6">
        <f t="shared" ref="BF12:BF75" si="173">EK12</f>
        <v>898</v>
      </c>
      <c r="BG12" s="5">
        <f t="shared" ref="BG12:BG75" si="174">IFERROR(BF12/L12,0)</f>
        <v>24.255702280912363</v>
      </c>
      <c r="BH12" s="21">
        <f t="shared" ref="BH12:BH75" si="175">BF12/BD12</f>
        <v>0.90160642570281124</v>
      </c>
      <c r="BI12" s="417">
        <f t="shared" ref="BI12:BI75" si="176">EJ12-EK12</f>
        <v>98</v>
      </c>
      <c r="BJ12" s="418">
        <f t="shared" ref="BJ12:BJ75" si="177">IFERROR(BI12/L12,0)</f>
        <v>2.6470588235294117</v>
      </c>
      <c r="BK12" s="195">
        <f t="shared" ref="BK12:BK75" si="178">EM12</f>
        <v>25</v>
      </c>
      <c r="BL12" s="5">
        <f t="shared" ref="BL12:BL75" si="179">IFERROR(BK12/L12,0)</f>
        <v>0.67527010804321719</v>
      </c>
      <c r="BM12" s="21">
        <f t="shared" ref="BM12:BM75" si="180">EM12/EJ12</f>
        <v>2.5100401606425703E-2</v>
      </c>
      <c r="BN12" s="195">
        <f t="shared" ref="BN12:BN75" si="181">IFERROR(EL12,0)</f>
        <v>36</v>
      </c>
      <c r="BO12" s="185">
        <f t="shared" ref="BO12:BO75" si="182">IFERROR(BN12/L12,0)</f>
        <v>0.97238895558223282</v>
      </c>
      <c r="BP12" s="5">
        <f t="shared" ref="BP12:BP75" si="183">IFERROR(EL12/EC12,25)</f>
        <v>12</v>
      </c>
      <c r="BQ12" s="21">
        <f t="shared" ref="BQ12:BQ75" si="184">IFERROR(EC12/EL12,0)</f>
        <v>8.3333333333333329E-2</v>
      </c>
      <c r="BR12" s="5">
        <f t="shared" ref="BR12:BR75" si="185">IFERROR((AQ12-EC12),0)</f>
        <v>-1.45</v>
      </c>
      <c r="BS12" s="5">
        <f t="shared" ref="BS12:BS75" si="186">IFERROR(AQ12/EL12,0)</f>
        <v>4.3055555555555555E-2</v>
      </c>
      <c r="BT12" s="24">
        <f t="shared" ref="BT12:BT75" si="187">IFERROR(DY12/EL12,0)</f>
        <v>92.555555555555557</v>
      </c>
      <c r="BU12" s="5">
        <f t="shared" ref="BU12:BU75" si="188">IFERROR(DY12/((ED12-EZ12)+EP12+EL12),0)</f>
        <v>45.027027027027025</v>
      </c>
      <c r="BV12" s="5">
        <f t="shared" ref="BV12:BV75" si="189">IFERROR(EB12-AN12,0)</f>
        <v>3.4299999999999997</v>
      </c>
      <c r="BW12" s="5">
        <f t="shared" ref="BW12:BW75" si="190">IFERROR(BV12-(FA12*0.79),0)</f>
        <v>3.4299999999999997</v>
      </c>
      <c r="BX12" s="6">
        <f t="shared" ref="BX12:BX75" si="191">IFERROR(EO12-EZ12,0)</f>
        <v>65</v>
      </c>
      <c r="BY12" s="5">
        <f t="shared" ref="BY12:BY75" si="192">IFERROR(BX12/L12,0)</f>
        <v>1.7557022809123648</v>
      </c>
      <c r="BZ12" s="6">
        <f t="shared" ref="BZ12:BZ75" si="193">EO12-EP12</f>
        <v>33</v>
      </c>
      <c r="CA12" s="5">
        <f t="shared" ref="CA12:CA75" si="194">BZ12/L12</f>
        <v>0.89135654261704678</v>
      </c>
      <c r="CB12" s="6">
        <f t="shared" ref="CB12:CB75" si="195">IFERROR(EP12,0)</f>
        <v>32</v>
      </c>
      <c r="CC12" s="5">
        <f t="shared" ref="CC12:CC75" si="196">CB12/L12</f>
        <v>0.86434573829531802</v>
      </c>
      <c r="CD12" s="5">
        <f t="shared" ref="CD12:CD75" si="197">IFERROR((EP12-FA12)/L12,0)</f>
        <v>0.86434573829531802</v>
      </c>
      <c r="CE12" s="21">
        <f t="shared" ref="CE12:CE75" si="198">IFERROR(((EP12-FA12)/(EO12-EZ12)),0)</f>
        <v>0.49230769230769234</v>
      </c>
      <c r="CF12" s="5">
        <f t="shared" ref="CF12:CF75" si="199">IFERROR(BX12/(EB12-FA12),50)</f>
        <v>5.9090909090909092</v>
      </c>
      <c r="CG12" s="5">
        <f t="shared" ref="CG12:CG75" si="200">IFERROR(EP12/EB12,50)</f>
        <v>2.9090909090909092</v>
      </c>
      <c r="CH12" s="21">
        <f t="shared" ref="CH12:CH75" si="201">IFERROR(AI12/BX12,0)</f>
        <v>0.16923076923076924</v>
      </c>
      <c r="CI12" s="298">
        <f t="shared" ref="CI12:CI75" si="202">EB12-EW12-EZ12</f>
        <v>11</v>
      </c>
      <c r="CJ12" s="298">
        <f t="shared" ref="CJ12:CJ75" si="203">EW12</f>
        <v>0</v>
      </c>
      <c r="CK12" s="298">
        <f t="shared" ref="CK12:CK75" si="204">EZ12</f>
        <v>0</v>
      </c>
      <c r="CL12" s="21">
        <f t="shared" ref="CL12:CL75" si="205">IFERROR((EW12/L12)/EX12,0)</f>
        <v>0</v>
      </c>
      <c r="CM12" s="6">
        <f t="shared" ref="CM12:CM75" si="206">EE12</f>
        <v>19.8</v>
      </c>
      <c r="CN12" s="5">
        <f t="shared" ref="CN12:CN75" si="207">IFERROR(CM12/L12,0)</f>
        <v>0.53481392557022811</v>
      </c>
      <c r="CO12" s="167">
        <f t="shared" ref="CO12:CO75" si="208">IFERROR(ES12+EO12+EN12+EL12,0)</f>
        <v>135</v>
      </c>
      <c r="CP12" s="5">
        <f t="shared" ref="CP12:CP75" si="209">IFERROR(CO12/L12,0)</f>
        <v>3.6464585834333731</v>
      </c>
      <c r="CQ12" s="6">
        <f t="shared" ref="CQ12:CQ75" si="210">IFERROR(ET12+EP12+EN12+EL12,0)</f>
        <v>92</v>
      </c>
      <c r="CR12" s="5">
        <f t="shared" ref="CR12:CR75" si="211">IFERROR(CQ12/L12,0)</f>
        <v>2.4849939975990392</v>
      </c>
      <c r="CS12" s="21">
        <f t="shared" ref="CS12:CS75" si="212">IFERROR(CQ12/CO12,0)</f>
        <v>0.68148148148148147</v>
      </c>
      <c r="CT12" s="6">
        <f t="shared" ref="CT12:CT75" si="213">IFERROR(EP12+AQ12+(ED12-EZ12)+EL12+EW12+ET12+(EB12*0.5)+(EC12*0.5),0)</f>
        <v>84.55</v>
      </c>
      <c r="CU12" s="5">
        <f t="shared" ref="CU12:CU75" si="214">IFERROR(CT12/L12,0)</f>
        <v>2.2837635054021606</v>
      </c>
      <c r="CV12" s="6">
        <f t="shared" ref="CV12:CV75" si="215">IFERROR((EL12+(ED12-EZ12)+AQ12)+(EB12*0.75)+(EC12*0.75)+EP12+ET12,0)</f>
        <v>88.05</v>
      </c>
      <c r="CW12" s="5">
        <f t="shared" ref="CW12:CW75" si="216">IFERROR(CV12/L12,0)</f>
        <v>2.3783013205282111</v>
      </c>
      <c r="CX12" s="385">
        <f t="shared" ref="CX12:CX75" si="217">(((ED12/DY12)*90)*5)+(((AR12*4.5)+(((AN12/DY12)*90)*3.8)+(((EL12/DY12)*90)*2.5)+(((ET12/DY12)*90)*1.8)+(((EM12/DY12)*90)*2.2)+(((EB12/DY12)*90)*2)+(((EC12/DY12)*90)*2.5)))</f>
        <v>6.5863415366146452</v>
      </c>
      <c r="CY12" s="5">
        <f t="shared" ref="CY12:CY75" si="218">IFERROR((EJ12+EN12+ET12+EV12+EY12+FA12+ER12+EO12+ED12+EL12+EM12)/L12,0)</f>
        <v>31.926770708283311</v>
      </c>
      <c r="CZ12" s="5">
        <f t="shared" ref="CZ12:CZ75" si="219">IFERROR((EK12+EL12+ED12+EM12)/L12,0)</f>
        <v>26.065426170468186</v>
      </c>
      <c r="DA12" s="6">
        <f t="shared" ref="DA12:DA75" si="220">IFERROR((EL12+EM12),0)</f>
        <v>61</v>
      </c>
      <c r="DB12" s="5">
        <f t="shared" ref="DB12:DB75" si="221">IFERROR(DA12/L12,0)</f>
        <v>1.64765906362545</v>
      </c>
      <c r="DC12" s="6">
        <f t="shared" ref="DC12:DC75" si="222">IFERROR(EN12+EO12+EL12+(ED12-EZ12)+EM12+ES12,0)</f>
        <v>166</v>
      </c>
      <c r="DD12" s="5">
        <f t="shared" ref="DD12:DD75" si="223">IFERROR(DC12/L12,0)</f>
        <v>4.4837935174069621</v>
      </c>
      <c r="DE12" s="6">
        <f t="shared" ref="DE12:DE75" si="224">IFERROR(EL12+ED12+EO12,0)</f>
        <v>107</v>
      </c>
      <c r="DF12" s="5">
        <f t="shared" ref="DF12:DF75" si="225">IFERROR(DE12/L12,0)</f>
        <v>2.8901560624249698</v>
      </c>
      <c r="DG12" s="6">
        <f t="shared" ref="DG12:DG75" si="226">(EO12-EP12)+(EJ12-EK12)+(ES12-ET12)</f>
        <v>141</v>
      </c>
      <c r="DH12" s="5">
        <f t="shared" ref="DH12:DH75" si="227">IFERROR(DG12/L12,0)</f>
        <v>3.8085234093637452</v>
      </c>
      <c r="DI12" s="5">
        <f t="shared" ref="DI12:DI75" si="228">EE12</f>
        <v>19.8</v>
      </c>
      <c r="DJ12" s="5">
        <f t="shared" ref="DJ12:DJ75" si="229">VALUE(SUBSTITUTE(FC12, " km", ""))</f>
        <v>340.4</v>
      </c>
      <c r="DK12" s="5">
        <f t="shared" ref="DK12:DK75" si="230">IFERROR(DJ12/L12,0)</f>
        <v>9.1944777911164444</v>
      </c>
      <c r="DL12" s="286">
        <f t="shared" ref="DL12:DL75" si="231">DM12*L12</f>
        <v>281.36888888888888</v>
      </c>
      <c r="DM12" s="287">
        <f t="shared" ref="DM12:DM75" si="232">FB12</f>
        <v>7.6</v>
      </c>
      <c r="DN12" s="60">
        <f t="shared" ref="DN12:DN75" si="233">IFERROR(VALUE(SUBSTITUTE(FD12, ".", ",")),0)</f>
        <v>6.76</v>
      </c>
      <c r="DO12"/>
      <c r="DP12" t="s">
        <v>1160</v>
      </c>
      <c r="DQ12" t="s">
        <v>1161</v>
      </c>
      <c r="DR12">
        <v>21</v>
      </c>
      <c r="DS12" t="s">
        <v>1162</v>
      </c>
      <c r="DT12" t="s">
        <v>853</v>
      </c>
      <c r="DU12" t="s">
        <v>579</v>
      </c>
      <c r="DV12" t="s">
        <v>1163</v>
      </c>
      <c r="DW12" t="s">
        <v>1164</v>
      </c>
      <c r="DX12" s="430">
        <v>46752</v>
      </c>
      <c r="DY12">
        <v>3332</v>
      </c>
      <c r="DZ12" t="s">
        <v>1165</v>
      </c>
      <c r="EA12">
        <v>0</v>
      </c>
      <c r="EB12">
        <v>11</v>
      </c>
      <c r="EC12">
        <v>3</v>
      </c>
      <c r="ED12">
        <v>6</v>
      </c>
      <c r="EE12">
        <v>19.8</v>
      </c>
      <c r="EF12" t="s">
        <v>1166</v>
      </c>
      <c r="EG12" t="s">
        <v>1167</v>
      </c>
      <c r="EH12">
        <v>28</v>
      </c>
      <c r="EI12">
        <v>43</v>
      </c>
      <c r="EJ12">
        <v>996</v>
      </c>
      <c r="EK12">
        <v>898</v>
      </c>
      <c r="EL12">
        <v>36</v>
      </c>
      <c r="EM12">
        <v>25</v>
      </c>
      <c r="EN12">
        <v>22</v>
      </c>
      <c r="EO12">
        <v>65</v>
      </c>
      <c r="EP12">
        <v>32</v>
      </c>
      <c r="EQ12">
        <v>60</v>
      </c>
      <c r="ER12">
        <v>28</v>
      </c>
      <c r="ES12">
        <v>12</v>
      </c>
      <c r="ET12">
        <v>2</v>
      </c>
      <c r="EU12">
        <v>12</v>
      </c>
      <c r="EV12">
        <v>2</v>
      </c>
      <c r="EW12">
        <v>0</v>
      </c>
      <c r="EX12">
        <v>0.6</v>
      </c>
      <c r="EY12">
        <v>0</v>
      </c>
      <c r="EZ12">
        <v>0</v>
      </c>
      <c r="FA12">
        <v>0</v>
      </c>
      <c r="FB12">
        <v>7.6</v>
      </c>
      <c r="FC12" t="s">
        <v>1168</v>
      </c>
      <c r="FD12">
        <v>6.76</v>
      </c>
    </row>
    <row r="13" spans="1:160" ht="24.95" customHeight="1" thickBot="1" x14ac:dyDescent="0.3">
      <c r="A13" s="29" t="str">
        <f t="shared" si="0"/>
        <v>12º</v>
      </c>
      <c r="B13" s="67" t="str">
        <f t="shared" si="118"/>
        <v>Lucas Ríos</v>
      </c>
      <c r="C13" s="83" t="str">
        <f t="shared" si="119"/>
        <v>ARG</v>
      </c>
      <c r="D13" s="9" t="str">
        <f t="shared" si="120"/>
        <v>Atlanta</v>
      </c>
      <c r="E13" s="91" t="str">
        <f t="shared" si="121"/>
        <v>Pé Esquerdo</v>
      </c>
      <c r="F13" s="155">
        <f t="shared" si="122"/>
        <v>1.72</v>
      </c>
      <c r="G13" s="35">
        <f t="shared" si="123"/>
        <v>47118</v>
      </c>
      <c r="H13" s="7">
        <f t="shared" si="124"/>
        <v>25</v>
      </c>
      <c r="I13" s="299" t="str">
        <f t="shared" si="125"/>
        <v>950 € - 1,5m € p/m</v>
      </c>
      <c r="J13" s="3" t="str">
        <f t="shared" si="126"/>
        <v>60m € - 600m €</v>
      </c>
      <c r="K13" s="89">
        <f t="shared" si="10"/>
        <v>31.398046398046404</v>
      </c>
      <c r="L13" s="133">
        <f t="shared" si="127"/>
        <v>29.888888888888889</v>
      </c>
      <c r="M13" s="134">
        <f t="shared" si="128"/>
        <v>35</v>
      </c>
      <c r="N13" s="134">
        <f t="shared" si="129"/>
        <v>76.857142857142861</v>
      </c>
      <c r="O13" s="173">
        <f t="shared" si="130"/>
        <v>1</v>
      </c>
      <c r="P13" s="402">
        <f t="shared" si="131"/>
        <v>8</v>
      </c>
      <c r="Q13" s="402">
        <f t="shared" si="132"/>
        <v>4</v>
      </c>
      <c r="R13" s="402">
        <f t="shared" si="133"/>
        <v>12</v>
      </c>
      <c r="S13" s="6">
        <f t="shared" si="134"/>
        <v>3</v>
      </c>
      <c r="T13" s="24">
        <f t="shared" si="135"/>
        <v>896.66666666666663</v>
      </c>
      <c r="U13" s="21">
        <f t="shared" si="136"/>
        <v>0.10037174721189591</v>
      </c>
      <c r="V13" s="298">
        <f t="shared" si="137"/>
        <v>0</v>
      </c>
      <c r="W13" s="300">
        <f t="shared" si="138"/>
        <v>0</v>
      </c>
      <c r="X13" s="298">
        <f t="shared" si="139"/>
        <v>0</v>
      </c>
      <c r="Y13" s="300">
        <f t="shared" si="140"/>
        <v>0</v>
      </c>
      <c r="Z13" s="290">
        <f t="shared" si="141"/>
        <v>0</v>
      </c>
      <c r="AA13" s="298">
        <f t="shared" si="142"/>
        <v>1</v>
      </c>
      <c r="AB13" s="286">
        <f t="shared" si="143"/>
        <v>2</v>
      </c>
      <c r="AC13" s="286">
        <f t="shared" si="144"/>
        <v>1</v>
      </c>
      <c r="AD13" s="286">
        <f t="shared" si="145"/>
        <v>1</v>
      </c>
      <c r="AE13" s="21">
        <f t="shared" si="146"/>
        <v>0.5</v>
      </c>
      <c r="AF13" s="421">
        <f t="shared" si="147"/>
        <v>8</v>
      </c>
      <c r="AG13" s="421">
        <f t="shared" si="148"/>
        <v>4</v>
      </c>
      <c r="AH13" s="421">
        <f t="shared" si="149"/>
        <v>12</v>
      </c>
      <c r="AI13" s="421">
        <f t="shared" si="150"/>
        <v>7</v>
      </c>
      <c r="AJ13" s="420">
        <f t="shared" si="151"/>
        <v>3</v>
      </c>
      <c r="AK13" s="422">
        <f t="shared" si="152"/>
        <v>0.26765799256505574</v>
      </c>
      <c r="AL13" s="422">
        <f t="shared" si="153"/>
        <v>0.13382899628252787</v>
      </c>
      <c r="AM13" s="422">
        <f t="shared" si="154"/>
        <v>0.40148698884758366</v>
      </c>
      <c r="AN13" s="5">
        <f t="shared" si="155"/>
        <v>6.46</v>
      </c>
      <c r="AO13" s="5">
        <f t="shared" si="156"/>
        <v>4.88</v>
      </c>
      <c r="AP13" s="5">
        <f t="shared" si="157"/>
        <v>0.16327137546468401</v>
      </c>
      <c r="AQ13" s="5">
        <f t="shared" si="158"/>
        <v>2.98</v>
      </c>
      <c r="AR13" s="5">
        <f t="shared" si="159"/>
        <v>9.9702602230483273E-2</v>
      </c>
      <c r="AS13" s="5">
        <f t="shared" si="160"/>
        <v>7.8599999999999994</v>
      </c>
      <c r="AT13" s="5">
        <f t="shared" si="161"/>
        <v>0.26297397769516728</v>
      </c>
      <c r="AU13" s="21">
        <f t="shared" si="162"/>
        <v>0.42693409742120342</v>
      </c>
      <c r="AV13" s="21">
        <f t="shared" si="163"/>
        <v>0.55325034578146604</v>
      </c>
      <c r="AW13" s="6">
        <f t="shared" si="164"/>
        <v>73</v>
      </c>
      <c r="AX13" s="6">
        <f t="shared" si="165"/>
        <v>14</v>
      </c>
      <c r="AY13" s="21">
        <f t="shared" si="166"/>
        <v>0.19178082191780821</v>
      </c>
      <c r="AZ13" s="304">
        <f t="shared" si="167"/>
        <v>94</v>
      </c>
      <c r="BA13" s="305">
        <f t="shared" si="168"/>
        <v>3.1449814126394053</v>
      </c>
      <c r="BB13" s="413">
        <f t="shared" si="169"/>
        <v>31.922000000000001</v>
      </c>
      <c r="BC13" s="413">
        <f t="shared" si="170"/>
        <v>1.0680223048327138</v>
      </c>
      <c r="BD13" s="6">
        <f t="shared" si="171"/>
        <v>1320</v>
      </c>
      <c r="BE13" s="5">
        <f t="shared" si="172"/>
        <v>44.163568773234203</v>
      </c>
      <c r="BF13" s="6">
        <f t="shared" si="173"/>
        <v>1173</v>
      </c>
      <c r="BG13" s="5">
        <f t="shared" si="174"/>
        <v>39.245353159851298</v>
      </c>
      <c r="BH13" s="21">
        <f t="shared" si="175"/>
        <v>0.88863636363636367</v>
      </c>
      <c r="BI13" s="417">
        <f t="shared" si="176"/>
        <v>147</v>
      </c>
      <c r="BJ13" s="418">
        <f t="shared" si="177"/>
        <v>4.9182156133828991</v>
      </c>
      <c r="BK13" s="195">
        <f t="shared" si="178"/>
        <v>114</v>
      </c>
      <c r="BL13" s="5">
        <f t="shared" si="179"/>
        <v>3.8141263940520447</v>
      </c>
      <c r="BM13" s="21">
        <f t="shared" si="180"/>
        <v>8.6363636363636365E-2</v>
      </c>
      <c r="BN13" s="195">
        <f t="shared" si="181"/>
        <v>64</v>
      </c>
      <c r="BO13" s="185">
        <f t="shared" si="182"/>
        <v>2.1412639405204459</v>
      </c>
      <c r="BP13" s="5">
        <f t="shared" si="183"/>
        <v>16</v>
      </c>
      <c r="BQ13" s="21">
        <f t="shared" si="184"/>
        <v>6.25E-2</v>
      </c>
      <c r="BR13" s="5">
        <f t="shared" si="185"/>
        <v>-1.02</v>
      </c>
      <c r="BS13" s="5">
        <f t="shared" si="186"/>
        <v>4.65625E-2</v>
      </c>
      <c r="BT13" s="24">
        <f t="shared" si="187"/>
        <v>42.03125</v>
      </c>
      <c r="BU13" s="5">
        <f t="shared" si="188"/>
        <v>27.448979591836736</v>
      </c>
      <c r="BV13" s="5">
        <f t="shared" si="189"/>
        <v>1.54</v>
      </c>
      <c r="BW13" s="5">
        <f t="shared" si="190"/>
        <v>0.75</v>
      </c>
      <c r="BX13" s="6">
        <f t="shared" si="191"/>
        <v>69</v>
      </c>
      <c r="BY13" s="5">
        <f t="shared" si="192"/>
        <v>2.3085501858736057</v>
      </c>
      <c r="BZ13" s="6">
        <f t="shared" si="193"/>
        <v>38</v>
      </c>
      <c r="CA13" s="5">
        <f t="shared" si="194"/>
        <v>1.2713754646840147</v>
      </c>
      <c r="CB13" s="6">
        <f t="shared" si="195"/>
        <v>33</v>
      </c>
      <c r="CC13" s="5">
        <f t="shared" si="196"/>
        <v>1.1040892193308549</v>
      </c>
      <c r="CD13" s="5">
        <f t="shared" si="197"/>
        <v>1.0706319702602229</v>
      </c>
      <c r="CE13" s="21">
        <f t="shared" si="198"/>
        <v>0.46376811594202899</v>
      </c>
      <c r="CF13" s="5">
        <f t="shared" si="199"/>
        <v>9.8571428571428577</v>
      </c>
      <c r="CG13" s="5">
        <f t="shared" si="200"/>
        <v>4.125</v>
      </c>
      <c r="CH13" s="21">
        <f t="shared" si="201"/>
        <v>0.10144927536231885</v>
      </c>
      <c r="CI13" s="298">
        <f t="shared" si="202"/>
        <v>3</v>
      </c>
      <c r="CJ13" s="298">
        <f t="shared" si="203"/>
        <v>3</v>
      </c>
      <c r="CK13" s="298">
        <f t="shared" si="204"/>
        <v>2</v>
      </c>
      <c r="CL13" s="21">
        <f t="shared" si="205"/>
        <v>9.1247042919905375E-2</v>
      </c>
      <c r="CM13" s="6">
        <f t="shared" si="206"/>
        <v>14.5</v>
      </c>
      <c r="CN13" s="5">
        <f t="shared" si="207"/>
        <v>0.48513011152416358</v>
      </c>
      <c r="CO13" s="167">
        <f t="shared" si="208"/>
        <v>302</v>
      </c>
      <c r="CP13" s="5">
        <f t="shared" si="209"/>
        <v>10.104089219330854</v>
      </c>
      <c r="CQ13" s="6">
        <f t="shared" si="210"/>
        <v>205</v>
      </c>
      <c r="CR13" s="5">
        <f t="shared" si="211"/>
        <v>6.8587360594795541</v>
      </c>
      <c r="CS13" s="21">
        <f t="shared" si="212"/>
        <v>0.67880794701986757</v>
      </c>
      <c r="CT13" s="6">
        <f t="shared" si="213"/>
        <v>123.97999999999999</v>
      </c>
      <c r="CU13" s="5">
        <f t="shared" si="214"/>
        <v>4.148029739776951</v>
      </c>
      <c r="CV13" s="6">
        <f t="shared" si="215"/>
        <v>123.98</v>
      </c>
      <c r="CW13" s="5">
        <f t="shared" si="216"/>
        <v>4.1480297397769519</v>
      </c>
      <c r="CX13" s="385">
        <f t="shared" si="217"/>
        <v>17.2290780669145</v>
      </c>
      <c r="CY13" s="5">
        <f t="shared" si="218"/>
        <v>59.6542750929368</v>
      </c>
      <c r="CZ13" s="5">
        <f t="shared" si="219"/>
        <v>45.301115241635685</v>
      </c>
      <c r="DA13" s="6">
        <f t="shared" si="220"/>
        <v>178</v>
      </c>
      <c r="DB13" s="5">
        <f t="shared" si="221"/>
        <v>5.955390334572491</v>
      </c>
      <c r="DC13" s="6">
        <f t="shared" si="222"/>
        <v>417</v>
      </c>
      <c r="DD13" s="5">
        <f t="shared" si="223"/>
        <v>13.951672862453531</v>
      </c>
      <c r="DE13" s="6">
        <f t="shared" si="224"/>
        <v>138</v>
      </c>
      <c r="DF13" s="5">
        <f t="shared" si="225"/>
        <v>4.6171003717472114</v>
      </c>
      <c r="DG13" s="6">
        <f t="shared" si="226"/>
        <v>244</v>
      </c>
      <c r="DH13" s="5">
        <f t="shared" si="227"/>
        <v>8.1635687732341999</v>
      </c>
      <c r="DI13" s="5">
        <f t="shared" si="228"/>
        <v>14.5</v>
      </c>
      <c r="DJ13" s="5">
        <f t="shared" si="229"/>
        <v>349.8</v>
      </c>
      <c r="DK13" s="5">
        <f t="shared" si="230"/>
        <v>11.703345724907063</v>
      </c>
      <c r="DL13" s="286">
        <f t="shared" si="231"/>
        <v>421.43333333333334</v>
      </c>
      <c r="DM13" s="287">
        <f t="shared" si="232"/>
        <v>14.1</v>
      </c>
      <c r="DN13" s="60">
        <f t="shared" si="233"/>
        <v>7</v>
      </c>
      <c r="DO13"/>
      <c r="DP13" t="s">
        <v>708</v>
      </c>
      <c r="DQ13" t="s">
        <v>1169</v>
      </c>
      <c r="DR13">
        <v>25</v>
      </c>
      <c r="DS13" t="s">
        <v>1170</v>
      </c>
      <c r="DT13" t="s">
        <v>982</v>
      </c>
      <c r="DU13" t="s">
        <v>579</v>
      </c>
      <c r="DV13" t="s">
        <v>1171</v>
      </c>
      <c r="DW13" t="s">
        <v>1172</v>
      </c>
      <c r="DX13" s="430">
        <v>47118</v>
      </c>
      <c r="DY13">
        <v>2690</v>
      </c>
      <c r="DZ13">
        <v>35</v>
      </c>
      <c r="EA13">
        <v>3</v>
      </c>
      <c r="EB13">
        <v>8</v>
      </c>
      <c r="EC13">
        <v>4</v>
      </c>
      <c r="ED13">
        <v>3</v>
      </c>
      <c r="EE13">
        <v>14.5</v>
      </c>
      <c r="EF13" t="s">
        <v>1173</v>
      </c>
      <c r="EG13" t="s">
        <v>1174</v>
      </c>
      <c r="EH13">
        <v>34</v>
      </c>
      <c r="EI13">
        <v>26</v>
      </c>
      <c r="EJ13">
        <v>1320</v>
      </c>
      <c r="EK13">
        <v>1173</v>
      </c>
      <c r="EL13">
        <v>64</v>
      </c>
      <c r="EM13">
        <v>114</v>
      </c>
      <c r="EN13">
        <v>94</v>
      </c>
      <c r="EO13">
        <v>71</v>
      </c>
      <c r="EP13">
        <v>33</v>
      </c>
      <c r="EQ13">
        <v>266</v>
      </c>
      <c r="ER13">
        <v>87</v>
      </c>
      <c r="ES13">
        <v>73</v>
      </c>
      <c r="ET13">
        <v>14</v>
      </c>
      <c r="EU13">
        <v>73</v>
      </c>
      <c r="EV13">
        <v>14</v>
      </c>
      <c r="EW13">
        <v>3</v>
      </c>
      <c r="EX13">
        <v>1.1000000000000001</v>
      </c>
      <c r="EY13">
        <v>1</v>
      </c>
      <c r="EZ13">
        <v>2</v>
      </c>
      <c r="FA13">
        <v>1</v>
      </c>
      <c r="FB13">
        <v>14.1</v>
      </c>
      <c r="FC13" t="s">
        <v>1175</v>
      </c>
      <c r="FD13">
        <v>7</v>
      </c>
    </row>
    <row r="14" spans="1:160" ht="24.95" customHeight="1" thickBot="1" x14ac:dyDescent="0.3">
      <c r="A14" s="29" t="str">
        <f t="shared" si="0"/>
        <v>13º</v>
      </c>
      <c r="B14" s="67" t="str">
        <f t="shared" si="118"/>
        <v>Brian Blando</v>
      </c>
      <c r="C14" s="83" t="str">
        <f t="shared" si="119"/>
        <v>ARG</v>
      </c>
      <c r="D14" s="9" t="str">
        <f t="shared" si="120"/>
        <v>Agropecuario Argentino</v>
      </c>
      <c r="E14" s="91" t="str">
        <f t="shared" si="121"/>
        <v>Pé Direito</v>
      </c>
      <c r="F14" s="155">
        <f t="shared" si="122"/>
        <v>1.77</v>
      </c>
      <c r="G14" s="35">
        <f t="shared" si="123"/>
        <v>47118</v>
      </c>
      <c r="H14" s="7">
        <f t="shared" si="124"/>
        <v>31</v>
      </c>
      <c r="I14" s="299" t="str">
        <f t="shared" si="125"/>
        <v>4,7m € - 7m € p/m</v>
      </c>
      <c r="J14" s="3" t="str">
        <f t="shared" si="126"/>
        <v>Não está à venda</v>
      </c>
      <c r="K14" s="89">
        <f t="shared" si="10"/>
        <v>31.398046398046404</v>
      </c>
      <c r="L14" s="133">
        <f t="shared" si="127"/>
        <v>24.822222222222223</v>
      </c>
      <c r="M14" s="134">
        <f t="shared" si="128"/>
        <v>31</v>
      </c>
      <c r="N14" s="134">
        <f t="shared" si="129"/>
        <v>72.064516129032256</v>
      </c>
      <c r="O14" s="173">
        <f t="shared" si="130"/>
        <v>0.87</v>
      </c>
      <c r="P14" s="402">
        <f t="shared" si="131"/>
        <v>15</v>
      </c>
      <c r="Q14" s="402">
        <f t="shared" si="132"/>
        <v>1</v>
      </c>
      <c r="R14" s="402">
        <f t="shared" si="133"/>
        <v>16</v>
      </c>
      <c r="S14" s="6">
        <f t="shared" si="134"/>
        <v>2</v>
      </c>
      <c r="T14" s="24">
        <f t="shared" si="135"/>
        <v>1117</v>
      </c>
      <c r="U14" s="21">
        <f t="shared" si="136"/>
        <v>8.0572963294538946E-2</v>
      </c>
      <c r="V14" s="298">
        <f t="shared" si="137"/>
        <v>0</v>
      </c>
      <c r="W14" s="300">
        <f t="shared" si="138"/>
        <v>0</v>
      </c>
      <c r="X14" s="298">
        <f t="shared" si="139"/>
        <v>0</v>
      </c>
      <c r="Y14" s="300">
        <f t="shared" si="140"/>
        <v>0</v>
      </c>
      <c r="Z14" s="290">
        <f t="shared" si="141"/>
        <v>0</v>
      </c>
      <c r="AA14" s="298">
        <f t="shared" si="142"/>
        <v>0</v>
      </c>
      <c r="AB14" s="286">
        <f t="shared" si="143"/>
        <v>3</v>
      </c>
      <c r="AC14" s="286">
        <f t="shared" si="144"/>
        <v>3</v>
      </c>
      <c r="AD14" s="286">
        <f t="shared" si="145"/>
        <v>0</v>
      </c>
      <c r="AE14" s="21">
        <f t="shared" si="146"/>
        <v>1</v>
      </c>
      <c r="AF14" s="421">
        <f t="shared" si="147"/>
        <v>15</v>
      </c>
      <c r="AG14" s="421">
        <f t="shared" si="148"/>
        <v>1</v>
      </c>
      <c r="AH14" s="421">
        <f t="shared" si="149"/>
        <v>16</v>
      </c>
      <c r="AI14" s="421">
        <f t="shared" si="150"/>
        <v>12</v>
      </c>
      <c r="AJ14" s="420">
        <f t="shared" si="151"/>
        <v>2</v>
      </c>
      <c r="AK14" s="422">
        <f t="shared" si="152"/>
        <v>0.60429722470904201</v>
      </c>
      <c r="AL14" s="422">
        <f t="shared" si="153"/>
        <v>4.0286481647269473E-2</v>
      </c>
      <c r="AM14" s="422">
        <f t="shared" si="154"/>
        <v>0.64458370635631157</v>
      </c>
      <c r="AN14" s="5">
        <f t="shared" si="155"/>
        <v>10.77</v>
      </c>
      <c r="AO14" s="5">
        <f t="shared" si="156"/>
        <v>8.3999999999999986</v>
      </c>
      <c r="AP14" s="5">
        <f t="shared" si="157"/>
        <v>0.33840644583706347</v>
      </c>
      <c r="AQ14" s="5">
        <f t="shared" si="158"/>
        <v>1.98</v>
      </c>
      <c r="AR14" s="5">
        <f t="shared" si="159"/>
        <v>7.9767233661593551E-2</v>
      </c>
      <c r="AS14" s="5">
        <f t="shared" si="160"/>
        <v>10.379999999999999</v>
      </c>
      <c r="AT14" s="5">
        <f t="shared" si="161"/>
        <v>0.41817367949865708</v>
      </c>
      <c r="AU14" s="21">
        <f t="shared" si="162"/>
        <v>0.66442953020134232</v>
      </c>
      <c r="AV14" s="21">
        <f t="shared" si="163"/>
        <v>0.58207217694994184</v>
      </c>
      <c r="AW14" s="6">
        <f t="shared" si="164"/>
        <v>10</v>
      </c>
      <c r="AX14" s="6">
        <f t="shared" si="165"/>
        <v>3</v>
      </c>
      <c r="AY14" s="21">
        <f t="shared" si="166"/>
        <v>0.3</v>
      </c>
      <c r="AZ14" s="304">
        <f t="shared" si="167"/>
        <v>17</v>
      </c>
      <c r="BA14" s="305">
        <f t="shared" si="168"/>
        <v>0.68487018800358102</v>
      </c>
      <c r="BB14" s="413">
        <f t="shared" si="169"/>
        <v>11.116999999999999</v>
      </c>
      <c r="BC14" s="413">
        <f t="shared" si="170"/>
        <v>0.44786481647269472</v>
      </c>
      <c r="BD14" s="6">
        <f t="shared" si="171"/>
        <v>659</v>
      </c>
      <c r="BE14" s="5">
        <f t="shared" si="172"/>
        <v>26.548791405550581</v>
      </c>
      <c r="BF14" s="6">
        <f t="shared" si="173"/>
        <v>593</v>
      </c>
      <c r="BG14" s="5">
        <f t="shared" si="174"/>
        <v>23.889883616830797</v>
      </c>
      <c r="BH14" s="21">
        <f t="shared" si="175"/>
        <v>0.89984825493171472</v>
      </c>
      <c r="BI14" s="417">
        <f t="shared" si="176"/>
        <v>66</v>
      </c>
      <c r="BJ14" s="418">
        <f t="shared" si="177"/>
        <v>2.6589077887197852</v>
      </c>
      <c r="BK14" s="195">
        <f t="shared" si="178"/>
        <v>19</v>
      </c>
      <c r="BL14" s="5">
        <f t="shared" si="179"/>
        <v>0.76544315129811991</v>
      </c>
      <c r="BM14" s="21">
        <f t="shared" si="180"/>
        <v>2.8831562974203338E-2</v>
      </c>
      <c r="BN14" s="195">
        <f t="shared" si="181"/>
        <v>28</v>
      </c>
      <c r="BO14" s="185">
        <f t="shared" si="182"/>
        <v>1.1280214861235451</v>
      </c>
      <c r="BP14" s="5">
        <f t="shared" si="183"/>
        <v>28</v>
      </c>
      <c r="BQ14" s="21">
        <f t="shared" si="184"/>
        <v>3.5714285714285712E-2</v>
      </c>
      <c r="BR14" s="5">
        <f t="shared" si="185"/>
        <v>0.98</v>
      </c>
      <c r="BS14" s="5">
        <f t="shared" si="186"/>
        <v>7.0714285714285716E-2</v>
      </c>
      <c r="BT14" s="24">
        <f t="shared" si="187"/>
        <v>79.785714285714292</v>
      </c>
      <c r="BU14" s="5">
        <f t="shared" si="188"/>
        <v>33.343283582089555</v>
      </c>
      <c r="BV14" s="5">
        <f t="shared" si="189"/>
        <v>4.2300000000000004</v>
      </c>
      <c r="BW14" s="5">
        <f t="shared" si="190"/>
        <v>1.8600000000000003</v>
      </c>
      <c r="BX14" s="6">
        <f t="shared" si="191"/>
        <v>62</v>
      </c>
      <c r="BY14" s="5">
        <f t="shared" si="192"/>
        <v>2.4977618621307074</v>
      </c>
      <c r="BZ14" s="6">
        <f t="shared" si="193"/>
        <v>28</v>
      </c>
      <c r="CA14" s="5">
        <f t="shared" si="194"/>
        <v>1.1280214861235451</v>
      </c>
      <c r="CB14" s="6">
        <f t="shared" si="195"/>
        <v>37</v>
      </c>
      <c r="CC14" s="5">
        <f t="shared" si="196"/>
        <v>1.4905998209489704</v>
      </c>
      <c r="CD14" s="5">
        <f t="shared" si="197"/>
        <v>1.369740376007162</v>
      </c>
      <c r="CE14" s="21">
        <f t="shared" si="198"/>
        <v>0.54838709677419351</v>
      </c>
      <c r="CF14" s="5">
        <f t="shared" si="199"/>
        <v>5.166666666666667</v>
      </c>
      <c r="CG14" s="5">
        <f t="shared" si="200"/>
        <v>2.4666666666666668</v>
      </c>
      <c r="CH14" s="21">
        <f t="shared" si="201"/>
        <v>0.19354838709677419</v>
      </c>
      <c r="CI14" s="298">
        <f t="shared" si="202"/>
        <v>10</v>
      </c>
      <c r="CJ14" s="298">
        <f t="shared" si="203"/>
        <v>2</v>
      </c>
      <c r="CK14" s="298">
        <f t="shared" si="204"/>
        <v>3</v>
      </c>
      <c r="CL14" s="21">
        <f t="shared" si="205"/>
        <v>0.10071620411817368</v>
      </c>
      <c r="CM14" s="6">
        <f t="shared" si="206"/>
        <v>17.399999999999999</v>
      </c>
      <c r="CN14" s="5">
        <f t="shared" si="207"/>
        <v>0.7009847806624887</v>
      </c>
      <c r="CO14" s="167">
        <f t="shared" si="208"/>
        <v>120</v>
      </c>
      <c r="CP14" s="5">
        <f t="shared" si="209"/>
        <v>4.8343777976723361</v>
      </c>
      <c r="CQ14" s="6">
        <f t="shared" si="210"/>
        <v>85</v>
      </c>
      <c r="CR14" s="5">
        <f t="shared" si="211"/>
        <v>3.4243509400179049</v>
      </c>
      <c r="CS14" s="21">
        <f t="shared" si="212"/>
        <v>0.70833333333333337</v>
      </c>
      <c r="CT14" s="6">
        <f t="shared" si="213"/>
        <v>81.97999999999999</v>
      </c>
      <c r="CU14" s="5">
        <f t="shared" si="214"/>
        <v>3.302685765443151</v>
      </c>
      <c r="CV14" s="6">
        <f t="shared" si="215"/>
        <v>83.98</v>
      </c>
      <c r="CW14" s="5">
        <f t="shared" si="216"/>
        <v>3.3832587287376903</v>
      </c>
      <c r="CX14" s="385">
        <f t="shared" si="217"/>
        <v>9.0457654431512964</v>
      </c>
      <c r="CY14" s="5">
        <f t="shared" si="218"/>
        <v>33.196060877350043</v>
      </c>
      <c r="CZ14" s="5">
        <f t="shared" si="219"/>
        <v>25.984780662488809</v>
      </c>
      <c r="DA14" s="6">
        <f t="shared" si="220"/>
        <v>47</v>
      </c>
      <c r="DB14" s="5">
        <f t="shared" si="221"/>
        <v>1.893464637421665</v>
      </c>
      <c r="DC14" s="6">
        <f t="shared" si="222"/>
        <v>141</v>
      </c>
      <c r="DD14" s="5">
        <f t="shared" si="223"/>
        <v>5.6803939122649956</v>
      </c>
      <c r="DE14" s="6">
        <f t="shared" si="224"/>
        <v>98</v>
      </c>
      <c r="DF14" s="5">
        <f t="shared" si="225"/>
        <v>3.9480752014324083</v>
      </c>
      <c r="DG14" s="6">
        <f t="shared" si="226"/>
        <v>101</v>
      </c>
      <c r="DH14" s="5">
        <f t="shared" si="227"/>
        <v>4.0689346463742169</v>
      </c>
      <c r="DI14" s="5">
        <f t="shared" si="228"/>
        <v>17.399999999999999</v>
      </c>
      <c r="DJ14" s="5">
        <f t="shared" si="229"/>
        <v>245.7</v>
      </c>
      <c r="DK14" s="5">
        <f t="shared" si="230"/>
        <v>9.8983885407341088</v>
      </c>
      <c r="DL14" s="286">
        <f t="shared" si="231"/>
        <v>124.11111111111111</v>
      </c>
      <c r="DM14" s="287">
        <f t="shared" si="232"/>
        <v>5</v>
      </c>
      <c r="DN14" s="60">
        <f t="shared" si="233"/>
        <v>6.93</v>
      </c>
      <c r="DO14"/>
      <c r="DP14" t="s">
        <v>708</v>
      </c>
      <c r="DQ14" t="s">
        <v>1176</v>
      </c>
      <c r="DR14">
        <v>31</v>
      </c>
      <c r="DS14" t="s">
        <v>1177</v>
      </c>
      <c r="DT14" t="s">
        <v>605</v>
      </c>
      <c r="DU14" t="s">
        <v>573</v>
      </c>
      <c r="DV14" t="s">
        <v>394</v>
      </c>
      <c r="DW14" t="s">
        <v>1178</v>
      </c>
      <c r="DX14" s="430">
        <v>47118</v>
      </c>
      <c r="DY14">
        <v>2234</v>
      </c>
      <c r="DZ14" t="s">
        <v>1179</v>
      </c>
      <c r="EA14">
        <v>2</v>
      </c>
      <c r="EB14">
        <v>15</v>
      </c>
      <c r="EC14">
        <v>1</v>
      </c>
      <c r="ED14">
        <v>5</v>
      </c>
      <c r="EE14">
        <v>17.399999999999999</v>
      </c>
      <c r="EF14" t="s">
        <v>1180</v>
      </c>
      <c r="EG14" t="s">
        <v>1181</v>
      </c>
      <c r="EH14">
        <v>27</v>
      </c>
      <c r="EI14">
        <v>43</v>
      </c>
      <c r="EJ14">
        <v>659</v>
      </c>
      <c r="EK14">
        <v>593</v>
      </c>
      <c r="EL14">
        <v>28</v>
      </c>
      <c r="EM14">
        <v>19</v>
      </c>
      <c r="EN14">
        <v>17</v>
      </c>
      <c r="EO14">
        <v>65</v>
      </c>
      <c r="EP14">
        <v>37</v>
      </c>
      <c r="EQ14">
        <v>42</v>
      </c>
      <c r="ER14">
        <v>22</v>
      </c>
      <c r="ES14">
        <v>10</v>
      </c>
      <c r="ET14">
        <v>3</v>
      </c>
      <c r="EU14">
        <v>10</v>
      </c>
      <c r="EV14">
        <v>3</v>
      </c>
      <c r="EW14">
        <v>2</v>
      </c>
      <c r="EX14">
        <v>0.8</v>
      </c>
      <c r="EY14">
        <v>0</v>
      </c>
      <c r="EZ14">
        <v>3</v>
      </c>
      <c r="FA14">
        <v>3</v>
      </c>
      <c r="FB14">
        <v>5</v>
      </c>
      <c r="FC14" t="s">
        <v>1182</v>
      </c>
      <c r="FD14">
        <v>6.93</v>
      </c>
    </row>
    <row r="15" spans="1:160" ht="24.95" customHeight="1" thickBot="1" x14ac:dyDescent="0.3">
      <c r="A15" s="29" t="str">
        <f t="shared" si="0"/>
        <v>14º</v>
      </c>
      <c r="B15" s="67" t="str">
        <f t="shared" si="118"/>
        <v>Enzo Copetti</v>
      </c>
      <c r="C15" s="83" t="str">
        <f t="shared" si="119"/>
        <v>ARG</v>
      </c>
      <c r="D15" s="9" t="str">
        <f t="shared" si="120"/>
        <v>Rosario Central</v>
      </c>
      <c r="E15" s="91" t="str">
        <f t="shared" si="121"/>
        <v>Pé Direito</v>
      </c>
      <c r="F15" s="155">
        <f t="shared" si="122"/>
        <v>1.81</v>
      </c>
      <c r="G15" s="35">
        <f t="shared" si="123"/>
        <v>47118</v>
      </c>
      <c r="H15" s="7">
        <f t="shared" si="124"/>
        <v>30</v>
      </c>
      <c r="I15" s="299" t="str">
        <f t="shared" si="125"/>
        <v>45m € - 72m € p/m</v>
      </c>
      <c r="J15" s="3" t="str">
        <f t="shared" si="126"/>
        <v>6,2M € - 10,5M €</v>
      </c>
      <c r="K15" s="89">
        <f t="shared" si="10"/>
        <v>31.398046398046404</v>
      </c>
      <c r="L15" s="133">
        <f t="shared" si="127"/>
        <v>28.355555555555554</v>
      </c>
      <c r="M15" s="134">
        <f t="shared" si="128"/>
        <v>35</v>
      </c>
      <c r="N15" s="134">
        <f t="shared" si="129"/>
        <v>72.914285714285711</v>
      </c>
      <c r="O15" s="173">
        <f t="shared" si="130"/>
        <v>0.77</v>
      </c>
      <c r="P15" s="402">
        <f t="shared" si="131"/>
        <v>7</v>
      </c>
      <c r="Q15" s="402">
        <f t="shared" si="132"/>
        <v>2</v>
      </c>
      <c r="R15" s="402">
        <f t="shared" si="133"/>
        <v>9</v>
      </c>
      <c r="S15" s="6">
        <f t="shared" si="134"/>
        <v>1</v>
      </c>
      <c r="T15" s="24">
        <f t="shared" si="135"/>
        <v>2552</v>
      </c>
      <c r="U15" s="21">
        <f t="shared" si="136"/>
        <v>3.5266457680250787E-2</v>
      </c>
      <c r="V15" s="298">
        <f t="shared" si="137"/>
        <v>0</v>
      </c>
      <c r="W15" s="300">
        <f t="shared" si="138"/>
        <v>0</v>
      </c>
      <c r="X15" s="298">
        <f t="shared" si="139"/>
        <v>0</v>
      </c>
      <c r="Y15" s="300">
        <f t="shared" si="140"/>
        <v>0</v>
      </c>
      <c r="Z15" s="290">
        <f t="shared" si="141"/>
        <v>0</v>
      </c>
      <c r="AA15" s="298">
        <f t="shared" si="142"/>
        <v>0</v>
      </c>
      <c r="AB15" s="286">
        <f t="shared" si="143"/>
        <v>0</v>
      </c>
      <c r="AC15" s="286">
        <f t="shared" si="144"/>
        <v>0</v>
      </c>
      <c r="AD15" s="286">
        <f t="shared" si="145"/>
        <v>0</v>
      </c>
      <c r="AE15" s="21">
        <f t="shared" si="146"/>
        <v>9.9999999999999995E-8</v>
      </c>
      <c r="AF15" s="421">
        <f t="shared" si="147"/>
        <v>7</v>
      </c>
      <c r="AG15" s="421">
        <f t="shared" si="148"/>
        <v>2</v>
      </c>
      <c r="AH15" s="421">
        <f t="shared" si="149"/>
        <v>9</v>
      </c>
      <c r="AI15" s="421">
        <f t="shared" si="150"/>
        <v>7</v>
      </c>
      <c r="AJ15" s="420">
        <f t="shared" si="151"/>
        <v>0</v>
      </c>
      <c r="AK15" s="422">
        <f t="shared" si="152"/>
        <v>0.2468652037617555</v>
      </c>
      <c r="AL15" s="422">
        <f t="shared" si="153"/>
        <v>7.0532915360501575E-2</v>
      </c>
      <c r="AM15" s="422">
        <f t="shared" si="154"/>
        <v>0.31739811912225707</v>
      </c>
      <c r="AN15" s="5">
        <f t="shared" si="155"/>
        <v>9.2899999999999991</v>
      </c>
      <c r="AO15" s="5">
        <f t="shared" si="156"/>
        <v>9.2899999999999991</v>
      </c>
      <c r="AP15" s="5">
        <f t="shared" si="157"/>
        <v>0.32762539184952977</v>
      </c>
      <c r="AQ15" s="5">
        <f t="shared" si="158"/>
        <v>2.87</v>
      </c>
      <c r="AR15" s="5">
        <f t="shared" si="159"/>
        <v>0.10121473354231976</v>
      </c>
      <c r="AS15" s="5">
        <f t="shared" si="160"/>
        <v>12.16</v>
      </c>
      <c r="AT15" s="5">
        <f t="shared" si="161"/>
        <v>0.42884012539184957</v>
      </c>
      <c r="AU15" s="21">
        <f t="shared" si="162"/>
        <v>0.58932238193018482</v>
      </c>
      <c r="AV15" s="21">
        <f t="shared" si="163"/>
        <v>0.42971147943523635</v>
      </c>
      <c r="AW15" s="6">
        <f t="shared" si="164"/>
        <v>6</v>
      </c>
      <c r="AX15" s="6">
        <f t="shared" si="165"/>
        <v>3</v>
      </c>
      <c r="AY15" s="21">
        <f t="shared" si="166"/>
        <v>0.5</v>
      </c>
      <c r="AZ15" s="304">
        <f t="shared" si="167"/>
        <v>20</v>
      </c>
      <c r="BA15" s="305">
        <f t="shared" si="168"/>
        <v>0.70532915360501569</v>
      </c>
      <c r="BB15" s="413">
        <f t="shared" si="169"/>
        <v>8.3405000000000005</v>
      </c>
      <c r="BC15" s="413">
        <f t="shared" si="170"/>
        <v>0.29413989028213161</v>
      </c>
      <c r="BD15" s="6">
        <f t="shared" si="171"/>
        <v>887</v>
      </c>
      <c r="BE15" s="5">
        <f t="shared" si="172"/>
        <v>31.281347962382448</v>
      </c>
      <c r="BF15" s="6">
        <f t="shared" si="173"/>
        <v>786</v>
      </c>
      <c r="BG15" s="5">
        <f t="shared" si="174"/>
        <v>27.719435736677116</v>
      </c>
      <c r="BH15" s="21">
        <f t="shared" si="175"/>
        <v>0.88613303269447574</v>
      </c>
      <c r="BI15" s="417">
        <f t="shared" si="176"/>
        <v>101</v>
      </c>
      <c r="BJ15" s="418">
        <f t="shared" si="177"/>
        <v>3.5619122257053295</v>
      </c>
      <c r="BK15" s="195">
        <f t="shared" si="178"/>
        <v>8</v>
      </c>
      <c r="BL15" s="5">
        <f t="shared" si="179"/>
        <v>0.2821316614420063</v>
      </c>
      <c r="BM15" s="21">
        <f t="shared" si="180"/>
        <v>9.0191657271702363E-3</v>
      </c>
      <c r="BN15" s="195">
        <f t="shared" si="181"/>
        <v>18</v>
      </c>
      <c r="BO15" s="185">
        <f t="shared" si="182"/>
        <v>0.63479623824451414</v>
      </c>
      <c r="BP15" s="5">
        <f t="shared" si="183"/>
        <v>9</v>
      </c>
      <c r="BQ15" s="21">
        <f t="shared" si="184"/>
        <v>0.1111111111111111</v>
      </c>
      <c r="BR15" s="5">
        <f t="shared" si="185"/>
        <v>0.87000000000000011</v>
      </c>
      <c r="BS15" s="5">
        <f t="shared" si="186"/>
        <v>0.15944444444444444</v>
      </c>
      <c r="BT15" s="24">
        <f t="shared" si="187"/>
        <v>141.77777777777777</v>
      </c>
      <c r="BU15" s="5">
        <f t="shared" si="188"/>
        <v>46.4</v>
      </c>
      <c r="BV15" s="5">
        <f t="shared" si="189"/>
        <v>-2.2899999999999991</v>
      </c>
      <c r="BW15" s="5">
        <f t="shared" si="190"/>
        <v>-2.2899999999999991</v>
      </c>
      <c r="BX15" s="6">
        <f t="shared" si="191"/>
        <v>79</v>
      </c>
      <c r="BY15" s="5">
        <f t="shared" si="192"/>
        <v>2.7860501567398122</v>
      </c>
      <c r="BZ15" s="6">
        <f t="shared" si="193"/>
        <v>44</v>
      </c>
      <c r="CA15" s="5">
        <f t="shared" si="194"/>
        <v>1.5517241379310345</v>
      </c>
      <c r="CB15" s="6">
        <f t="shared" si="195"/>
        <v>35</v>
      </c>
      <c r="CC15" s="5">
        <f t="shared" si="196"/>
        <v>1.2343260188087775</v>
      </c>
      <c r="CD15" s="5">
        <f t="shared" si="197"/>
        <v>1.2343260188087775</v>
      </c>
      <c r="CE15" s="21">
        <f t="shared" si="198"/>
        <v>0.44303797468354428</v>
      </c>
      <c r="CF15" s="5">
        <f t="shared" si="199"/>
        <v>11.285714285714286</v>
      </c>
      <c r="CG15" s="5">
        <f t="shared" si="200"/>
        <v>5</v>
      </c>
      <c r="CH15" s="21">
        <f t="shared" si="201"/>
        <v>8.8607594936708861E-2</v>
      </c>
      <c r="CI15" s="298">
        <f t="shared" si="202"/>
        <v>7</v>
      </c>
      <c r="CJ15" s="298">
        <f t="shared" si="203"/>
        <v>0</v>
      </c>
      <c r="CK15" s="298">
        <f t="shared" si="204"/>
        <v>0</v>
      </c>
      <c r="CL15" s="21">
        <f t="shared" si="205"/>
        <v>0</v>
      </c>
      <c r="CM15" s="6">
        <f t="shared" si="206"/>
        <v>18.2</v>
      </c>
      <c r="CN15" s="5">
        <f t="shared" si="207"/>
        <v>0.64184952978056431</v>
      </c>
      <c r="CO15" s="167">
        <f t="shared" si="208"/>
        <v>123</v>
      </c>
      <c r="CP15" s="5">
        <f t="shared" si="209"/>
        <v>4.3377742946708464</v>
      </c>
      <c r="CQ15" s="6">
        <f t="shared" si="210"/>
        <v>76</v>
      </c>
      <c r="CR15" s="5">
        <f t="shared" si="211"/>
        <v>2.6802507836990599</v>
      </c>
      <c r="CS15" s="21">
        <f t="shared" si="212"/>
        <v>0.61788617886178865</v>
      </c>
      <c r="CT15" s="6">
        <f t="shared" si="213"/>
        <v>65.37</v>
      </c>
      <c r="CU15" s="5">
        <f t="shared" si="214"/>
        <v>2.3053683385579942</v>
      </c>
      <c r="CV15" s="6">
        <f t="shared" si="215"/>
        <v>67.62</v>
      </c>
      <c r="CW15" s="5">
        <f t="shared" si="216"/>
        <v>2.3847178683385581</v>
      </c>
      <c r="CX15" s="385">
        <f t="shared" si="217"/>
        <v>5.1212891849529782</v>
      </c>
      <c r="CY15" s="5">
        <f t="shared" si="218"/>
        <v>36.394984326018808</v>
      </c>
      <c r="CZ15" s="5">
        <f t="shared" si="219"/>
        <v>28.706896551724139</v>
      </c>
      <c r="DA15" s="6">
        <f t="shared" si="220"/>
        <v>26</v>
      </c>
      <c r="DB15" s="5">
        <f t="shared" si="221"/>
        <v>0.91692789968652044</v>
      </c>
      <c r="DC15" s="6">
        <f t="shared" si="222"/>
        <v>133</v>
      </c>
      <c r="DD15" s="5">
        <f t="shared" si="223"/>
        <v>4.6904388714733543</v>
      </c>
      <c r="DE15" s="6">
        <f t="shared" si="224"/>
        <v>99</v>
      </c>
      <c r="DF15" s="5">
        <f t="shared" si="225"/>
        <v>3.4913793103448278</v>
      </c>
      <c r="DG15" s="6">
        <f t="shared" si="226"/>
        <v>148</v>
      </c>
      <c r="DH15" s="5">
        <f t="shared" si="227"/>
        <v>5.2194357366771165</v>
      </c>
      <c r="DI15" s="5">
        <f t="shared" si="228"/>
        <v>18.2</v>
      </c>
      <c r="DJ15" s="5">
        <f t="shared" si="229"/>
        <v>296.3</v>
      </c>
      <c r="DK15" s="5">
        <f t="shared" si="230"/>
        <v>10.449451410658309</v>
      </c>
      <c r="DL15" s="286">
        <f t="shared" si="231"/>
        <v>241.02222222222221</v>
      </c>
      <c r="DM15" s="287">
        <f t="shared" si="232"/>
        <v>8.5</v>
      </c>
      <c r="DN15" s="60">
        <f t="shared" si="233"/>
        <v>6.76</v>
      </c>
      <c r="DO15"/>
      <c r="DP15" t="s">
        <v>708</v>
      </c>
      <c r="DQ15" t="s">
        <v>1183</v>
      </c>
      <c r="DR15">
        <v>30</v>
      </c>
      <c r="DS15" t="s">
        <v>1184</v>
      </c>
      <c r="DT15" t="s">
        <v>557</v>
      </c>
      <c r="DU15" t="s">
        <v>573</v>
      </c>
      <c r="DV15" t="s">
        <v>1185</v>
      </c>
      <c r="DW15" t="s">
        <v>1186</v>
      </c>
      <c r="DX15" s="430">
        <v>47118</v>
      </c>
      <c r="DY15">
        <v>2552</v>
      </c>
      <c r="DZ15" t="s">
        <v>1187</v>
      </c>
      <c r="EA15">
        <v>1</v>
      </c>
      <c r="EB15">
        <v>7</v>
      </c>
      <c r="EC15">
        <v>2</v>
      </c>
      <c r="ED15">
        <v>2</v>
      </c>
      <c r="EE15">
        <v>18.2</v>
      </c>
      <c r="EF15" t="s">
        <v>1188</v>
      </c>
      <c r="EG15" t="s">
        <v>1189</v>
      </c>
      <c r="EH15">
        <v>28</v>
      </c>
      <c r="EI15">
        <v>56</v>
      </c>
      <c r="EJ15">
        <v>887</v>
      </c>
      <c r="EK15">
        <v>786</v>
      </c>
      <c r="EL15">
        <v>18</v>
      </c>
      <c r="EM15">
        <v>8</v>
      </c>
      <c r="EN15">
        <v>20</v>
      </c>
      <c r="EO15">
        <v>79</v>
      </c>
      <c r="EP15">
        <v>35</v>
      </c>
      <c r="EQ15">
        <v>38</v>
      </c>
      <c r="ER15">
        <v>12</v>
      </c>
      <c r="ES15">
        <v>6</v>
      </c>
      <c r="ET15">
        <v>3</v>
      </c>
      <c r="EU15">
        <v>6</v>
      </c>
      <c r="EV15">
        <v>3</v>
      </c>
      <c r="EW15">
        <v>0</v>
      </c>
      <c r="EX15">
        <v>0.6</v>
      </c>
      <c r="EY15">
        <v>0</v>
      </c>
      <c r="EZ15">
        <v>0</v>
      </c>
      <c r="FA15">
        <v>0</v>
      </c>
      <c r="FB15">
        <v>8.5</v>
      </c>
      <c r="FC15" t="s">
        <v>1190</v>
      </c>
      <c r="FD15">
        <v>6.76</v>
      </c>
    </row>
    <row r="16" spans="1:160" ht="24.95" customHeight="1" thickBot="1" x14ac:dyDescent="0.3">
      <c r="A16" s="29" t="str">
        <f t="shared" si="0"/>
        <v>15º</v>
      </c>
      <c r="B16" s="67" t="str">
        <f t="shared" si="118"/>
        <v>Nicolás Cordero</v>
      </c>
      <c r="C16" s="83" t="str">
        <f t="shared" si="119"/>
        <v>ARG</v>
      </c>
      <c r="D16" s="9" t="str">
        <f t="shared" si="120"/>
        <v>Aldosivi</v>
      </c>
      <c r="E16" s="91" t="str">
        <f t="shared" si="121"/>
        <v>Somente Pé Direito</v>
      </c>
      <c r="F16" s="155">
        <f t="shared" si="122"/>
        <v>1.84</v>
      </c>
      <c r="G16" s="35">
        <f t="shared" si="123"/>
        <v>47483</v>
      </c>
      <c r="H16" s="7">
        <f t="shared" si="124"/>
        <v>27</v>
      </c>
      <c r="I16" s="299" t="str">
        <f t="shared" si="125"/>
        <v>8,25m € - 13,25m € p/m</v>
      </c>
      <c r="J16" s="3" t="str">
        <f t="shared" si="126"/>
        <v>180m € - 1,8M €</v>
      </c>
      <c r="K16" s="89">
        <f t="shared" si="10"/>
        <v>31.398046398046404</v>
      </c>
      <c r="L16" s="133">
        <f t="shared" si="127"/>
        <v>37.37777777777778</v>
      </c>
      <c r="M16" s="134">
        <f t="shared" si="128"/>
        <v>39</v>
      </c>
      <c r="N16" s="134">
        <f t="shared" si="129"/>
        <v>86.256410256410263</v>
      </c>
      <c r="O16" s="173">
        <f t="shared" si="130"/>
        <v>0.97</v>
      </c>
      <c r="P16" s="402">
        <f t="shared" si="131"/>
        <v>16</v>
      </c>
      <c r="Q16" s="402">
        <f t="shared" si="132"/>
        <v>0</v>
      </c>
      <c r="R16" s="402">
        <f t="shared" si="133"/>
        <v>16</v>
      </c>
      <c r="S16" s="6">
        <f t="shared" si="134"/>
        <v>2</v>
      </c>
      <c r="T16" s="24">
        <f t="shared" si="135"/>
        <v>1682</v>
      </c>
      <c r="U16" s="21">
        <f t="shared" si="136"/>
        <v>5.3507728894173601E-2</v>
      </c>
      <c r="V16" s="298">
        <f t="shared" si="137"/>
        <v>0</v>
      </c>
      <c r="W16" s="300">
        <f t="shared" si="138"/>
        <v>0</v>
      </c>
      <c r="X16" s="298">
        <f t="shared" si="139"/>
        <v>0</v>
      </c>
      <c r="Y16" s="300">
        <f t="shared" si="140"/>
        <v>0</v>
      </c>
      <c r="Z16" s="290">
        <f t="shared" si="141"/>
        <v>0</v>
      </c>
      <c r="AA16" s="298">
        <f t="shared" si="142"/>
        <v>0</v>
      </c>
      <c r="AB16" s="286">
        <f t="shared" si="143"/>
        <v>3</v>
      </c>
      <c r="AC16" s="286">
        <f t="shared" si="144"/>
        <v>3</v>
      </c>
      <c r="AD16" s="286">
        <f t="shared" si="145"/>
        <v>0</v>
      </c>
      <c r="AE16" s="21">
        <f t="shared" si="146"/>
        <v>1</v>
      </c>
      <c r="AF16" s="421">
        <f t="shared" si="147"/>
        <v>16</v>
      </c>
      <c r="AG16" s="421">
        <f t="shared" si="148"/>
        <v>0</v>
      </c>
      <c r="AH16" s="421">
        <f t="shared" si="149"/>
        <v>16</v>
      </c>
      <c r="AI16" s="421">
        <f t="shared" si="150"/>
        <v>13</v>
      </c>
      <c r="AJ16" s="420">
        <f t="shared" si="151"/>
        <v>2</v>
      </c>
      <c r="AK16" s="422">
        <f t="shared" si="152"/>
        <v>0.42806183115338881</v>
      </c>
      <c r="AL16" s="422">
        <f t="shared" si="153"/>
        <v>0</v>
      </c>
      <c r="AM16" s="422">
        <f t="shared" si="154"/>
        <v>0.42806183115338881</v>
      </c>
      <c r="AN16" s="5">
        <f t="shared" si="155"/>
        <v>12.36</v>
      </c>
      <c r="AO16" s="5">
        <f t="shared" si="156"/>
        <v>9.9899999999999984</v>
      </c>
      <c r="AP16" s="5">
        <f t="shared" si="157"/>
        <v>0.26727110582639707</v>
      </c>
      <c r="AQ16" s="5">
        <f t="shared" si="158"/>
        <v>2.91</v>
      </c>
      <c r="AR16" s="5">
        <f t="shared" si="159"/>
        <v>7.785374554102259E-2</v>
      </c>
      <c r="AS16" s="5">
        <f t="shared" si="160"/>
        <v>12.899999999999999</v>
      </c>
      <c r="AT16" s="5">
        <f t="shared" si="161"/>
        <v>0.34512485136741966</v>
      </c>
      <c r="AU16" s="21">
        <f t="shared" si="162"/>
        <v>1</v>
      </c>
      <c r="AV16" s="21">
        <f t="shared" si="163"/>
        <v>0.56417489421720735</v>
      </c>
      <c r="AW16" s="6">
        <f t="shared" si="164"/>
        <v>20</v>
      </c>
      <c r="AX16" s="6">
        <f t="shared" si="165"/>
        <v>8</v>
      </c>
      <c r="AY16" s="21">
        <f t="shared" si="166"/>
        <v>0.4</v>
      </c>
      <c r="AZ16" s="304">
        <f t="shared" si="167"/>
        <v>26</v>
      </c>
      <c r="BA16" s="305">
        <f t="shared" si="168"/>
        <v>0.69560047562425675</v>
      </c>
      <c r="BB16" s="413">
        <f t="shared" si="169"/>
        <v>11.636500000000002</v>
      </c>
      <c r="BC16" s="413">
        <f t="shared" si="170"/>
        <v>0.31132134363852554</v>
      </c>
      <c r="BD16" s="6">
        <f t="shared" si="171"/>
        <v>1014</v>
      </c>
      <c r="BE16" s="5">
        <f t="shared" si="172"/>
        <v>27.128418549346016</v>
      </c>
      <c r="BF16" s="6">
        <f t="shared" si="173"/>
        <v>911</v>
      </c>
      <c r="BG16" s="5">
        <f t="shared" si="174"/>
        <v>24.372770511296075</v>
      </c>
      <c r="BH16" s="21">
        <f t="shared" si="175"/>
        <v>0.89842209072978307</v>
      </c>
      <c r="BI16" s="417">
        <f t="shared" si="176"/>
        <v>103</v>
      </c>
      <c r="BJ16" s="418">
        <f t="shared" si="177"/>
        <v>2.7556480380499404</v>
      </c>
      <c r="BK16" s="195">
        <f t="shared" si="178"/>
        <v>23</v>
      </c>
      <c r="BL16" s="5">
        <f t="shared" si="179"/>
        <v>0.61533888228299638</v>
      </c>
      <c r="BM16" s="21">
        <f t="shared" si="180"/>
        <v>2.2682445759368838E-2</v>
      </c>
      <c r="BN16" s="195">
        <f t="shared" si="181"/>
        <v>30</v>
      </c>
      <c r="BO16" s="185">
        <f t="shared" si="182"/>
        <v>0.80261593341260395</v>
      </c>
      <c r="BP16" s="5">
        <f t="shared" si="183"/>
        <v>25</v>
      </c>
      <c r="BQ16" s="21">
        <f t="shared" si="184"/>
        <v>0</v>
      </c>
      <c r="BR16" s="5">
        <f t="shared" si="185"/>
        <v>2.91</v>
      </c>
      <c r="BS16" s="5">
        <f t="shared" si="186"/>
        <v>9.7000000000000003E-2</v>
      </c>
      <c r="BT16" s="24">
        <f t="shared" si="187"/>
        <v>112.13333333333334</v>
      </c>
      <c r="BU16" s="5">
        <f t="shared" si="188"/>
        <v>45.45945945945946</v>
      </c>
      <c r="BV16" s="5">
        <f t="shared" si="189"/>
        <v>3.6400000000000006</v>
      </c>
      <c r="BW16" s="5">
        <f t="shared" si="190"/>
        <v>1.2700000000000005</v>
      </c>
      <c r="BX16" s="6">
        <f t="shared" si="191"/>
        <v>94</v>
      </c>
      <c r="BY16" s="5">
        <f t="shared" si="192"/>
        <v>2.5148632580261592</v>
      </c>
      <c r="BZ16" s="6">
        <f t="shared" si="193"/>
        <v>52</v>
      </c>
      <c r="CA16" s="5">
        <f t="shared" si="194"/>
        <v>1.3912009512485135</v>
      </c>
      <c r="CB16" s="6">
        <f t="shared" si="195"/>
        <v>45</v>
      </c>
      <c r="CC16" s="5">
        <f t="shared" si="196"/>
        <v>1.2039239001189059</v>
      </c>
      <c r="CD16" s="5">
        <f t="shared" si="197"/>
        <v>1.1236623067776457</v>
      </c>
      <c r="CE16" s="21">
        <f t="shared" si="198"/>
        <v>0.44680851063829785</v>
      </c>
      <c r="CF16" s="5">
        <f t="shared" si="199"/>
        <v>7.2307692307692308</v>
      </c>
      <c r="CG16" s="5">
        <f t="shared" si="200"/>
        <v>2.8125</v>
      </c>
      <c r="CH16" s="21">
        <f t="shared" si="201"/>
        <v>0.13829787234042554</v>
      </c>
      <c r="CI16" s="298">
        <f t="shared" si="202"/>
        <v>11</v>
      </c>
      <c r="CJ16" s="298">
        <f t="shared" si="203"/>
        <v>2</v>
      </c>
      <c r="CK16" s="298">
        <f t="shared" si="204"/>
        <v>3</v>
      </c>
      <c r="CL16" s="21">
        <f t="shared" si="205"/>
        <v>8.9179548156956001E-2</v>
      </c>
      <c r="CM16" s="6">
        <f t="shared" si="206"/>
        <v>15</v>
      </c>
      <c r="CN16" s="5">
        <f t="shared" si="207"/>
        <v>0.40130796670630198</v>
      </c>
      <c r="CO16" s="167">
        <f t="shared" si="208"/>
        <v>173</v>
      </c>
      <c r="CP16" s="5">
        <f t="shared" si="209"/>
        <v>4.6284185493460166</v>
      </c>
      <c r="CQ16" s="6">
        <f t="shared" si="210"/>
        <v>109</v>
      </c>
      <c r="CR16" s="5">
        <f t="shared" si="211"/>
        <v>2.9161712247324614</v>
      </c>
      <c r="CS16" s="21">
        <f t="shared" si="212"/>
        <v>0.63005780346820806</v>
      </c>
      <c r="CT16" s="6">
        <f t="shared" si="213"/>
        <v>94.91</v>
      </c>
      <c r="CU16" s="5">
        <f t="shared" si="214"/>
        <v>2.5392092746730079</v>
      </c>
      <c r="CV16" s="6">
        <f t="shared" si="215"/>
        <v>96.91</v>
      </c>
      <c r="CW16" s="5">
        <f t="shared" si="216"/>
        <v>2.5927170035671816</v>
      </c>
      <c r="CX16" s="385">
        <f t="shared" si="217"/>
        <v>6.4761206896551711</v>
      </c>
      <c r="CY16" s="5">
        <f t="shared" si="218"/>
        <v>32.96076099881094</v>
      </c>
      <c r="CZ16" s="5">
        <f t="shared" si="219"/>
        <v>25.844233055885848</v>
      </c>
      <c r="DA16" s="6">
        <f t="shared" si="220"/>
        <v>53</v>
      </c>
      <c r="DB16" s="5">
        <f t="shared" si="221"/>
        <v>1.4179548156956003</v>
      </c>
      <c r="DC16" s="6">
        <f t="shared" si="222"/>
        <v>195</v>
      </c>
      <c r="DD16" s="5">
        <f t="shared" si="223"/>
        <v>5.2170035671819264</v>
      </c>
      <c r="DE16" s="6">
        <f t="shared" si="224"/>
        <v>129</v>
      </c>
      <c r="DF16" s="5">
        <f t="shared" si="225"/>
        <v>3.451248513674197</v>
      </c>
      <c r="DG16" s="6">
        <f t="shared" si="226"/>
        <v>167</v>
      </c>
      <c r="DH16" s="5">
        <f t="shared" si="227"/>
        <v>4.4678953626634952</v>
      </c>
      <c r="DI16" s="5">
        <f t="shared" si="228"/>
        <v>15</v>
      </c>
      <c r="DJ16" s="5">
        <f t="shared" si="229"/>
        <v>394.4</v>
      </c>
      <c r="DK16" s="5">
        <f t="shared" si="230"/>
        <v>10.551724137931034</v>
      </c>
      <c r="DL16" s="286">
        <f t="shared" si="231"/>
        <v>321.44888888888892</v>
      </c>
      <c r="DM16" s="287">
        <f t="shared" si="232"/>
        <v>8.6</v>
      </c>
      <c r="DN16" s="60">
        <f t="shared" si="233"/>
        <v>6.86</v>
      </c>
      <c r="DO16"/>
      <c r="DP16" t="s">
        <v>708</v>
      </c>
      <c r="DQ16" t="s">
        <v>1191</v>
      </c>
      <c r="DR16">
        <v>27</v>
      </c>
      <c r="DS16" t="s">
        <v>1192</v>
      </c>
      <c r="DT16" t="s">
        <v>540</v>
      </c>
      <c r="DU16" t="s">
        <v>574</v>
      </c>
      <c r="DV16" t="s">
        <v>1193</v>
      </c>
      <c r="DW16" t="s">
        <v>1194</v>
      </c>
      <c r="DX16" s="430">
        <v>47483</v>
      </c>
      <c r="DY16">
        <v>3364</v>
      </c>
      <c r="DZ16" t="s">
        <v>1195</v>
      </c>
      <c r="EA16">
        <v>2</v>
      </c>
      <c r="EB16">
        <v>16</v>
      </c>
      <c r="EC16">
        <v>0</v>
      </c>
      <c r="ED16">
        <v>2</v>
      </c>
      <c r="EE16">
        <v>15</v>
      </c>
      <c r="EF16" t="s">
        <v>1196</v>
      </c>
      <c r="EG16" t="s">
        <v>1197</v>
      </c>
      <c r="EH16">
        <v>34</v>
      </c>
      <c r="EI16">
        <v>58</v>
      </c>
      <c r="EJ16">
        <v>1014</v>
      </c>
      <c r="EK16">
        <v>911</v>
      </c>
      <c r="EL16">
        <v>30</v>
      </c>
      <c r="EM16">
        <v>23</v>
      </c>
      <c r="EN16">
        <v>26</v>
      </c>
      <c r="EO16">
        <v>97</v>
      </c>
      <c r="EP16">
        <v>45</v>
      </c>
      <c r="EQ16">
        <v>68</v>
      </c>
      <c r="ER16">
        <v>21</v>
      </c>
      <c r="ES16">
        <v>20</v>
      </c>
      <c r="ET16">
        <v>8</v>
      </c>
      <c r="EU16">
        <v>20</v>
      </c>
      <c r="EV16">
        <v>8</v>
      </c>
      <c r="EW16">
        <v>2</v>
      </c>
      <c r="EX16">
        <v>0.6</v>
      </c>
      <c r="EY16">
        <v>0</v>
      </c>
      <c r="EZ16">
        <v>3</v>
      </c>
      <c r="FA16">
        <v>3</v>
      </c>
      <c r="FB16">
        <v>8.6</v>
      </c>
      <c r="FC16" t="s">
        <v>1198</v>
      </c>
      <c r="FD16">
        <v>6.86</v>
      </c>
    </row>
    <row r="17" spans="1:160" ht="24.95" customHeight="1" thickBot="1" x14ac:dyDescent="0.3">
      <c r="A17" s="29" t="str">
        <f t="shared" si="0"/>
        <v>16º</v>
      </c>
      <c r="B17" s="67" t="str">
        <f t="shared" si="118"/>
        <v>Germán Estigarribia</v>
      </c>
      <c r="C17" s="83" t="str">
        <f t="shared" si="119"/>
        <v>ARG</v>
      </c>
      <c r="D17" s="9" t="str">
        <f t="shared" si="120"/>
        <v>Dep. Recoleta</v>
      </c>
      <c r="E17" s="91" t="str">
        <f t="shared" si="121"/>
        <v>Pé Preferido Desconhecido</v>
      </c>
      <c r="F17" s="155">
        <f t="shared" si="122"/>
        <v>1.87</v>
      </c>
      <c r="G17" s="35">
        <f t="shared" si="123"/>
        <v>46387</v>
      </c>
      <c r="H17" s="7">
        <f t="shared" si="124"/>
        <v>29</v>
      </c>
      <c r="I17" s="299" t="str">
        <f t="shared" si="125"/>
        <v>1,2m € - 1,8m € p/m</v>
      </c>
      <c r="J17" s="3" t="str">
        <f t="shared" si="126"/>
        <v>Desconhecido</v>
      </c>
      <c r="K17" s="89">
        <f t="shared" si="10"/>
        <v>31.398046398046404</v>
      </c>
      <c r="L17" s="133">
        <f t="shared" si="127"/>
        <v>28.966666666666665</v>
      </c>
      <c r="M17" s="134">
        <f t="shared" si="128"/>
        <v>32</v>
      </c>
      <c r="N17" s="134">
        <f t="shared" si="129"/>
        <v>81.46875</v>
      </c>
      <c r="O17" s="173">
        <f t="shared" si="130"/>
        <v>1</v>
      </c>
      <c r="P17" s="402">
        <f t="shared" si="131"/>
        <v>8</v>
      </c>
      <c r="Q17" s="402">
        <f t="shared" si="132"/>
        <v>2</v>
      </c>
      <c r="R17" s="402">
        <f t="shared" si="133"/>
        <v>10</v>
      </c>
      <c r="S17" s="6">
        <f t="shared" si="134"/>
        <v>1</v>
      </c>
      <c r="T17" s="24">
        <f t="shared" si="135"/>
        <v>2607</v>
      </c>
      <c r="U17" s="21">
        <f t="shared" si="136"/>
        <v>3.452243958573073E-2</v>
      </c>
      <c r="V17" s="298">
        <f t="shared" si="137"/>
        <v>0</v>
      </c>
      <c r="W17" s="300">
        <f t="shared" si="138"/>
        <v>0</v>
      </c>
      <c r="X17" s="298">
        <f t="shared" si="139"/>
        <v>0</v>
      </c>
      <c r="Y17" s="300">
        <f t="shared" si="140"/>
        <v>0</v>
      </c>
      <c r="Z17" s="290">
        <f t="shared" si="141"/>
        <v>0</v>
      </c>
      <c r="AA17" s="298">
        <f t="shared" si="142"/>
        <v>0</v>
      </c>
      <c r="AB17" s="286">
        <f t="shared" si="143"/>
        <v>3</v>
      </c>
      <c r="AC17" s="286">
        <f t="shared" si="144"/>
        <v>3</v>
      </c>
      <c r="AD17" s="286">
        <f t="shared" si="145"/>
        <v>0</v>
      </c>
      <c r="AE17" s="21">
        <f t="shared" si="146"/>
        <v>1</v>
      </c>
      <c r="AF17" s="421">
        <f t="shared" si="147"/>
        <v>8</v>
      </c>
      <c r="AG17" s="421">
        <f t="shared" si="148"/>
        <v>2</v>
      </c>
      <c r="AH17" s="421">
        <f t="shared" si="149"/>
        <v>10</v>
      </c>
      <c r="AI17" s="421">
        <f t="shared" si="150"/>
        <v>5</v>
      </c>
      <c r="AJ17" s="420">
        <f t="shared" si="151"/>
        <v>1</v>
      </c>
      <c r="AK17" s="422">
        <f t="shared" si="152"/>
        <v>0.27617951668584584</v>
      </c>
      <c r="AL17" s="422">
        <f t="shared" si="153"/>
        <v>6.904487917146146E-2</v>
      </c>
      <c r="AM17" s="422">
        <f t="shared" si="154"/>
        <v>0.34522439585730724</v>
      </c>
      <c r="AN17" s="5">
        <f t="shared" si="155"/>
        <v>6.77</v>
      </c>
      <c r="AO17" s="5">
        <f t="shared" si="156"/>
        <v>4.3999999999999995</v>
      </c>
      <c r="AP17" s="5">
        <f t="shared" si="157"/>
        <v>0.15189873417721517</v>
      </c>
      <c r="AQ17" s="5">
        <f t="shared" si="158"/>
        <v>2.34</v>
      </c>
      <c r="AR17" s="5">
        <f t="shared" si="159"/>
        <v>8.0782508630609901E-2</v>
      </c>
      <c r="AS17" s="5">
        <f t="shared" si="160"/>
        <v>6.7399999999999993</v>
      </c>
      <c r="AT17" s="5">
        <f t="shared" si="161"/>
        <v>0.23268124280782507</v>
      </c>
      <c r="AU17" s="21">
        <f t="shared" si="162"/>
        <v>0.53917050691244239</v>
      </c>
      <c r="AV17" s="21">
        <f t="shared" si="163"/>
        <v>0.54163845633039942</v>
      </c>
      <c r="AW17" s="6">
        <f t="shared" si="164"/>
        <v>52</v>
      </c>
      <c r="AX17" s="6">
        <f t="shared" si="165"/>
        <v>9</v>
      </c>
      <c r="AY17" s="21">
        <f t="shared" si="166"/>
        <v>0.17307692307692307</v>
      </c>
      <c r="AZ17" s="304">
        <f t="shared" si="167"/>
        <v>78</v>
      </c>
      <c r="BA17" s="305">
        <f t="shared" si="168"/>
        <v>2.6927502876869966</v>
      </c>
      <c r="BB17" s="413">
        <f t="shared" si="169"/>
        <v>23.211000000000002</v>
      </c>
      <c r="BC17" s="413">
        <f t="shared" si="170"/>
        <v>0.80130034522439586</v>
      </c>
      <c r="BD17" s="6">
        <f t="shared" si="171"/>
        <v>1055</v>
      </c>
      <c r="BE17" s="5">
        <f t="shared" si="172"/>
        <v>36.421173762945919</v>
      </c>
      <c r="BF17" s="6">
        <f t="shared" si="173"/>
        <v>943</v>
      </c>
      <c r="BG17" s="5">
        <f t="shared" si="174"/>
        <v>32.554660529344076</v>
      </c>
      <c r="BH17" s="21">
        <f t="shared" si="175"/>
        <v>0.89383886255924172</v>
      </c>
      <c r="BI17" s="417">
        <f t="shared" si="176"/>
        <v>112</v>
      </c>
      <c r="BJ17" s="418">
        <f t="shared" si="177"/>
        <v>3.8665132336018413</v>
      </c>
      <c r="BK17" s="195">
        <f t="shared" si="178"/>
        <v>76</v>
      </c>
      <c r="BL17" s="5">
        <f t="shared" si="179"/>
        <v>2.6237054085155354</v>
      </c>
      <c r="BM17" s="21">
        <f t="shared" si="180"/>
        <v>7.2037914691943122E-2</v>
      </c>
      <c r="BN17" s="195">
        <f t="shared" si="181"/>
        <v>41</v>
      </c>
      <c r="BO17" s="185">
        <f t="shared" si="182"/>
        <v>1.4154200230149598</v>
      </c>
      <c r="BP17" s="5">
        <f t="shared" si="183"/>
        <v>20.5</v>
      </c>
      <c r="BQ17" s="21">
        <f t="shared" si="184"/>
        <v>4.878048780487805E-2</v>
      </c>
      <c r="BR17" s="5">
        <f t="shared" si="185"/>
        <v>0.33999999999999986</v>
      </c>
      <c r="BS17" s="5">
        <f t="shared" si="186"/>
        <v>5.7073170731707312E-2</v>
      </c>
      <c r="BT17" s="24">
        <f t="shared" si="187"/>
        <v>63.585365853658537</v>
      </c>
      <c r="BU17" s="5">
        <f t="shared" si="188"/>
        <v>40.107692307692311</v>
      </c>
      <c r="BV17" s="5">
        <f t="shared" si="189"/>
        <v>1.2300000000000004</v>
      </c>
      <c r="BW17" s="5">
        <f t="shared" si="190"/>
        <v>-1.1399999999999997</v>
      </c>
      <c r="BX17" s="6">
        <f t="shared" si="191"/>
        <v>59</v>
      </c>
      <c r="BY17" s="5">
        <f t="shared" si="192"/>
        <v>2.0368239355581128</v>
      </c>
      <c r="BZ17" s="6">
        <f t="shared" si="193"/>
        <v>36</v>
      </c>
      <c r="CA17" s="5">
        <f t="shared" si="194"/>
        <v>1.2428078250863062</v>
      </c>
      <c r="CB17" s="6">
        <f t="shared" si="195"/>
        <v>26</v>
      </c>
      <c r="CC17" s="5">
        <f t="shared" si="196"/>
        <v>0.89758342922899892</v>
      </c>
      <c r="CD17" s="5">
        <f t="shared" si="197"/>
        <v>0.79401611047180676</v>
      </c>
      <c r="CE17" s="21">
        <f t="shared" si="198"/>
        <v>0.38983050847457629</v>
      </c>
      <c r="CF17" s="5">
        <f t="shared" si="199"/>
        <v>11.8</v>
      </c>
      <c r="CG17" s="5">
        <f t="shared" si="200"/>
        <v>3.25</v>
      </c>
      <c r="CH17" s="21">
        <f t="shared" si="201"/>
        <v>8.4745762711864403E-2</v>
      </c>
      <c r="CI17" s="298">
        <f t="shared" si="202"/>
        <v>4</v>
      </c>
      <c r="CJ17" s="298">
        <f t="shared" si="203"/>
        <v>1</v>
      </c>
      <c r="CK17" s="298">
        <f t="shared" si="204"/>
        <v>3</v>
      </c>
      <c r="CL17" s="21">
        <f t="shared" si="205"/>
        <v>5.7537399309551221E-2</v>
      </c>
      <c r="CM17" s="6">
        <f t="shared" si="206"/>
        <v>15.2</v>
      </c>
      <c r="CN17" s="5">
        <f t="shared" si="207"/>
        <v>0.52474108170310707</v>
      </c>
      <c r="CO17" s="167">
        <f t="shared" si="208"/>
        <v>233</v>
      </c>
      <c r="CP17" s="5">
        <f t="shared" si="209"/>
        <v>8.04372842347526</v>
      </c>
      <c r="CQ17" s="6">
        <f t="shared" si="210"/>
        <v>154</v>
      </c>
      <c r="CR17" s="5">
        <f t="shared" si="211"/>
        <v>5.3164556962025316</v>
      </c>
      <c r="CS17" s="21">
        <f t="shared" si="212"/>
        <v>0.66094420600858372</v>
      </c>
      <c r="CT17" s="6">
        <f t="shared" si="213"/>
        <v>82.34</v>
      </c>
      <c r="CU17" s="5">
        <f t="shared" si="214"/>
        <v>2.8425776754890681</v>
      </c>
      <c r="CV17" s="6">
        <f t="shared" si="215"/>
        <v>83.84</v>
      </c>
      <c r="CW17" s="5">
        <f t="shared" si="216"/>
        <v>2.8943613348676642</v>
      </c>
      <c r="CX17" s="385">
        <f t="shared" si="217"/>
        <v>12.019194476409668</v>
      </c>
      <c r="CY17" s="5">
        <f t="shared" si="218"/>
        <v>47.295742232451097</v>
      </c>
      <c r="CZ17" s="5">
        <f t="shared" si="219"/>
        <v>36.628308400460298</v>
      </c>
      <c r="DA17" s="6">
        <f t="shared" si="220"/>
        <v>117</v>
      </c>
      <c r="DB17" s="5">
        <f t="shared" si="221"/>
        <v>4.0391254315304952</v>
      </c>
      <c r="DC17" s="6">
        <f t="shared" si="222"/>
        <v>307</v>
      </c>
      <c r="DD17" s="5">
        <f t="shared" si="223"/>
        <v>10.598388952819333</v>
      </c>
      <c r="DE17" s="6">
        <f t="shared" si="224"/>
        <v>104</v>
      </c>
      <c r="DF17" s="5">
        <f t="shared" si="225"/>
        <v>3.5903337169159957</v>
      </c>
      <c r="DG17" s="6">
        <f t="shared" si="226"/>
        <v>191</v>
      </c>
      <c r="DH17" s="5">
        <f t="shared" si="227"/>
        <v>6.5937859608745688</v>
      </c>
      <c r="DI17" s="5">
        <f t="shared" si="228"/>
        <v>15.2</v>
      </c>
      <c r="DJ17" s="5">
        <f t="shared" si="229"/>
        <v>332.2</v>
      </c>
      <c r="DK17" s="5">
        <f t="shared" si="230"/>
        <v>11.468354430379748</v>
      </c>
      <c r="DL17" s="286">
        <f t="shared" si="231"/>
        <v>338.90999999999997</v>
      </c>
      <c r="DM17" s="287">
        <f t="shared" si="232"/>
        <v>11.7</v>
      </c>
      <c r="DN17" s="60">
        <f t="shared" si="233"/>
        <v>6.84</v>
      </c>
      <c r="DO17" t="s">
        <v>19</v>
      </c>
      <c r="DP17" t="s">
        <v>708</v>
      </c>
      <c r="DQ17" t="s">
        <v>1199</v>
      </c>
      <c r="DR17">
        <v>29</v>
      </c>
      <c r="DS17" t="s">
        <v>1200</v>
      </c>
      <c r="DT17" t="s">
        <v>713</v>
      </c>
      <c r="DU17" t="s">
        <v>1201</v>
      </c>
      <c r="DV17" t="s">
        <v>1202</v>
      </c>
      <c r="DW17" t="s">
        <v>1203</v>
      </c>
      <c r="DX17" s="430">
        <v>46387</v>
      </c>
      <c r="DY17">
        <v>2607</v>
      </c>
      <c r="DZ17">
        <v>32</v>
      </c>
      <c r="EA17">
        <v>1</v>
      </c>
      <c r="EB17">
        <v>8</v>
      </c>
      <c r="EC17">
        <v>2</v>
      </c>
      <c r="ED17">
        <v>1</v>
      </c>
      <c r="EE17">
        <v>15.2</v>
      </c>
      <c r="EF17" t="s">
        <v>1205</v>
      </c>
      <c r="EG17" t="s">
        <v>1206</v>
      </c>
      <c r="EH17">
        <v>21</v>
      </c>
      <c r="EI17">
        <v>35</v>
      </c>
      <c r="EJ17">
        <v>1055</v>
      </c>
      <c r="EK17">
        <v>943</v>
      </c>
      <c r="EL17">
        <v>41</v>
      </c>
      <c r="EM17">
        <v>76</v>
      </c>
      <c r="EN17">
        <v>78</v>
      </c>
      <c r="EO17">
        <v>62</v>
      </c>
      <c r="EP17">
        <v>26</v>
      </c>
      <c r="EQ17">
        <v>176</v>
      </c>
      <c r="ER17">
        <v>36</v>
      </c>
      <c r="ES17">
        <v>52</v>
      </c>
      <c r="ET17">
        <v>9</v>
      </c>
      <c r="EU17">
        <v>52</v>
      </c>
      <c r="EV17">
        <v>9</v>
      </c>
      <c r="EW17">
        <v>1</v>
      </c>
      <c r="EX17">
        <v>0.6</v>
      </c>
      <c r="EY17">
        <v>0</v>
      </c>
      <c r="EZ17">
        <v>3</v>
      </c>
      <c r="FA17">
        <v>3</v>
      </c>
      <c r="FB17">
        <v>11.7</v>
      </c>
      <c r="FC17" t="s">
        <v>1207</v>
      </c>
      <c r="FD17">
        <v>6.84</v>
      </c>
    </row>
    <row r="18" spans="1:160" ht="24.95" customHeight="1" thickBot="1" x14ac:dyDescent="0.3">
      <c r="A18" s="29" t="str">
        <f t="shared" si="0"/>
        <v>17º</v>
      </c>
      <c r="B18" s="67" t="str">
        <f t="shared" si="118"/>
        <v>Federico Girotti</v>
      </c>
      <c r="C18" s="83" t="str">
        <f t="shared" si="119"/>
        <v>ARG</v>
      </c>
      <c r="D18" s="9" t="str">
        <f t="shared" si="120"/>
        <v>Alianza</v>
      </c>
      <c r="E18" s="91" t="str">
        <f t="shared" si="121"/>
        <v>Pé Preferido Desconhecido</v>
      </c>
      <c r="F18" s="155">
        <f t="shared" si="122"/>
        <v>1.89</v>
      </c>
      <c r="G18" s="35">
        <f t="shared" si="123"/>
        <v>47118</v>
      </c>
      <c r="H18" s="7">
        <f t="shared" si="124"/>
        <v>27</v>
      </c>
      <c r="I18" s="299" t="str">
        <f t="shared" si="125"/>
        <v>11m € - 16m € p/m</v>
      </c>
      <c r="J18" s="3" t="str">
        <f t="shared" si="126"/>
        <v>Desconhecido</v>
      </c>
      <c r="K18" s="89">
        <f t="shared" si="10"/>
        <v>31.398046398046404</v>
      </c>
      <c r="L18" s="133">
        <f t="shared" si="127"/>
        <v>35.166666666666664</v>
      </c>
      <c r="M18" s="134">
        <f t="shared" si="128"/>
        <v>36</v>
      </c>
      <c r="N18" s="134">
        <f t="shared" si="129"/>
        <v>87.916666666666671</v>
      </c>
      <c r="O18" s="173">
        <f t="shared" si="130"/>
        <v>1</v>
      </c>
      <c r="P18" s="402">
        <f t="shared" si="131"/>
        <v>18</v>
      </c>
      <c r="Q18" s="402">
        <f t="shared" si="132"/>
        <v>2</v>
      </c>
      <c r="R18" s="402">
        <f t="shared" si="133"/>
        <v>20</v>
      </c>
      <c r="S18" s="6">
        <f t="shared" si="134"/>
        <v>4</v>
      </c>
      <c r="T18" s="24">
        <f t="shared" si="135"/>
        <v>791.25</v>
      </c>
      <c r="U18" s="21">
        <f t="shared" si="136"/>
        <v>0.11374407582938389</v>
      </c>
      <c r="V18" s="298">
        <f t="shared" si="137"/>
        <v>0</v>
      </c>
      <c r="W18" s="300">
        <f t="shared" si="138"/>
        <v>0</v>
      </c>
      <c r="X18" s="298">
        <f t="shared" si="139"/>
        <v>0</v>
      </c>
      <c r="Y18" s="300">
        <f t="shared" si="140"/>
        <v>0</v>
      </c>
      <c r="Z18" s="290">
        <f t="shared" si="141"/>
        <v>0</v>
      </c>
      <c r="AA18" s="298">
        <f t="shared" si="142"/>
        <v>2</v>
      </c>
      <c r="AB18" s="286">
        <f t="shared" si="143"/>
        <v>0</v>
      </c>
      <c r="AC18" s="286">
        <f t="shared" si="144"/>
        <v>0</v>
      </c>
      <c r="AD18" s="286">
        <f t="shared" si="145"/>
        <v>0</v>
      </c>
      <c r="AE18" s="21">
        <f t="shared" si="146"/>
        <v>9.9999999999999995E-8</v>
      </c>
      <c r="AF18" s="421">
        <f t="shared" si="147"/>
        <v>18</v>
      </c>
      <c r="AG18" s="421">
        <f t="shared" si="148"/>
        <v>2</v>
      </c>
      <c r="AH18" s="421">
        <f t="shared" si="149"/>
        <v>20</v>
      </c>
      <c r="AI18" s="421">
        <f t="shared" si="150"/>
        <v>18</v>
      </c>
      <c r="AJ18" s="420">
        <f t="shared" si="151"/>
        <v>1</v>
      </c>
      <c r="AK18" s="422">
        <f t="shared" si="152"/>
        <v>0.51184834123222755</v>
      </c>
      <c r="AL18" s="422">
        <f t="shared" si="153"/>
        <v>5.6872037914691947E-2</v>
      </c>
      <c r="AM18" s="422">
        <f t="shared" si="154"/>
        <v>0.56872037914691942</v>
      </c>
      <c r="AN18" s="5">
        <f t="shared" si="155"/>
        <v>11.62</v>
      </c>
      <c r="AO18" s="5">
        <f t="shared" si="156"/>
        <v>11.62</v>
      </c>
      <c r="AP18" s="5">
        <f t="shared" si="157"/>
        <v>0.33042654028436019</v>
      </c>
      <c r="AQ18" s="5">
        <f t="shared" si="158"/>
        <v>2.93</v>
      </c>
      <c r="AR18" s="5">
        <f t="shared" si="159"/>
        <v>8.3317535545023705E-2</v>
      </c>
      <c r="AS18" s="5">
        <f t="shared" si="160"/>
        <v>14.549999999999999</v>
      </c>
      <c r="AT18" s="5">
        <f t="shared" si="161"/>
        <v>0.41374407582938388</v>
      </c>
      <c r="AU18" s="21">
        <f t="shared" si="162"/>
        <v>0.59432048681541594</v>
      </c>
      <c r="AV18" s="21">
        <f t="shared" si="163"/>
        <v>0.6076975016880487</v>
      </c>
      <c r="AW18" s="6">
        <f t="shared" si="164"/>
        <v>12</v>
      </c>
      <c r="AX18" s="6">
        <f t="shared" si="165"/>
        <v>4</v>
      </c>
      <c r="AY18" s="21">
        <f t="shared" si="166"/>
        <v>0.33333333333333331</v>
      </c>
      <c r="AZ18" s="304">
        <f t="shared" si="167"/>
        <v>19</v>
      </c>
      <c r="BA18" s="305">
        <f t="shared" si="168"/>
        <v>0.54028436018957349</v>
      </c>
      <c r="BB18" s="413">
        <f t="shared" si="169"/>
        <v>14.189500000000001</v>
      </c>
      <c r="BC18" s="413">
        <f t="shared" si="170"/>
        <v>0.40349289099526064</v>
      </c>
      <c r="BD18" s="6">
        <f t="shared" si="171"/>
        <v>940</v>
      </c>
      <c r="BE18" s="5">
        <f t="shared" si="172"/>
        <v>26.729857819905217</v>
      </c>
      <c r="BF18" s="6">
        <f t="shared" si="173"/>
        <v>836</v>
      </c>
      <c r="BG18" s="5">
        <f t="shared" si="174"/>
        <v>23.772511848341235</v>
      </c>
      <c r="BH18" s="21">
        <f t="shared" si="175"/>
        <v>0.88936170212765953</v>
      </c>
      <c r="BI18" s="417">
        <f t="shared" si="176"/>
        <v>104</v>
      </c>
      <c r="BJ18" s="418">
        <f t="shared" si="177"/>
        <v>2.9573459715639814</v>
      </c>
      <c r="BK18" s="195">
        <f t="shared" si="178"/>
        <v>25</v>
      </c>
      <c r="BL18" s="5">
        <f t="shared" si="179"/>
        <v>0.7109004739336493</v>
      </c>
      <c r="BM18" s="21">
        <f t="shared" si="180"/>
        <v>2.6595744680851064E-2</v>
      </c>
      <c r="BN18" s="195">
        <f t="shared" si="181"/>
        <v>32</v>
      </c>
      <c r="BO18" s="185">
        <f t="shared" si="182"/>
        <v>0.90995260663507116</v>
      </c>
      <c r="BP18" s="5">
        <f t="shared" si="183"/>
        <v>16</v>
      </c>
      <c r="BQ18" s="21">
        <f t="shared" si="184"/>
        <v>6.25E-2</v>
      </c>
      <c r="BR18" s="5">
        <f t="shared" si="185"/>
        <v>0.93000000000000016</v>
      </c>
      <c r="BS18" s="5">
        <f t="shared" si="186"/>
        <v>9.1562500000000005E-2</v>
      </c>
      <c r="BT18" s="24">
        <f t="shared" si="187"/>
        <v>98.90625</v>
      </c>
      <c r="BU18" s="5">
        <f t="shared" si="188"/>
        <v>33.670212765957444</v>
      </c>
      <c r="BV18" s="5">
        <f t="shared" si="189"/>
        <v>6.3800000000000008</v>
      </c>
      <c r="BW18" s="5">
        <f t="shared" si="190"/>
        <v>6.3800000000000008</v>
      </c>
      <c r="BX18" s="6">
        <f t="shared" si="191"/>
        <v>103</v>
      </c>
      <c r="BY18" s="5">
        <f t="shared" si="192"/>
        <v>2.9289099526066353</v>
      </c>
      <c r="BZ18" s="6">
        <f t="shared" si="193"/>
        <v>50</v>
      </c>
      <c r="CA18" s="5">
        <f t="shared" si="194"/>
        <v>1.4218009478672986</v>
      </c>
      <c r="CB18" s="6">
        <f t="shared" si="195"/>
        <v>53</v>
      </c>
      <c r="CC18" s="5">
        <f t="shared" si="196"/>
        <v>1.5071090047393365</v>
      </c>
      <c r="CD18" s="5">
        <f t="shared" si="197"/>
        <v>1.5071090047393365</v>
      </c>
      <c r="CE18" s="21">
        <f t="shared" si="198"/>
        <v>0.5145631067961165</v>
      </c>
      <c r="CF18" s="5">
        <f t="shared" si="199"/>
        <v>5.7222222222222223</v>
      </c>
      <c r="CG18" s="5">
        <f t="shared" si="200"/>
        <v>2.9444444444444446</v>
      </c>
      <c r="CH18" s="21">
        <f t="shared" si="201"/>
        <v>0.17475728155339806</v>
      </c>
      <c r="CI18" s="298">
        <f t="shared" si="202"/>
        <v>17</v>
      </c>
      <c r="CJ18" s="298">
        <f t="shared" si="203"/>
        <v>1</v>
      </c>
      <c r="CK18" s="298">
        <f t="shared" si="204"/>
        <v>0</v>
      </c>
      <c r="CL18" s="21">
        <f t="shared" si="205"/>
        <v>3.1595576619273306E-2</v>
      </c>
      <c r="CM18" s="6">
        <f t="shared" si="206"/>
        <v>16</v>
      </c>
      <c r="CN18" s="5">
        <f t="shared" si="207"/>
        <v>0.45497630331753558</v>
      </c>
      <c r="CO18" s="167">
        <f t="shared" si="208"/>
        <v>166</v>
      </c>
      <c r="CP18" s="5">
        <f t="shared" si="209"/>
        <v>4.7203791469194316</v>
      </c>
      <c r="CQ18" s="6">
        <f t="shared" si="210"/>
        <v>108</v>
      </c>
      <c r="CR18" s="5">
        <f t="shared" si="211"/>
        <v>3.0710900473933651</v>
      </c>
      <c r="CS18" s="21">
        <f t="shared" si="212"/>
        <v>0.6506024096385542</v>
      </c>
      <c r="CT18" s="6">
        <f t="shared" si="213"/>
        <v>111.93</v>
      </c>
      <c r="CU18" s="5">
        <f t="shared" si="214"/>
        <v>3.1828436018957351</v>
      </c>
      <c r="CV18" s="6">
        <f t="shared" si="215"/>
        <v>115.93</v>
      </c>
      <c r="CW18" s="5">
        <f t="shared" si="216"/>
        <v>3.2965876777251188</v>
      </c>
      <c r="CX18" s="385">
        <f t="shared" si="217"/>
        <v>8.1196492890995273</v>
      </c>
      <c r="CY18" s="5">
        <f t="shared" si="218"/>
        <v>32.843601895734601</v>
      </c>
      <c r="CZ18" s="5">
        <f t="shared" si="219"/>
        <v>25.649289099526069</v>
      </c>
      <c r="DA18" s="6">
        <f t="shared" si="220"/>
        <v>57</v>
      </c>
      <c r="DB18" s="5">
        <f t="shared" si="221"/>
        <v>1.6208530805687205</v>
      </c>
      <c r="DC18" s="6">
        <f t="shared" si="222"/>
        <v>200</v>
      </c>
      <c r="DD18" s="5">
        <f t="shared" si="223"/>
        <v>5.6872037914691944</v>
      </c>
      <c r="DE18" s="6">
        <f t="shared" si="224"/>
        <v>144</v>
      </c>
      <c r="DF18" s="5">
        <f t="shared" si="225"/>
        <v>4.0947867298578204</v>
      </c>
      <c r="DG18" s="6">
        <f t="shared" si="226"/>
        <v>162</v>
      </c>
      <c r="DH18" s="5">
        <f t="shared" si="227"/>
        <v>4.6066350710900474</v>
      </c>
      <c r="DI18" s="5">
        <f t="shared" si="228"/>
        <v>16</v>
      </c>
      <c r="DJ18" s="5">
        <f t="shared" si="229"/>
        <v>365.2</v>
      </c>
      <c r="DK18" s="5">
        <f t="shared" si="230"/>
        <v>10.384834123222749</v>
      </c>
      <c r="DL18" s="286">
        <f t="shared" si="231"/>
        <v>295.39999999999998</v>
      </c>
      <c r="DM18" s="287">
        <f t="shared" si="232"/>
        <v>8.4</v>
      </c>
      <c r="DN18" s="60">
        <f t="shared" si="233"/>
        <v>6.91</v>
      </c>
      <c r="DO18"/>
      <c r="DP18" t="s">
        <v>708</v>
      </c>
      <c r="DQ18" t="s">
        <v>1208</v>
      </c>
      <c r="DR18">
        <v>27</v>
      </c>
      <c r="DS18" t="s">
        <v>1209</v>
      </c>
      <c r="DT18" t="s">
        <v>799</v>
      </c>
      <c r="DU18" t="s">
        <v>1201</v>
      </c>
      <c r="DV18" t="s">
        <v>1202</v>
      </c>
      <c r="DW18" t="s">
        <v>1210</v>
      </c>
      <c r="DX18" s="430">
        <v>47118</v>
      </c>
      <c r="DY18">
        <v>3165</v>
      </c>
      <c r="DZ18">
        <v>36</v>
      </c>
      <c r="EA18">
        <v>4</v>
      </c>
      <c r="EB18">
        <v>18</v>
      </c>
      <c r="EC18">
        <v>2</v>
      </c>
      <c r="ED18">
        <v>9</v>
      </c>
      <c r="EE18">
        <v>16</v>
      </c>
      <c r="EF18" t="s">
        <v>1211</v>
      </c>
      <c r="EG18" t="s">
        <v>1212</v>
      </c>
      <c r="EH18">
        <v>28</v>
      </c>
      <c r="EI18">
        <v>52</v>
      </c>
      <c r="EJ18">
        <v>940</v>
      </c>
      <c r="EK18">
        <v>836</v>
      </c>
      <c r="EL18">
        <v>32</v>
      </c>
      <c r="EM18">
        <v>25</v>
      </c>
      <c r="EN18">
        <v>19</v>
      </c>
      <c r="EO18">
        <v>103</v>
      </c>
      <c r="EP18">
        <v>53</v>
      </c>
      <c r="EQ18">
        <v>59</v>
      </c>
      <c r="ER18">
        <v>17</v>
      </c>
      <c r="ES18">
        <v>12</v>
      </c>
      <c r="ET18">
        <v>4</v>
      </c>
      <c r="EU18">
        <v>12</v>
      </c>
      <c r="EV18">
        <v>4</v>
      </c>
      <c r="EW18">
        <v>1</v>
      </c>
      <c r="EX18">
        <v>0.9</v>
      </c>
      <c r="EY18">
        <v>2</v>
      </c>
      <c r="EZ18">
        <v>0</v>
      </c>
      <c r="FA18">
        <v>0</v>
      </c>
      <c r="FB18">
        <v>8.4</v>
      </c>
      <c r="FC18" t="s">
        <v>1213</v>
      </c>
      <c r="FD18">
        <v>6.91</v>
      </c>
    </row>
    <row r="19" spans="1:160" ht="24.95" customHeight="1" thickBot="1" x14ac:dyDescent="0.3">
      <c r="A19" s="29" t="str">
        <f t="shared" si="0"/>
        <v>18º</v>
      </c>
      <c r="B19" s="67" t="str">
        <f t="shared" si="118"/>
        <v>Álvaro López</v>
      </c>
      <c r="C19" s="83" t="str">
        <f t="shared" si="119"/>
        <v>ARG</v>
      </c>
      <c r="D19" s="9" t="str">
        <f t="shared" si="120"/>
        <v>Albion</v>
      </c>
      <c r="E19" s="91" t="str">
        <f t="shared" si="121"/>
        <v>Pé Preferido Desconhecido</v>
      </c>
      <c r="F19" s="155">
        <f t="shared" si="122"/>
        <v>1.95</v>
      </c>
      <c r="G19" s="35">
        <f t="shared" si="123"/>
        <v>46752</v>
      </c>
      <c r="H19" s="7">
        <f t="shared" si="124"/>
        <v>28</v>
      </c>
      <c r="I19" s="299" t="str">
        <f t="shared" si="125"/>
        <v>1,5m € - 2,5m € p/m</v>
      </c>
      <c r="J19" s="3" t="str">
        <f t="shared" si="126"/>
        <v>Desconhecido</v>
      </c>
      <c r="K19" s="89">
        <f t="shared" si="10"/>
        <v>31.398046398046404</v>
      </c>
      <c r="L19" s="133">
        <f t="shared" si="127"/>
        <v>30.144444444444446</v>
      </c>
      <c r="M19" s="134">
        <f t="shared" si="128"/>
        <v>35</v>
      </c>
      <c r="N19" s="134">
        <f t="shared" si="129"/>
        <v>77.51428571428572</v>
      </c>
      <c r="O19" s="173">
        <f t="shared" si="130"/>
        <v>1</v>
      </c>
      <c r="P19" s="402">
        <f t="shared" si="131"/>
        <v>13</v>
      </c>
      <c r="Q19" s="402">
        <f t="shared" si="132"/>
        <v>1</v>
      </c>
      <c r="R19" s="402">
        <f t="shared" si="133"/>
        <v>14</v>
      </c>
      <c r="S19" s="6">
        <f t="shared" si="134"/>
        <v>1</v>
      </c>
      <c r="T19" s="24">
        <f t="shared" si="135"/>
        <v>2713</v>
      </c>
      <c r="U19" s="21">
        <f t="shared" si="136"/>
        <v>3.3173608551419091E-2</v>
      </c>
      <c r="V19" s="298">
        <f t="shared" si="137"/>
        <v>0</v>
      </c>
      <c r="W19" s="300">
        <f t="shared" si="138"/>
        <v>0</v>
      </c>
      <c r="X19" s="298">
        <f t="shared" si="139"/>
        <v>0</v>
      </c>
      <c r="Y19" s="300">
        <f t="shared" si="140"/>
        <v>0</v>
      </c>
      <c r="Z19" s="290">
        <f t="shared" si="141"/>
        <v>0</v>
      </c>
      <c r="AA19" s="298">
        <f t="shared" si="142"/>
        <v>7</v>
      </c>
      <c r="AB19" s="286">
        <f t="shared" si="143"/>
        <v>0</v>
      </c>
      <c r="AC19" s="286">
        <f t="shared" si="144"/>
        <v>0</v>
      </c>
      <c r="AD19" s="286">
        <f t="shared" si="145"/>
        <v>0</v>
      </c>
      <c r="AE19" s="21">
        <f t="shared" si="146"/>
        <v>9.9999999999999995E-8</v>
      </c>
      <c r="AF19" s="421">
        <f t="shared" si="147"/>
        <v>13</v>
      </c>
      <c r="AG19" s="421">
        <f t="shared" si="148"/>
        <v>1</v>
      </c>
      <c r="AH19" s="421">
        <f t="shared" si="149"/>
        <v>14</v>
      </c>
      <c r="AI19" s="421">
        <f t="shared" si="150"/>
        <v>13</v>
      </c>
      <c r="AJ19" s="420">
        <f t="shared" si="151"/>
        <v>2</v>
      </c>
      <c r="AK19" s="422">
        <f t="shared" si="152"/>
        <v>0.43125691116844822</v>
      </c>
      <c r="AL19" s="422">
        <f t="shared" si="153"/>
        <v>3.3173608551419091E-2</v>
      </c>
      <c r="AM19" s="422">
        <f t="shared" si="154"/>
        <v>0.46443051971986726</v>
      </c>
      <c r="AN19" s="5">
        <f t="shared" si="155"/>
        <v>11.27</v>
      </c>
      <c r="AO19" s="5">
        <f t="shared" si="156"/>
        <v>11.27</v>
      </c>
      <c r="AP19" s="5">
        <f t="shared" si="157"/>
        <v>0.37386656837449317</v>
      </c>
      <c r="AQ19" s="5">
        <f t="shared" si="158"/>
        <v>2.27</v>
      </c>
      <c r="AR19" s="5">
        <f t="shared" si="159"/>
        <v>7.5304091411721341E-2</v>
      </c>
      <c r="AS19" s="5">
        <f t="shared" si="160"/>
        <v>13.54</v>
      </c>
      <c r="AT19" s="5">
        <f t="shared" si="161"/>
        <v>0.44917065978621445</v>
      </c>
      <c r="AU19" s="21">
        <f t="shared" si="162"/>
        <v>0.6941896024464832</v>
      </c>
      <c r="AV19" s="21">
        <f t="shared" si="163"/>
        <v>0.53564070869386071</v>
      </c>
      <c r="AW19" s="6">
        <f t="shared" si="164"/>
        <v>5</v>
      </c>
      <c r="AX19" s="6">
        <f t="shared" si="165"/>
        <v>1</v>
      </c>
      <c r="AY19" s="21">
        <f t="shared" si="166"/>
        <v>0.2</v>
      </c>
      <c r="AZ19" s="304">
        <f t="shared" si="167"/>
        <v>36</v>
      </c>
      <c r="BA19" s="305">
        <f t="shared" si="168"/>
        <v>1.1942499078510873</v>
      </c>
      <c r="BB19" s="413">
        <f t="shared" si="169"/>
        <v>12.820499999999999</v>
      </c>
      <c r="BC19" s="413">
        <f t="shared" si="170"/>
        <v>0.42530224843346842</v>
      </c>
      <c r="BD19" s="6">
        <f t="shared" si="171"/>
        <v>770</v>
      </c>
      <c r="BE19" s="5">
        <f t="shared" si="172"/>
        <v>25.543678584592701</v>
      </c>
      <c r="BF19" s="6">
        <f t="shared" si="173"/>
        <v>669</v>
      </c>
      <c r="BG19" s="5">
        <f t="shared" si="174"/>
        <v>22.193144120899372</v>
      </c>
      <c r="BH19" s="21">
        <f t="shared" si="175"/>
        <v>0.86883116883116884</v>
      </c>
      <c r="BI19" s="417">
        <f t="shared" si="176"/>
        <v>101</v>
      </c>
      <c r="BJ19" s="418">
        <f t="shared" si="177"/>
        <v>3.3505344636933283</v>
      </c>
      <c r="BK19" s="195">
        <f t="shared" si="178"/>
        <v>17</v>
      </c>
      <c r="BL19" s="5">
        <f t="shared" si="179"/>
        <v>0.56395134537412461</v>
      </c>
      <c r="BM19" s="21">
        <f t="shared" si="180"/>
        <v>2.2077922077922078E-2</v>
      </c>
      <c r="BN19" s="195">
        <f t="shared" si="181"/>
        <v>21</v>
      </c>
      <c r="BO19" s="185">
        <f t="shared" si="182"/>
        <v>0.69664577957980089</v>
      </c>
      <c r="BP19" s="5">
        <f t="shared" si="183"/>
        <v>21</v>
      </c>
      <c r="BQ19" s="21">
        <f t="shared" si="184"/>
        <v>4.7619047619047616E-2</v>
      </c>
      <c r="BR19" s="5">
        <f t="shared" si="185"/>
        <v>1.27</v>
      </c>
      <c r="BS19" s="5">
        <f t="shared" si="186"/>
        <v>0.10809523809523809</v>
      </c>
      <c r="BT19" s="24">
        <f t="shared" si="187"/>
        <v>129.1904761904762</v>
      </c>
      <c r="BU19" s="5">
        <f t="shared" si="188"/>
        <v>33.493827160493829</v>
      </c>
      <c r="BV19" s="5">
        <f t="shared" si="189"/>
        <v>1.7300000000000004</v>
      </c>
      <c r="BW19" s="5">
        <f t="shared" si="190"/>
        <v>1.7300000000000004</v>
      </c>
      <c r="BX19" s="6">
        <f t="shared" si="191"/>
        <v>90</v>
      </c>
      <c r="BY19" s="5">
        <f t="shared" si="192"/>
        <v>2.9856247696277181</v>
      </c>
      <c r="BZ19" s="6">
        <f t="shared" si="193"/>
        <v>35</v>
      </c>
      <c r="CA19" s="5">
        <f t="shared" si="194"/>
        <v>1.1610762992996682</v>
      </c>
      <c r="CB19" s="6">
        <f t="shared" si="195"/>
        <v>55</v>
      </c>
      <c r="CC19" s="5">
        <f t="shared" si="196"/>
        <v>1.8245484703280501</v>
      </c>
      <c r="CD19" s="5">
        <f t="shared" si="197"/>
        <v>1.8245484703280501</v>
      </c>
      <c r="CE19" s="21">
        <f t="shared" si="198"/>
        <v>0.61111111111111116</v>
      </c>
      <c r="CF19" s="5">
        <f t="shared" si="199"/>
        <v>6.9230769230769234</v>
      </c>
      <c r="CG19" s="5">
        <f t="shared" si="200"/>
        <v>4.2307692307692308</v>
      </c>
      <c r="CH19" s="21">
        <f t="shared" si="201"/>
        <v>0.14444444444444443</v>
      </c>
      <c r="CI19" s="298">
        <f t="shared" si="202"/>
        <v>11</v>
      </c>
      <c r="CJ19" s="298">
        <f t="shared" si="203"/>
        <v>2</v>
      </c>
      <c r="CK19" s="298">
        <f t="shared" si="204"/>
        <v>0</v>
      </c>
      <c r="CL19" s="21">
        <f t="shared" si="205"/>
        <v>6.6347217102838182E-2</v>
      </c>
      <c r="CM19" s="6">
        <f t="shared" si="206"/>
        <v>16.600000000000001</v>
      </c>
      <c r="CN19" s="5">
        <f t="shared" si="207"/>
        <v>0.55068190195355693</v>
      </c>
      <c r="CO19" s="167">
        <f t="shared" si="208"/>
        <v>152</v>
      </c>
      <c r="CP19" s="5">
        <f t="shared" si="209"/>
        <v>5.0423884998157016</v>
      </c>
      <c r="CQ19" s="6">
        <f t="shared" si="210"/>
        <v>113</v>
      </c>
      <c r="CR19" s="5">
        <f t="shared" si="211"/>
        <v>3.7486177663103573</v>
      </c>
      <c r="CS19" s="21">
        <f t="shared" si="212"/>
        <v>0.74342105263157898</v>
      </c>
      <c r="CT19" s="6">
        <f t="shared" si="213"/>
        <v>93.27000000000001</v>
      </c>
      <c r="CU19" s="5">
        <f t="shared" si="214"/>
        <v>3.094102469590859</v>
      </c>
      <c r="CV19" s="6">
        <f t="shared" si="215"/>
        <v>94.77</v>
      </c>
      <c r="CW19" s="5">
        <f t="shared" si="216"/>
        <v>3.1438628824179871</v>
      </c>
      <c r="CX19" s="385">
        <f t="shared" si="217"/>
        <v>6.576369332841872</v>
      </c>
      <c r="CY19" s="5">
        <f t="shared" si="218"/>
        <v>31.747143383708071</v>
      </c>
      <c r="CZ19" s="5">
        <f t="shared" si="219"/>
        <v>23.619609288610395</v>
      </c>
      <c r="DA19" s="6">
        <f t="shared" si="220"/>
        <v>38</v>
      </c>
      <c r="DB19" s="5">
        <f t="shared" si="221"/>
        <v>1.2605971249539254</v>
      </c>
      <c r="DC19" s="6">
        <f t="shared" si="222"/>
        <v>174</v>
      </c>
      <c r="DD19" s="5">
        <f t="shared" si="223"/>
        <v>5.7722078879469221</v>
      </c>
      <c r="DE19" s="6">
        <f t="shared" si="224"/>
        <v>116</v>
      </c>
      <c r="DF19" s="5">
        <f t="shared" si="225"/>
        <v>3.8481385919646147</v>
      </c>
      <c r="DG19" s="6">
        <f t="shared" si="226"/>
        <v>140</v>
      </c>
      <c r="DH19" s="5">
        <f t="shared" si="227"/>
        <v>4.6443051971986726</v>
      </c>
      <c r="DI19" s="5">
        <f t="shared" si="228"/>
        <v>16.600000000000001</v>
      </c>
      <c r="DJ19" s="5">
        <f t="shared" si="229"/>
        <v>302.3</v>
      </c>
      <c r="DK19" s="5">
        <f t="shared" si="230"/>
        <v>10.028381865093992</v>
      </c>
      <c r="DL19" s="286">
        <f t="shared" si="231"/>
        <v>168.80888888888887</v>
      </c>
      <c r="DM19" s="287">
        <f t="shared" si="232"/>
        <v>5.6</v>
      </c>
      <c r="DN19" s="60">
        <f t="shared" si="233"/>
        <v>6.81</v>
      </c>
      <c r="DO19"/>
      <c r="DP19" t="s">
        <v>708</v>
      </c>
      <c r="DQ19" t="s">
        <v>1214</v>
      </c>
      <c r="DR19">
        <v>28</v>
      </c>
      <c r="DS19" t="s">
        <v>1215</v>
      </c>
      <c r="DT19" t="s">
        <v>803</v>
      </c>
      <c r="DU19" t="s">
        <v>1201</v>
      </c>
      <c r="DV19" t="s">
        <v>1202</v>
      </c>
      <c r="DW19" t="s">
        <v>1216</v>
      </c>
      <c r="DX19" s="430">
        <v>46752</v>
      </c>
      <c r="DY19">
        <v>2713</v>
      </c>
      <c r="DZ19">
        <v>35</v>
      </c>
      <c r="EA19">
        <v>1</v>
      </c>
      <c r="EB19">
        <v>13</v>
      </c>
      <c r="EC19">
        <v>1</v>
      </c>
      <c r="ED19">
        <v>5</v>
      </c>
      <c r="EE19">
        <v>16.600000000000001</v>
      </c>
      <c r="EF19" t="s">
        <v>1218</v>
      </c>
      <c r="EG19" t="s">
        <v>1219</v>
      </c>
      <c r="EH19">
        <v>34</v>
      </c>
      <c r="EI19">
        <v>52</v>
      </c>
      <c r="EJ19">
        <v>770</v>
      </c>
      <c r="EK19">
        <v>669</v>
      </c>
      <c r="EL19">
        <v>21</v>
      </c>
      <c r="EM19">
        <v>17</v>
      </c>
      <c r="EN19">
        <v>36</v>
      </c>
      <c r="EO19">
        <v>90</v>
      </c>
      <c r="EP19">
        <v>55</v>
      </c>
      <c r="EQ19">
        <v>51</v>
      </c>
      <c r="ER19">
        <v>9</v>
      </c>
      <c r="ES19">
        <v>5</v>
      </c>
      <c r="ET19">
        <v>1</v>
      </c>
      <c r="EU19">
        <v>5</v>
      </c>
      <c r="EV19">
        <v>1</v>
      </c>
      <c r="EW19">
        <v>2</v>
      </c>
      <c r="EX19">
        <v>1</v>
      </c>
      <c r="EY19">
        <v>7</v>
      </c>
      <c r="EZ19">
        <v>0</v>
      </c>
      <c r="FA19">
        <v>0</v>
      </c>
      <c r="FB19">
        <v>5.6</v>
      </c>
      <c r="FC19" t="s">
        <v>1220</v>
      </c>
      <c r="FD19">
        <v>6.81</v>
      </c>
    </row>
    <row r="20" spans="1:160" ht="24.95" customHeight="1" thickBot="1" x14ac:dyDescent="0.3">
      <c r="A20" s="29" t="str">
        <f t="shared" si="0"/>
        <v>19º</v>
      </c>
      <c r="B20" s="67" t="str">
        <f t="shared" si="118"/>
        <v>Lautaro Palacios</v>
      </c>
      <c r="C20" s="83" t="str">
        <f t="shared" si="119"/>
        <v>ARG</v>
      </c>
      <c r="D20" s="9" t="str">
        <f t="shared" si="120"/>
        <v>D. Copiapó</v>
      </c>
      <c r="E20" s="91" t="str">
        <f t="shared" si="121"/>
        <v>Pé Direito</v>
      </c>
      <c r="F20" s="155">
        <f t="shared" si="122"/>
        <v>1.77</v>
      </c>
      <c r="G20" s="35">
        <f t="shared" si="123"/>
        <v>46387</v>
      </c>
      <c r="H20" s="7">
        <f t="shared" si="124"/>
        <v>31</v>
      </c>
      <c r="I20" s="299" t="str">
        <f t="shared" si="125"/>
        <v>11,75m € - 17,75m € p/m</v>
      </c>
      <c r="J20" s="3" t="str">
        <f t="shared" si="126"/>
        <v>0 € - 90m €</v>
      </c>
      <c r="K20" s="89">
        <f t="shared" si="10"/>
        <v>31.398046398046404</v>
      </c>
      <c r="L20" s="133">
        <f t="shared" si="127"/>
        <v>35.166666666666664</v>
      </c>
      <c r="M20" s="134">
        <f t="shared" si="128"/>
        <v>38</v>
      </c>
      <c r="N20" s="134">
        <f t="shared" si="129"/>
        <v>83.28947368421052</v>
      </c>
      <c r="O20" s="173">
        <f t="shared" si="130"/>
        <v>0.95</v>
      </c>
      <c r="P20" s="402">
        <f t="shared" si="131"/>
        <v>13</v>
      </c>
      <c r="Q20" s="402">
        <f t="shared" si="132"/>
        <v>3</v>
      </c>
      <c r="R20" s="402">
        <f t="shared" si="133"/>
        <v>16</v>
      </c>
      <c r="S20" s="6">
        <f t="shared" si="134"/>
        <v>2</v>
      </c>
      <c r="T20" s="24">
        <f t="shared" si="135"/>
        <v>1582.5</v>
      </c>
      <c r="U20" s="21">
        <f t="shared" si="136"/>
        <v>5.6872037914691947E-2</v>
      </c>
      <c r="V20" s="298">
        <f t="shared" si="137"/>
        <v>0</v>
      </c>
      <c r="W20" s="300">
        <f t="shared" si="138"/>
        <v>0</v>
      </c>
      <c r="X20" s="298">
        <f t="shared" si="139"/>
        <v>0</v>
      </c>
      <c r="Y20" s="300">
        <f t="shared" si="140"/>
        <v>0</v>
      </c>
      <c r="Z20" s="290">
        <f t="shared" si="141"/>
        <v>0</v>
      </c>
      <c r="AA20" s="298">
        <f t="shared" si="142"/>
        <v>0</v>
      </c>
      <c r="AB20" s="286">
        <f t="shared" si="143"/>
        <v>2</v>
      </c>
      <c r="AC20" s="286">
        <f t="shared" si="144"/>
        <v>1</v>
      </c>
      <c r="AD20" s="286">
        <f t="shared" si="145"/>
        <v>1</v>
      </c>
      <c r="AE20" s="21">
        <f t="shared" si="146"/>
        <v>0.5</v>
      </c>
      <c r="AF20" s="421">
        <f t="shared" si="147"/>
        <v>13</v>
      </c>
      <c r="AG20" s="421">
        <f t="shared" si="148"/>
        <v>3</v>
      </c>
      <c r="AH20" s="421">
        <f t="shared" si="149"/>
        <v>16</v>
      </c>
      <c r="AI20" s="421">
        <f t="shared" si="150"/>
        <v>12</v>
      </c>
      <c r="AJ20" s="420">
        <f t="shared" si="151"/>
        <v>4</v>
      </c>
      <c r="AK20" s="422">
        <f t="shared" si="152"/>
        <v>0.36966824644549767</v>
      </c>
      <c r="AL20" s="422">
        <f t="shared" si="153"/>
        <v>8.5308056872037921E-2</v>
      </c>
      <c r="AM20" s="422">
        <f t="shared" si="154"/>
        <v>0.45497630331753558</v>
      </c>
      <c r="AN20" s="5">
        <f t="shared" si="155"/>
        <v>13.34</v>
      </c>
      <c r="AO20" s="5">
        <f t="shared" si="156"/>
        <v>11.76</v>
      </c>
      <c r="AP20" s="5">
        <f t="shared" si="157"/>
        <v>0.33440758293838863</v>
      </c>
      <c r="AQ20" s="5">
        <f t="shared" si="158"/>
        <v>2.68</v>
      </c>
      <c r="AR20" s="5">
        <f t="shared" si="159"/>
        <v>7.6208530805687208E-2</v>
      </c>
      <c r="AS20" s="5">
        <f t="shared" si="160"/>
        <v>14.44</v>
      </c>
      <c r="AT20" s="5">
        <f t="shared" si="161"/>
        <v>0.41061611374407586</v>
      </c>
      <c r="AU20" s="21">
        <f t="shared" si="162"/>
        <v>0.471830985915493</v>
      </c>
      <c r="AV20" s="21">
        <f t="shared" si="163"/>
        <v>0.49354593773728173</v>
      </c>
      <c r="AW20" s="6">
        <f t="shared" si="164"/>
        <v>12</v>
      </c>
      <c r="AX20" s="6">
        <f t="shared" si="165"/>
        <v>4</v>
      </c>
      <c r="AY20" s="21">
        <f t="shared" si="166"/>
        <v>0.33333333333333331</v>
      </c>
      <c r="AZ20" s="304">
        <f t="shared" si="167"/>
        <v>27</v>
      </c>
      <c r="BA20" s="305">
        <f t="shared" si="168"/>
        <v>0.76777251184834128</v>
      </c>
      <c r="BB20" s="413">
        <f t="shared" si="169"/>
        <v>13.382000000000001</v>
      </c>
      <c r="BC20" s="413">
        <f t="shared" si="170"/>
        <v>0.38053080568720382</v>
      </c>
      <c r="BD20" s="6">
        <f t="shared" si="171"/>
        <v>889</v>
      </c>
      <c r="BE20" s="5">
        <f t="shared" si="172"/>
        <v>25.279620853080569</v>
      </c>
      <c r="BF20" s="6">
        <f t="shared" si="173"/>
        <v>793</v>
      </c>
      <c r="BG20" s="5">
        <f t="shared" si="174"/>
        <v>22.549763033175356</v>
      </c>
      <c r="BH20" s="21">
        <f t="shared" si="175"/>
        <v>0.89201349831271093</v>
      </c>
      <c r="BI20" s="417">
        <f t="shared" si="176"/>
        <v>96</v>
      </c>
      <c r="BJ20" s="418">
        <f t="shared" si="177"/>
        <v>2.7298578199052135</v>
      </c>
      <c r="BK20" s="195">
        <f t="shared" si="178"/>
        <v>20</v>
      </c>
      <c r="BL20" s="5">
        <f t="shared" si="179"/>
        <v>0.56872037914691942</v>
      </c>
      <c r="BM20" s="21">
        <f t="shared" si="180"/>
        <v>2.2497187851518559E-2</v>
      </c>
      <c r="BN20" s="195">
        <f t="shared" si="181"/>
        <v>29</v>
      </c>
      <c r="BO20" s="185">
        <f t="shared" si="182"/>
        <v>0.82464454976303325</v>
      </c>
      <c r="BP20" s="5">
        <f t="shared" si="183"/>
        <v>9.6666666666666661</v>
      </c>
      <c r="BQ20" s="21">
        <f t="shared" si="184"/>
        <v>0.10344827586206896</v>
      </c>
      <c r="BR20" s="5">
        <f t="shared" si="185"/>
        <v>-0.31999999999999984</v>
      </c>
      <c r="BS20" s="5">
        <f t="shared" si="186"/>
        <v>9.2413793103448286E-2</v>
      </c>
      <c r="BT20" s="24">
        <f t="shared" si="187"/>
        <v>109.13793103448276</v>
      </c>
      <c r="BU20" s="5">
        <f t="shared" si="188"/>
        <v>40.063291139240505</v>
      </c>
      <c r="BV20" s="5">
        <f t="shared" si="189"/>
        <v>-0.33999999999999986</v>
      </c>
      <c r="BW20" s="5">
        <f t="shared" si="190"/>
        <v>-1.1299999999999999</v>
      </c>
      <c r="BX20" s="6">
        <f t="shared" si="191"/>
        <v>101</v>
      </c>
      <c r="BY20" s="5">
        <f t="shared" si="192"/>
        <v>2.8720379146919433</v>
      </c>
      <c r="BZ20" s="6">
        <f t="shared" si="193"/>
        <v>57</v>
      </c>
      <c r="CA20" s="5">
        <f t="shared" si="194"/>
        <v>1.6208530805687205</v>
      </c>
      <c r="CB20" s="6">
        <f t="shared" si="195"/>
        <v>46</v>
      </c>
      <c r="CC20" s="5">
        <f t="shared" si="196"/>
        <v>1.3080568720379149</v>
      </c>
      <c r="CD20" s="5">
        <f t="shared" si="197"/>
        <v>1.2796208530805688</v>
      </c>
      <c r="CE20" s="21">
        <f t="shared" si="198"/>
        <v>0.44554455445544555</v>
      </c>
      <c r="CF20" s="5">
        <f t="shared" si="199"/>
        <v>8.4166666666666661</v>
      </c>
      <c r="CG20" s="5">
        <f t="shared" si="200"/>
        <v>3.5384615384615383</v>
      </c>
      <c r="CH20" s="21">
        <f t="shared" si="201"/>
        <v>0.11881188118811881</v>
      </c>
      <c r="CI20" s="298">
        <f t="shared" si="202"/>
        <v>7</v>
      </c>
      <c r="CJ20" s="298">
        <f t="shared" si="203"/>
        <v>4</v>
      </c>
      <c r="CK20" s="298">
        <f t="shared" si="204"/>
        <v>2</v>
      </c>
      <c r="CL20" s="21">
        <f t="shared" si="205"/>
        <v>0.12638230647709323</v>
      </c>
      <c r="CM20" s="6">
        <f t="shared" si="206"/>
        <v>17.600000000000001</v>
      </c>
      <c r="CN20" s="5">
        <f t="shared" si="207"/>
        <v>0.50047393364928916</v>
      </c>
      <c r="CO20" s="167">
        <f t="shared" si="208"/>
        <v>171</v>
      </c>
      <c r="CP20" s="5">
        <f t="shared" si="209"/>
        <v>4.8625592417061618</v>
      </c>
      <c r="CQ20" s="6">
        <f t="shared" si="210"/>
        <v>106</v>
      </c>
      <c r="CR20" s="5">
        <f t="shared" si="211"/>
        <v>3.014218009478673</v>
      </c>
      <c r="CS20" s="21">
        <f t="shared" si="212"/>
        <v>0.61988304093567248</v>
      </c>
      <c r="CT20" s="6">
        <f t="shared" si="213"/>
        <v>97.68</v>
      </c>
      <c r="CU20" s="5">
        <f t="shared" si="214"/>
        <v>2.7776303317535547</v>
      </c>
      <c r="CV20" s="6">
        <f t="shared" si="215"/>
        <v>97.68</v>
      </c>
      <c r="CW20" s="5">
        <f t="shared" si="216"/>
        <v>2.7776303317535547</v>
      </c>
      <c r="CX20" s="385">
        <f t="shared" si="217"/>
        <v>7.1076398104265408</v>
      </c>
      <c r="CY20" s="5">
        <f t="shared" si="218"/>
        <v>31.336492890995263</v>
      </c>
      <c r="CZ20" s="5">
        <f t="shared" si="219"/>
        <v>24.113744075829384</v>
      </c>
      <c r="DA20" s="6">
        <f t="shared" si="220"/>
        <v>49</v>
      </c>
      <c r="DB20" s="5">
        <f t="shared" si="221"/>
        <v>1.3933649289099528</v>
      </c>
      <c r="DC20" s="6">
        <f t="shared" si="222"/>
        <v>195</v>
      </c>
      <c r="DD20" s="5">
        <f t="shared" si="223"/>
        <v>5.5450236966824651</v>
      </c>
      <c r="DE20" s="6">
        <f t="shared" si="224"/>
        <v>138</v>
      </c>
      <c r="DF20" s="5">
        <f t="shared" si="225"/>
        <v>3.9241706161137442</v>
      </c>
      <c r="DG20" s="6">
        <f t="shared" si="226"/>
        <v>161</v>
      </c>
      <c r="DH20" s="5">
        <f t="shared" si="227"/>
        <v>4.5781990521327014</v>
      </c>
      <c r="DI20" s="5">
        <f t="shared" si="228"/>
        <v>17.600000000000001</v>
      </c>
      <c r="DJ20" s="5">
        <f t="shared" si="229"/>
        <v>356.9</v>
      </c>
      <c r="DK20" s="5">
        <f t="shared" si="230"/>
        <v>10.148815165876778</v>
      </c>
      <c r="DL20" s="286">
        <f t="shared" si="231"/>
        <v>214.51666666666665</v>
      </c>
      <c r="DM20" s="287">
        <f t="shared" si="232"/>
        <v>6.1</v>
      </c>
      <c r="DN20" s="60">
        <f t="shared" si="233"/>
        <v>6.86</v>
      </c>
      <c r="DO20" t="s">
        <v>19</v>
      </c>
      <c r="DP20" t="s">
        <v>708</v>
      </c>
      <c r="DQ20" t="s">
        <v>1221</v>
      </c>
      <c r="DR20">
        <v>31</v>
      </c>
      <c r="DS20" t="s">
        <v>1222</v>
      </c>
      <c r="DT20" t="s">
        <v>605</v>
      </c>
      <c r="DU20" t="s">
        <v>573</v>
      </c>
      <c r="DV20" t="s">
        <v>1223</v>
      </c>
      <c r="DW20" t="s">
        <v>1224</v>
      </c>
      <c r="DX20" s="430">
        <v>46387</v>
      </c>
      <c r="DY20">
        <v>3165</v>
      </c>
      <c r="DZ20" t="s">
        <v>1225</v>
      </c>
      <c r="EA20">
        <v>2</v>
      </c>
      <c r="EB20">
        <v>13</v>
      </c>
      <c r="EC20">
        <v>3</v>
      </c>
      <c r="ED20">
        <v>6</v>
      </c>
      <c r="EE20">
        <v>17.600000000000001</v>
      </c>
      <c r="EF20" t="s">
        <v>1226</v>
      </c>
      <c r="EG20" t="s">
        <v>1227</v>
      </c>
      <c r="EH20">
        <v>30</v>
      </c>
      <c r="EI20">
        <v>70</v>
      </c>
      <c r="EJ20">
        <v>889</v>
      </c>
      <c r="EK20">
        <v>793</v>
      </c>
      <c r="EL20">
        <v>29</v>
      </c>
      <c r="EM20">
        <v>20</v>
      </c>
      <c r="EN20">
        <v>27</v>
      </c>
      <c r="EO20">
        <v>103</v>
      </c>
      <c r="EP20">
        <v>46</v>
      </c>
      <c r="EQ20">
        <v>63</v>
      </c>
      <c r="ER20">
        <v>19</v>
      </c>
      <c r="ES20">
        <v>12</v>
      </c>
      <c r="ET20">
        <v>4</v>
      </c>
      <c r="EU20">
        <v>12</v>
      </c>
      <c r="EV20">
        <v>4</v>
      </c>
      <c r="EW20">
        <v>4</v>
      </c>
      <c r="EX20">
        <v>0.9</v>
      </c>
      <c r="EY20">
        <v>0</v>
      </c>
      <c r="EZ20">
        <v>2</v>
      </c>
      <c r="FA20">
        <v>1</v>
      </c>
      <c r="FB20">
        <v>6.1</v>
      </c>
      <c r="FC20" t="s">
        <v>1228</v>
      </c>
      <c r="FD20">
        <v>6.86</v>
      </c>
    </row>
    <row r="21" spans="1:160" ht="24.95" customHeight="1" thickBot="1" x14ac:dyDescent="0.3">
      <c r="A21" s="29" t="str">
        <f t="shared" si="0"/>
        <v>20º</v>
      </c>
      <c r="B21" s="67" t="str">
        <f t="shared" si="118"/>
        <v>Octavio Bianchi</v>
      </c>
      <c r="C21" s="83" t="str">
        <f t="shared" si="119"/>
        <v>ARG</v>
      </c>
      <c r="D21" s="9" t="str">
        <f t="shared" si="120"/>
        <v>Gimnasia (Jujuy)</v>
      </c>
      <c r="E21" s="91" t="str">
        <f t="shared" si="121"/>
        <v>Pé Direito</v>
      </c>
      <c r="F21" s="155">
        <f t="shared" si="122"/>
        <v>1.88</v>
      </c>
      <c r="G21" s="35">
        <f t="shared" si="123"/>
        <v>47118</v>
      </c>
      <c r="H21" s="7">
        <f t="shared" si="124"/>
        <v>31</v>
      </c>
      <c r="I21" s="299" t="str">
        <f t="shared" si="125"/>
        <v>3,8m € - 6m € p/m</v>
      </c>
      <c r="J21" s="3" t="str">
        <f t="shared" si="126"/>
        <v>Não está à venda</v>
      </c>
      <c r="K21" s="89">
        <f t="shared" si="10"/>
        <v>31.398046398046404</v>
      </c>
      <c r="L21" s="133">
        <f t="shared" si="127"/>
        <v>28.455555555555556</v>
      </c>
      <c r="M21" s="134">
        <f t="shared" si="128"/>
        <v>32</v>
      </c>
      <c r="N21" s="134">
        <f t="shared" si="129"/>
        <v>80.03125</v>
      </c>
      <c r="O21" s="173">
        <f t="shared" si="130"/>
        <v>1</v>
      </c>
      <c r="P21" s="402">
        <f t="shared" si="131"/>
        <v>13</v>
      </c>
      <c r="Q21" s="402">
        <f t="shared" si="132"/>
        <v>1</v>
      </c>
      <c r="R21" s="402">
        <f t="shared" si="133"/>
        <v>14</v>
      </c>
      <c r="S21" s="6">
        <f t="shared" si="134"/>
        <v>4</v>
      </c>
      <c r="T21" s="24">
        <f t="shared" si="135"/>
        <v>640.25</v>
      </c>
      <c r="U21" s="21">
        <f t="shared" si="136"/>
        <v>0.14057008980866847</v>
      </c>
      <c r="V21" s="298">
        <f t="shared" si="137"/>
        <v>0</v>
      </c>
      <c r="W21" s="300">
        <f t="shared" si="138"/>
        <v>0</v>
      </c>
      <c r="X21" s="298">
        <f t="shared" si="139"/>
        <v>0</v>
      </c>
      <c r="Y21" s="300">
        <f t="shared" si="140"/>
        <v>0</v>
      </c>
      <c r="Z21" s="290">
        <f t="shared" si="141"/>
        <v>0</v>
      </c>
      <c r="AA21" s="298">
        <f t="shared" si="142"/>
        <v>0</v>
      </c>
      <c r="AB21" s="286">
        <f t="shared" si="143"/>
        <v>3</v>
      </c>
      <c r="AC21" s="286">
        <f t="shared" si="144"/>
        <v>3</v>
      </c>
      <c r="AD21" s="286">
        <f t="shared" si="145"/>
        <v>0</v>
      </c>
      <c r="AE21" s="21">
        <f t="shared" si="146"/>
        <v>1</v>
      </c>
      <c r="AF21" s="421">
        <f t="shared" si="147"/>
        <v>13</v>
      </c>
      <c r="AG21" s="421">
        <f t="shared" si="148"/>
        <v>1</v>
      </c>
      <c r="AH21" s="421">
        <f t="shared" si="149"/>
        <v>14</v>
      </c>
      <c r="AI21" s="421">
        <f t="shared" si="150"/>
        <v>10</v>
      </c>
      <c r="AJ21" s="420">
        <f t="shared" si="151"/>
        <v>1</v>
      </c>
      <c r="AK21" s="422">
        <f t="shared" si="152"/>
        <v>0.45685279187817257</v>
      </c>
      <c r="AL21" s="422">
        <f t="shared" si="153"/>
        <v>3.5142522452167119E-2</v>
      </c>
      <c r="AM21" s="422">
        <f t="shared" si="154"/>
        <v>0.49199531433033972</v>
      </c>
      <c r="AN21" s="5">
        <f t="shared" si="155"/>
        <v>6.6</v>
      </c>
      <c r="AO21" s="5">
        <f t="shared" si="156"/>
        <v>4.2299999999999995</v>
      </c>
      <c r="AP21" s="5">
        <f t="shared" si="157"/>
        <v>0.14865286997266691</v>
      </c>
      <c r="AQ21" s="5">
        <f t="shared" si="158"/>
        <v>1.27</v>
      </c>
      <c r="AR21" s="5">
        <f t="shared" si="159"/>
        <v>4.4631003514252247E-2</v>
      </c>
      <c r="AS21" s="5">
        <f t="shared" si="160"/>
        <v>5.5</v>
      </c>
      <c r="AT21" s="5">
        <f t="shared" si="161"/>
        <v>0.19328387348691917</v>
      </c>
      <c r="AU21" s="21">
        <f t="shared" si="162"/>
        <v>0.55947136563876654</v>
      </c>
      <c r="AV21" s="21">
        <f t="shared" si="163"/>
        <v>0.66326530612244894</v>
      </c>
      <c r="AW21" s="6">
        <f t="shared" si="164"/>
        <v>8</v>
      </c>
      <c r="AX21" s="6">
        <f t="shared" si="165"/>
        <v>1</v>
      </c>
      <c r="AY21" s="21">
        <f t="shared" si="166"/>
        <v>0.125</v>
      </c>
      <c r="AZ21" s="304">
        <f t="shared" si="167"/>
        <v>16</v>
      </c>
      <c r="BA21" s="305">
        <f t="shared" si="168"/>
        <v>0.5622803592346739</v>
      </c>
      <c r="BB21" s="413">
        <f t="shared" si="169"/>
        <v>9.2255000000000003</v>
      </c>
      <c r="BC21" s="413">
        <f t="shared" si="170"/>
        <v>0.32420734088246778</v>
      </c>
      <c r="BD21" s="6">
        <f t="shared" si="171"/>
        <v>880</v>
      </c>
      <c r="BE21" s="5">
        <f t="shared" si="172"/>
        <v>30.925419757907068</v>
      </c>
      <c r="BF21" s="6">
        <f t="shared" si="173"/>
        <v>773</v>
      </c>
      <c r="BG21" s="5">
        <f t="shared" si="174"/>
        <v>27.165169855525185</v>
      </c>
      <c r="BH21" s="21">
        <f t="shared" si="175"/>
        <v>0.87840909090909092</v>
      </c>
      <c r="BI21" s="417">
        <f t="shared" si="176"/>
        <v>107</v>
      </c>
      <c r="BJ21" s="418">
        <f t="shared" si="177"/>
        <v>3.7602499023818821</v>
      </c>
      <c r="BK21" s="195">
        <f t="shared" si="178"/>
        <v>15</v>
      </c>
      <c r="BL21" s="5">
        <f t="shared" si="179"/>
        <v>0.52713783678250681</v>
      </c>
      <c r="BM21" s="21">
        <f t="shared" si="180"/>
        <v>1.7045454545454544E-2</v>
      </c>
      <c r="BN21" s="195">
        <f t="shared" si="181"/>
        <v>22</v>
      </c>
      <c r="BO21" s="185">
        <f t="shared" si="182"/>
        <v>0.77313549394767667</v>
      </c>
      <c r="BP21" s="5">
        <f t="shared" si="183"/>
        <v>22</v>
      </c>
      <c r="BQ21" s="21">
        <f t="shared" si="184"/>
        <v>4.5454545454545456E-2</v>
      </c>
      <c r="BR21" s="5">
        <f t="shared" si="185"/>
        <v>0.27</v>
      </c>
      <c r="BS21" s="5">
        <f t="shared" si="186"/>
        <v>5.7727272727272731E-2</v>
      </c>
      <c r="BT21" s="24">
        <f t="shared" si="187"/>
        <v>116.40909090909091</v>
      </c>
      <c r="BU21" s="5">
        <f t="shared" si="188"/>
        <v>46.563636363636363</v>
      </c>
      <c r="BV21" s="5">
        <f t="shared" si="189"/>
        <v>6.4</v>
      </c>
      <c r="BW21" s="5">
        <f t="shared" si="190"/>
        <v>4.03</v>
      </c>
      <c r="BX21" s="6">
        <f t="shared" si="191"/>
        <v>62</v>
      </c>
      <c r="BY21" s="5">
        <f t="shared" si="192"/>
        <v>2.1788363920343614</v>
      </c>
      <c r="BZ21" s="6">
        <f t="shared" si="193"/>
        <v>33</v>
      </c>
      <c r="CA21" s="5">
        <f t="shared" si="194"/>
        <v>1.1597032409215151</v>
      </c>
      <c r="CB21" s="6">
        <f t="shared" si="195"/>
        <v>32</v>
      </c>
      <c r="CC21" s="5">
        <f t="shared" si="196"/>
        <v>1.1245607184693478</v>
      </c>
      <c r="CD21" s="5">
        <f t="shared" si="197"/>
        <v>1.0191331511128465</v>
      </c>
      <c r="CE21" s="21">
        <f t="shared" si="198"/>
        <v>0.46774193548387094</v>
      </c>
      <c r="CF21" s="5">
        <f t="shared" si="199"/>
        <v>6.2</v>
      </c>
      <c r="CG21" s="5">
        <f t="shared" si="200"/>
        <v>2.4615384615384617</v>
      </c>
      <c r="CH21" s="21">
        <f t="shared" si="201"/>
        <v>0.16129032258064516</v>
      </c>
      <c r="CI21" s="298">
        <f t="shared" si="202"/>
        <v>9</v>
      </c>
      <c r="CJ21" s="298">
        <f t="shared" si="203"/>
        <v>1</v>
      </c>
      <c r="CK21" s="298">
        <f t="shared" si="204"/>
        <v>3</v>
      </c>
      <c r="CL21" s="21">
        <f t="shared" si="205"/>
        <v>4.3928153065208898E-2</v>
      </c>
      <c r="CM21" s="6">
        <f t="shared" si="206"/>
        <v>15.7</v>
      </c>
      <c r="CN21" s="5">
        <f t="shared" si="207"/>
        <v>0.55173760249902382</v>
      </c>
      <c r="CO21" s="167">
        <f t="shared" si="208"/>
        <v>111</v>
      </c>
      <c r="CP21" s="5">
        <f t="shared" si="209"/>
        <v>3.9008199921905504</v>
      </c>
      <c r="CQ21" s="6">
        <f t="shared" si="210"/>
        <v>71</v>
      </c>
      <c r="CR21" s="5">
        <f t="shared" si="211"/>
        <v>2.4951190941038655</v>
      </c>
      <c r="CS21" s="21">
        <f t="shared" si="212"/>
        <v>0.63963963963963966</v>
      </c>
      <c r="CT21" s="6">
        <f t="shared" si="213"/>
        <v>65.27000000000001</v>
      </c>
      <c r="CU21" s="5">
        <f t="shared" si="214"/>
        <v>2.2937524404529483</v>
      </c>
      <c r="CV21" s="6">
        <f t="shared" si="215"/>
        <v>67.77</v>
      </c>
      <c r="CW21" s="5">
        <f t="shared" si="216"/>
        <v>2.3816087465833657</v>
      </c>
      <c r="CX21" s="385">
        <f t="shared" si="217"/>
        <v>5.9424248340491985</v>
      </c>
      <c r="CY21" s="5">
        <f t="shared" si="218"/>
        <v>35.845372901210467</v>
      </c>
      <c r="CZ21" s="5">
        <f t="shared" si="219"/>
        <v>28.606013276064036</v>
      </c>
      <c r="DA21" s="6">
        <f t="shared" si="220"/>
        <v>37</v>
      </c>
      <c r="DB21" s="5">
        <f t="shared" si="221"/>
        <v>1.3002733307301835</v>
      </c>
      <c r="DC21" s="6">
        <f t="shared" si="222"/>
        <v>127</v>
      </c>
      <c r="DD21" s="5">
        <f t="shared" si="223"/>
        <v>4.4631003514252248</v>
      </c>
      <c r="DE21" s="6">
        <f t="shared" si="224"/>
        <v>91</v>
      </c>
      <c r="DF21" s="5">
        <f t="shared" si="225"/>
        <v>3.1979695431472082</v>
      </c>
      <c r="DG21" s="6">
        <f t="shared" si="226"/>
        <v>147</v>
      </c>
      <c r="DH21" s="5">
        <f t="shared" si="227"/>
        <v>5.1659508004685666</v>
      </c>
      <c r="DI21" s="5">
        <f t="shared" si="228"/>
        <v>15.7</v>
      </c>
      <c r="DJ21" s="5">
        <f t="shared" si="229"/>
        <v>302.89999999999998</v>
      </c>
      <c r="DK21" s="5">
        <f t="shared" si="230"/>
        <v>10.64467005076142</v>
      </c>
      <c r="DL21" s="286">
        <f t="shared" si="231"/>
        <v>244.71777777777777</v>
      </c>
      <c r="DM21" s="287">
        <f t="shared" si="232"/>
        <v>8.6</v>
      </c>
      <c r="DN21" s="60">
        <f t="shared" si="233"/>
        <v>6.88</v>
      </c>
      <c r="DO21"/>
      <c r="DP21" t="s">
        <v>708</v>
      </c>
      <c r="DQ21" t="s">
        <v>1229</v>
      </c>
      <c r="DR21">
        <v>31</v>
      </c>
      <c r="DS21" t="s">
        <v>1230</v>
      </c>
      <c r="DT21" t="s">
        <v>623</v>
      </c>
      <c r="DU21" t="s">
        <v>573</v>
      </c>
      <c r="DV21" t="s">
        <v>394</v>
      </c>
      <c r="DW21" t="s">
        <v>1231</v>
      </c>
      <c r="DX21" s="430">
        <v>47118</v>
      </c>
      <c r="DY21">
        <v>2561</v>
      </c>
      <c r="DZ21">
        <v>32</v>
      </c>
      <c r="EA21">
        <v>4</v>
      </c>
      <c r="EB21">
        <v>13</v>
      </c>
      <c r="EC21">
        <v>1</v>
      </c>
      <c r="ED21">
        <v>4</v>
      </c>
      <c r="EE21">
        <v>15.7</v>
      </c>
      <c r="EF21" t="s">
        <v>1232</v>
      </c>
      <c r="EG21" t="s">
        <v>1233</v>
      </c>
      <c r="EH21">
        <v>24</v>
      </c>
      <c r="EI21">
        <v>41</v>
      </c>
      <c r="EJ21">
        <v>880</v>
      </c>
      <c r="EK21">
        <v>773</v>
      </c>
      <c r="EL21">
        <v>22</v>
      </c>
      <c r="EM21">
        <v>15</v>
      </c>
      <c r="EN21">
        <v>16</v>
      </c>
      <c r="EO21">
        <v>65</v>
      </c>
      <c r="EP21">
        <v>32</v>
      </c>
      <c r="EQ21">
        <v>51</v>
      </c>
      <c r="ER21">
        <v>13</v>
      </c>
      <c r="ES21">
        <v>8</v>
      </c>
      <c r="ET21">
        <v>1</v>
      </c>
      <c r="EU21">
        <v>8</v>
      </c>
      <c r="EV21">
        <v>1</v>
      </c>
      <c r="EW21">
        <v>1</v>
      </c>
      <c r="EX21">
        <v>0.8</v>
      </c>
      <c r="EY21">
        <v>0</v>
      </c>
      <c r="EZ21">
        <v>3</v>
      </c>
      <c r="FA21">
        <v>3</v>
      </c>
      <c r="FB21">
        <v>8.6</v>
      </c>
      <c r="FC21" t="s">
        <v>1234</v>
      </c>
      <c r="FD21">
        <v>6.88</v>
      </c>
    </row>
    <row r="22" spans="1:160" ht="24.95" customHeight="1" thickBot="1" x14ac:dyDescent="0.3">
      <c r="A22" s="29" t="str">
        <f t="shared" si="0"/>
        <v>21º</v>
      </c>
      <c r="B22" s="67" t="str">
        <f t="shared" si="118"/>
        <v>Antony Alonso</v>
      </c>
      <c r="C22" s="83" t="str">
        <f t="shared" si="119"/>
        <v>URU</v>
      </c>
      <c r="D22" s="9" t="str">
        <f t="shared" si="120"/>
        <v>Dep. Riestra</v>
      </c>
      <c r="E22" s="91" t="str">
        <f t="shared" si="121"/>
        <v>Pé Direito</v>
      </c>
      <c r="F22" s="155">
        <f t="shared" si="122"/>
        <v>1.9</v>
      </c>
      <c r="G22" s="35">
        <f t="shared" si="123"/>
        <v>47483</v>
      </c>
      <c r="H22" s="7">
        <f t="shared" si="124"/>
        <v>28</v>
      </c>
      <c r="I22" s="299" t="str">
        <f t="shared" si="125"/>
        <v>12,75m € - 18,5m € p/m</v>
      </c>
      <c r="J22" s="3" t="str">
        <f t="shared" si="126"/>
        <v>275m € - 2,8M €</v>
      </c>
      <c r="K22" s="89">
        <f t="shared" si="10"/>
        <v>31.398046398046404</v>
      </c>
      <c r="L22" s="133">
        <f t="shared" si="127"/>
        <v>24.977777777777778</v>
      </c>
      <c r="M22" s="134">
        <f t="shared" si="128"/>
        <v>32</v>
      </c>
      <c r="N22" s="134">
        <f t="shared" si="129"/>
        <v>70.25</v>
      </c>
      <c r="O22" s="173">
        <f t="shared" si="130"/>
        <v>1</v>
      </c>
      <c r="P22" s="402">
        <f t="shared" si="131"/>
        <v>6</v>
      </c>
      <c r="Q22" s="402">
        <f t="shared" si="132"/>
        <v>2</v>
      </c>
      <c r="R22" s="402">
        <f t="shared" si="133"/>
        <v>8</v>
      </c>
      <c r="S22" s="6">
        <f t="shared" si="134"/>
        <v>1</v>
      </c>
      <c r="T22" s="24">
        <f t="shared" si="135"/>
        <v>2248</v>
      </c>
      <c r="U22" s="21">
        <f t="shared" si="136"/>
        <v>4.0035587188612103E-2</v>
      </c>
      <c r="V22" s="298">
        <f t="shared" si="137"/>
        <v>0</v>
      </c>
      <c r="W22" s="300">
        <f t="shared" si="138"/>
        <v>0</v>
      </c>
      <c r="X22" s="298">
        <f t="shared" si="139"/>
        <v>0</v>
      </c>
      <c r="Y22" s="300">
        <f t="shared" si="140"/>
        <v>0</v>
      </c>
      <c r="Z22" s="290">
        <f t="shared" si="141"/>
        <v>0</v>
      </c>
      <c r="AA22" s="298">
        <f t="shared" si="142"/>
        <v>0</v>
      </c>
      <c r="AB22" s="286">
        <f t="shared" si="143"/>
        <v>1</v>
      </c>
      <c r="AC22" s="286">
        <f t="shared" si="144"/>
        <v>1</v>
      </c>
      <c r="AD22" s="286">
        <f t="shared" si="145"/>
        <v>0</v>
      </c>
      <c r="AE22" s="21">
        <f t="shared" si="146"/>
        <v>1</v>
      </c>
      <c r="AF22" s="421">
        <f t="shared" si="147"/>
        <v>6</v>
      </c>
      <c r="AG22" s="421">
        <f t="shared" si="148"/>
        <v>2</v>
      </c>
      <c r="AH22" s="421">
        <f t="shared" si="149"/>
        <v>8</v>
      </c>
      <c r="AI22" s="421">
        <f t="shared" si="150"/>
        <v>5</v>
      </c>
      <c r="AJ22" s="420">
        <f t="shared" si="151"/>
        <v>0</v>
      </c>
      <c r="AK22" s="422">
        <f t="shared" si="152"/>
        <v>0.2402135231316726</v>
      </c>
      <c r="AL22" s="422">
        <f t="shared" si="153"/>
        <v>8.0071174377224205E-2</v>
      </c>
      <c r="AM22" s="422">
        <f t="shared" si="154"/>
        <v>0.32028469750889682</v>
      </c>
      <c r="AN22" s="5">
        <f t="shared" si="155"/>
        <v>5.62</v>
      </c>
      <c r="AO22" s="5">
        <f t="shared" si="156"/>
        <v>4.83</v>
      </c>
      <c r="AP22" s="5">
        <f t="shared" si="157"/>
        <v>0.19337188612099646</v>
      </c>
      <c r="AQ22" s="5">
        <f t="shared" si="158"/>
        <v>2.2799999999999998</v>
      </c>
      <c r="AR22" s="5">
        <f t="shared" si="159"/>
        <v>9.1281138790035576E-2</v>
      </c>
      <c r="AS22" s="5">
        <f t="shared" si="160"/>
        <v>7.1099999999999994</v>
      </c>
      <c r="AT22" s="5">
        <f t="shared" si="161"/>
        <v>0.284653024911032</v>
      </c>
      <c r="AU22" s="21">
        <f t="shared" si="162"/>
        <v>0.53271028037383183</v>
      </c>
      <c r="AV22" s="21">
        <f t="shared" si="163"/>
        <v>0.51635111876075723</v>
      </c>
      <c r="AW22" s="6">
        <f t="shared" si="164"/>
        <v>30</v>
      </c>
      <c r="AX22" s="6">
        <f t="shared" si="165"/>
        <v>5</v>
      </c>
      <c r="AY22" s="21">
        <f t="shared" si="166"/>
        <v>0.16666666666666666</v>
      </c>
      <c r="AZ22" s="304">
        <f t="shared" si="167"/>
        <v>31</v>
      </c>
      <c r="BA22" s="305">
        <f t="shared" si="168"/>
        <v>1.2411032028469751</v>
      </c>
      <c r="BB22" s="413">
        <f t="shared" si="169"/>
        <v>18.431999999999999</v>
      </c>
      <c r="BC22" s="413">
        <f t="shared" si="170"/>
        <v>0.73793594306049826</v>
      </c>
      <c r="BD22" s="6">
        <f t="shared" si="171"/>
        <v>1087</v>
      </c>
      <c r="BE22" s="5">
        <f t="shared" si="172"/>
        <v>43.518683274021349</v>
      </c>
      <c r="BF22" s="6">
        <f t="shared" si="173"/>
        <v>984</v>
      </c>
      <c r="BG22" s="5">
        <f t="shared" si="174"/>
        <v>39.395017793594306</v>
      </c>
      <c r="BH22" s="21">
        <f t="shared" si="175"/>
        <v>0.90524379024839008</v>
      </c>
      <c r="BI22" s="417">
        <f t="shared" si="176"/>
        <v>103</v>
      </c>
      <c r="BJ22" s="418">
        <f t="shared" si="177"/>
        <v>4.1236654804270465</v>
      </c>
      <c r="BK22" s="195">
        <f t="shared" si="178"/>
        <v>56</v>
      </c>
      <c r="BL22" s="5">
        <f t="shared" si="179"/>
        <v>2.2419928825622777</v>
      </c>
      <c r="BM22" s="21">
        <f t="shared" si="180"/>
        <v>5.1517939282428704E-2</v>
      </c>
      <c r="BN22" s="195">
        <f t="shared" si="181"/>
        <v>43</v>
      </c>
      <c r="BO22" s="185">
        <f t="shared" si="182"/>
        <v>1.7215302491103204</v>
      </c>
      <c r="BP22" s="5">
        <f t="shared" si="183"/>
        <v>21.5</v>
      </c>
      <c r="BQ22" s="21">
        <f t="shared" si="184"/>
        <v>4.6511627906976744E-2</v>
      </c>
      <c r="BR22" s="5">
        <f t="shared" si="185"/>
        <v>0.2799999999999998</v>
      </c>
      <c r="BS22" s="5">
        <f t="shared" si="186"/>
        <v>5.3023255813953486E-2</v>
      </c>
      <c r="BT22" s="24">
        <f t="shared" si="187"/>
        <v>52.279069767441861</v>
      </c>
      <c r="BU22" s="5">
        <f t="shared" si="188"/>
        <v>33.552238805970148</v>
      </c>
      <c r="BV22" s="5">
        <f t="shared" si="189"/>
        <v>0.37999999999999989</v>
      </c>
      <c r="BW22" s="5">
        <f t="shared" si="190"/>
        <v>-0.41000000000000014</v>
      </c>
      <c r="BX22" s="6">
        <f t="shared" si="191"/>
        <v>46</v>
      </c>
      <c r="BY22" s="5">
        <f t="shared" si="192"/>
        <v>1.8416370106761566</v>
      </c>
      <c r="BZ22" s="6">
        <f t="shared" si="193"/>
        <v>29</v>
      </c>
      <c r="CA22" s="5">
        <f t="shared" si="194"/>
        <v>1.1610320284697508</v>
      </c>
      <c r="CB22" s="6">
        <f t="shared" si="195"/>
        <v>18</v>
      </c>
      <c r="CC22" s="5">
        <f t="shared" si="196"/>
        <v>0.72064056939501775</v>
      </c>
      <c r="CD22" s="5">
        <f t="shared" si="197"/>
        <v>0.68060498220640564</v>
      </c>
      <c r="CE22" s="21">
        <f t="shared" si="198"/>
        <v>0.36956521739130432</v>
      </c>
      <c r="CF22" s="5">
        <f t="shared" si="199"/>
        <v>9.1999999999999993</v>
      </c>
      <c r="CG22" s="5">
        <f t="shared" si="200"/>
        <v>3</v>
      </c>
      <c r="CH22" s="21">
        <f t="shared" si="201"/>
        <v>0.10869565217391304</v>
      </c>
      <c r="CI22" s="298">
        <f t="shared" si="202"/>
        <v>5</v>
      </c>
      <c r="CJ22" s="298">
        <f t="shared" si="203"/>
        <v>0</v>
      </c>
      <c r="CK22" s="298">
        <f t="shared" si="204"/>
        <v>1</v>
      </c>
      <c r="CL22" s="21">
        <f t="shared" si="205"/>
        <v>0</v>
      </c>
      <c r="CM22" s="6">
        <f t="shared" si="206"/>
        <v>20.8</v>
      </c>
      <c r="CN22" s="5">
        <f t="shared" si="207"/>
        <v>0.83274021352313166</v>
      </c>
      <c r="CO22" s="167">
        <f t="shared" si="208"/>
        <v>151</v>
      </c>
      <c r="CP22" s="5">
        <f t="shared" si="209"/>
        <v>6.0453736654804269</v>
      </c>
      <c r="CQ22" s="6">
        <f t="shared" si="210"/>
        <v>97</v>
      </c>
      <c r="CR22" s="5">
        <f t="shared" si="211"/>
        <v>3.8834519572953736</v>
      </c>
      <c r="CS22" s="21">
        <f t="shared" si="212"/>
        <v>0.64238410596026485</v>
      </c>
      <c r="CT22" s="6">
        <f t="shared" si="213"/>
        <v>78.28</v>
      </c>
      <c r="CU22" s="5">
        <f t="shared" si="214"/>
        <v>3.1339857651245553</v>
      </c>
      <c r="CV22" s="6">
        <f t="shared" si="215"/>
        <v>80.28</v>
      </c>
      <c r="CW22" s="5">
        <f t="shared" si="216"/>
        <v>3.2140569395017793</v>
      </c>
      <c r="CX22" s="385">
        <f t="shared" si="217"/>
        <v>12.94414590747331</v>
      </c>
      <c r="CY22" s="5">
        <f t="shared" si="218"/>
        <v>52.606761565836301</v>
      </c>
      <c r="CZ22" s="5">
        <f t="shared" si="219"/>
        <v>43.638790035587185</v>
      </c>
      <c r="DA22" s="6">
        <f t="shared" si="220"/>
        <v>99</v>
      </c>
      <c r="DB22" s="5">
        <f t="shared" si="221"/>
        <v>3.9635231316725981</v>
      </c>
      <c r="DC22" s="6">
        <f t="shared" si="222"/>
        <v>213</v>
      </c>
      <c r="DD22" s="5">
        <f t="shared" si="223"/>
        <v>8.527580071174377</v>
      </c>
      <c r="DE22" s="6">
        <f t="shared" si="224"/>
        <v>97</v>
      </c>
      <c r="DF22" s="5">
        <f t="shared" si="225"/>
        <v>3.8834519572953736</v>
      </c>
      <c r="DG22" s="6">
        <f t="shared" si="226"/>
        <v>157</v>
      </c>
      <c r="DH22" s="5">
        <f t="shared" si="227"/>
        <v>6.2855871886120998</v>
      </c>
      <c r="DI22" s="5">
        <f t="shared" si="228"/>
        <v>20.8</v>
      </c>
      <c r="DJ22" s="5">
        <f t="shared" si="229"/>
        <v>282.7</v>
      </c>
      <c r="DK22" s="5">
        <f t="shared" si="230"/>
        <v>11.318060498220641</v>
      </c>
      <c r="DL22" s="286">
        <f t="shared" si="231"/>
        <v>257.27111111111111</v>
      </c>
      <c r="DM22" s="287">
        <f t="shared" si="232"/>
        <v>10.3</v>
      </c>
      <c r="DN22" s="60">
        <f t="shared" si="233"/>
        <v>6.78</v>
      </c>
      <c r="DO22"/>
      <c r="DP22" t="s">
        <v>1119</v>
      </c>
      <c r="DQ22" t="s">
        <v>1235</v>
      </c>
      <c r="DR22">
        <v>28</v>
      </c>
      <c r="DS22" t="s">
        <v>1236</v>
      </c>
      <c r="DT22" t="s">
        <v>798</v>
      </c>
      <c r="DU22" t="s">
        <v>573</v>
      </c>
      <c r="DV22" t="s">
        <v>1237</v>
      </c>
      <c r="DW22" t="s">
        <v>1238</v>
      </c>
      <c r="DX22" s="430">
        <v>47483</v>
      </c>
      <c r="DY22">
        <v>2248</v>
      </c>
      <c r="DZ22">
        <v>32</v>
      </c>
      <c r="EA22">
        <v>1</v>
      </c>
      <c r="EB22">
        <v>6</v>
      </c>
      <c r="EC22">
        <v>2</v>
      </c>
      <c r="ED22">
        <v>7</v>
      </c>
      <c r="EE22">
        <v>20.8</v>
      </c>
      <c r="EF22" t="s">
        <v>1239</v>
      </c>
      <c r="EG22" t="s">
        <v>1240</v>
      </c>
      <c r="EH22">
        <v>23</v>
      </c>
      <c r="EI22">
        <v>22</v>
      </c>
      <c r="EJ22">
        <v>1087</v>
      </c>
      <c r="EK22">
        <v>984</v>
      </c>
      <c r="EL22">
        <v>43</v>
      </c>
      <c r="EM22">
        <v>56</v>
      </c>
      <c r="EN22">
        <v>31</v>
      </c>
      <c r="EO22">
        <v>47</v>
      </c>
      <c r="EP22">
        <v>18</v>
      </c>
      <c r="EQ22">
        <v>132</v>
      </c>
      <c r="ER22">
        <v>32</v>
      </c>
      <c r="ES22">
        <v>30</v>
      </c>
      <c r="ET22">
        <v>5</v>
      </c>
      <c r="EU22">
        <v>30</v>
      </c>
      <c r="EV22">
        <v>5</v>
      </c>
      <c r="EW22">
        <v>0</v>
      </c>
      <c r="EX22">
        <v>0.6</v>
      </c>
      <c r="EY22">
        <v>0</v>
      </c>
      <c r="EZ22">
        <v>1</v>
      </c>
      <c r="FA22">
        <v>1</v>
      </c>
      <c r="FB22">
        <v>10.3</v>
      </c>
      <c r="FC22" t="s">
        <v>1241</v>
      </c>
      <c r="FD22">
        <v>6.78</v>
      </c>
    </row>
    <row r="23" spans="1:160" ht="24.95" customHeight="1" thickBot="1" x14ac:dyDescent="0.3">
      <c r="A23" s="29" t="str">
        <f t="shared" si="0"/>
        <v>22º</v>
      </c>
      <c r="B23" s="67" t="str">
        <f t="shared" si="118"/>
        <v>Ramiro Ruiz Rodríguez</v>
      </c>
      <c r="C23" s="83" t="str">
        <f t="shared" si="119"/>
        <v>ARG</v>
      </c>
      <c r="D23" s="9" t="str">
        <f t="shared" si="120"/>
        <v>Atl. Tucumán</v>
      </c>
      <c r="E23" s="91" t="str">
        <f t="shared" si="121"/>
        <v>Pé Direito</v>
      </c>
      <c r="F23" s="155">
        <f t="shared" si="122"/>
        <v>1.85</v>
      </c>
      <c r="G23" s="35">
        <f t="shared" si="123"/>
        <v>47848</v>
      </c>
      <c r="H23" s="7">
        <f t="shared" si="124"/>
        <v>26</v>
      </c>
      <c r="I23" s="299" t="str">
        <f t="shared" si="125"/>
        <v>13,25m € - 22m € p/m</v>
      </c>
      <c r="J23" s="3" t="str">
        <f t="shared" si="126"/>
        <v>700m € - 6,8M €</v>
      </c>
      <c r="K23" s="89">
        <f t="shared" si="10"/>
        <v>31.398046398046404</v>
      </c>
      <c r="L23" s="133">
        <f t="shared" si="127"/>
        <v>26.655555555555555</v>
      </c>
      <c r="M23" s="134">
        <f t="shared" si="128"/>
        <v>30</v>
      </c>
      <c r="N23" s="134">
        <f t="shared" si="129"/>
        <v>79.966666666666669</v>
      </c>
      <c r="O23" s="173">
        <f t="shared" si="130"/>
        <v>0.93</v>
      </c>
      <c r="P23" s="402">
        <f t="shared" si="131"/>
        <v>8</v>
      </c>
      <c r="Q23" s="402">
        <f t="shared" si="132"/>
        <v>0</v>
      </c>
      <c r="R23" s="402">
        <f t="shared" si="133"/>
        <v>8</v>
      </c>
      <c r="S23" s="6">
        <f t="shared" si="134"/>
        <v>0</v>
      </c>
      <c r="T23" s="24">
        <f t="shared" si="135"/>
        <v>5000</v>
      </c>
      <c r="U23" s="21">
        <f t="shared" si="136"/>
        <v>0</v>
      </c>
      <c r="V23" s="298">
        <f t="shared" si="137"/>
        <v>0</v>
      </c>
      <c r="W23" s="300">
        <f t="shared" si="138"/>
        <v>0</v>
      </c>
      <c r="X23" s="298">
        <f t="shared" si="139"/>
        <v>0</v>
      </c>
      <c r="Y23" s="300">
        <f t="shared" si="140"/>
        <v>0</v>
      </c>
      <c r="Z23" s="290">
        <f t="shared" si="141"/>
        <v>0</v>
      </c>
      <c r="AA23" s="298">
        <f t="shared" si="142"/>
        <v>0</v>
      </c>
      <c r="AB23" s="286">
        <f t="shared" si="143"/>
        <v>0</v>
      </c>
      <c r="AC23" s="286">
        <f t="shared" si="144"/>
        <v>0</v>
      </c>
      <c r="AD23" s="286">
        <f t="shared" si="145"/>
        <v>0</v>
      </c>
      <c r="AE23" s="21">
        <f t="shared" si="146"/>
        <v>9.9999999999999995E-8</v>
      </c>
      <c r="AF23" s="421">
        <f t="shared" si="147"/>
        <v>8</v>
      </c>
      <c r="AG23" s="421">
        <f t="shared" si="148"/>
        <v>0</v>
      </c>
      <c r="AH23" s="421">
        <f t="shared" si="149"/>
        <v>8</v>
      </c>
      <c r="AI23" s="421">
        <f t="shared" si="150"/>
        <v>8</v>
      </c>
      <c r="AJ23" s="420">
        <f t="shared" si="151"/>
        <v>2</v>
      </c>
      <c r="AK23" s="422">
        <f t="shared" si="152"/>
        <v>0.30012505210504375</v>
      </c>
      <c r="AL23" s="422">
        <f t="shared" si="153"/>
        <v>0</v>
      </c>
      <c r="AM23" s="422">
        <f t="shared" si="154"/>
        <v>0.30012505210504375</v>
      </c>
      <c r="AN23" s="5">
        <f t="shared" si="155"/>
        <v>8.65</v>
      </c>
      <c r="AO23" s="5">
        <f t="shared" si="156"/>
        <v>8.65</v>
      </c>
      <c r="AP23" s="5">
        <f t="shared" si="157"/>
        <v>0.32451021258857859</v>
      </c>
      <c r="AQ23" s="5">
        <f t="shared" si="158"/>
        <v>2.2000000000000002</v>
      </c>
      <c r="AR23" s="5">
        <f t="shared" si="159"/>
        <v>8.2534389328887042E-2</v>
      </c>
      <c r="AS23" s="5">
        <f t="shared" si="160"/>
        <v>10.850000000000001</v>
      </c>
      <c r="AT23" s="5">
        <f t="shared" si="161"/>
        <v>0.40704460191746566</v>
      </c>
      <c r="AU23" s="21">
        <f t="shared" si="162"/>
        <v>1</v>
      </c>
      <c r="AV23" s="21">
        <f t="shared" si="163"/>
        <v>0.48048048048048053</v>
      </c>
      <c r="AW23" s="6">
        <f t="shared" si="164"/>
        <v>12</v>
      </c>
      <c r="AX23" s="6">
        <f t="shared" si="165"/>
        <v>4</v>
      </c>
      <c r="AY23" s="21">
        <f t="shared" si="166"/>
        <v>0.33333333333333331</v>
      </c>
      <c r="AZ23" s="304">
        <f t="shared" si="167"/>
        <v>26</v>
      </c>
      <c r="BA23" s="305">
        <f t="shared" si="168"/>
        <v>0.97540641934139227</v>
      </c>
      <c r="BB23" s="413">
        <f t="shared" si="169"/>
        <v>10.625</v>
      </c>
      <c r="BC23" s="413">
        <f t="shared" si="170"/>
        <v>0.3986035848270113</v>
      </c>
      <c r="BD23" s="6">
        <f t="shared" si="171"/>
        <v>748</v>
      </c>
      <c r="BE23" s="5">
        <f t="shared" si="172"/>
        <v>28.061692371821593</v>
      </c>
      <c r="BF23" s="6">
        <f t="shared" si="173"/>
        <v>662</v>
      </c>
      <c r="BG23" s="5">
        <f t="shared" si="174"/>
        <v>24.835348061692372</v>
      </c>
      <c r="BH23" s="21">
        <f t="shared" si="175"/>
        <v>0.88502673796791442</v>
      </c>
      <c r="BI23" s="417">
        <f t="shared" si="176"/>
        <v>86</v>
      </c>
      <c r="BJ23" s="418">
        <f t="shared" si="177"/>
        <v>3.2263443101292206</v>
      </c>
      <c r="BK23" s="195">
        <f t="shared" si="178"/>
        <v>26</v>
      </c>
      <c r="BL23" s="5">
        <f t="shared" si="179"/>
        <v>0.97540641934139227</v>
      </c>
      <c r="BM23" s="21">
        <f t="shared" si="180"/>
        <v>3.4759358288770054E-2</v>
      </c>
      <c r="BN23" s="195">
        <f t="shared" si="181"/>
        <v>19</v>
      </c>
      <c r="BO23" s="185">
        <f t="shared" si="182"/>
        <v>0.71279699874947899</v>
      </c>
      <c r="BP23" s="5">
        <f t="shared" si="183"/>
        <v>25</v>
      </c>
      <c r="BQ23" s="21">
        <f t="shared" si="184"/>
        <v>0</v>
      </c>
      <c r="BR23" s="5">
        <f t="shared" si="185"/>
        <v>2.2000000000000002</v>
      </c>
      <c r="BS23" s="5">
        <f t="shared" si="186"/>
        <v>0.11578947368421054</v>
      </c>
      <c r="BT23" s="24">
        <f t="shared" si="187"/>
        <v>126.26315789473684</v>
      </c>
      <c r="BU23" s="5">
        <f t="shared" si="188"/>
        <v>42.839285714285715</v>
      </c>
      <c r="BV23" s="5">
        <f t="shared" si="189"/>
        <v>-0.65000000000000036</v>
      </c>
      <c r="BW23" s="5">
        <f t="shared" si="190"/>
        <v>-0.65000000000000036</v>
      </c>
      <c r="BX23" s="6">
        <f t="shared" si="191"/>
        <v>69</v>
      </c>
      <c r="BY23" s="5">
        <f t="shared" si="192"/>
        <v>2.5885785744060024</v>
      </c>
      <c r="BZ23" s="6">
        <f t="shared" si="193"/>
        <v>35</v>
      </c>
      <c r="CA23" s="5">
        <f t="shared" si="194"/>
        <v>1.3130471029595665</v>
      </c>
      <c r="CB23" s="6">
        <f t="shared" si="195"/>
        <v>34</v>
      </c>
      <c r="CC23" s="5">
        <f t="shared" si="196"/>
        <v>1.2755314714464361</v>
      </c>
      <c r="CD23" s="5">
        <f t="shared" si="197"/>
        <v>1.2755314714464361</v>
      </c>
      <c r="CE23" s="21">
        <f t="shared" si="198"/>
        <v>0.49275362318840582</v>
      </c>
      <c r="CF23" s="5">
        <f t="shared" si="199"/>
        <v>8.625</v>
      </c>
      <c r="CG23" s="5">
        <f t="shared" si="200"/>
        <v>4.25</v>
      </c>
      <c r="CH23" s="21">
        <f t="shared" si="201"/>
        <v>0.11594202898550725</v>
      </c>
      <c r="CI23" s="298">
        <f t="shared" si="202"/>
        <v>6</v>
      </c>
      <c r="CJ23" s="298">
        <f t="shared" si="203"/>
        <v>2</v>
      </c>
      <c r="CK23" s="298">
        <f t="shared" si="204"/>
        <v>0</v>
      </c>
      <c r="CL23" s="21">
        <f t="shared" si="205"/>
        <v>0.12505210504376824</v>
      </c>
      <c r="CM23" s="6">
        <f t="shared" si="206"/>
        <v>17.899999999999999</v>
      </c>
      <c r="CN23" s="5">
        <f t="shared" si="207"/>
        <v>0.67152980408503538</v>
      </c>
      <c r="CO23" s="167">
        <f t="shared" si="208"/>
        <v>126</v>
      </c>
      <c r="CP23" s="5">
        <f t="shared" si="209"/>
        <v>4.7269695706544397</v>
      </c>
      <c r="CQ23" s="6">
        <f t="shared" si="210"/>
        <v>83</v>
      </c>
      <c r="CR23" s="5">
        <f t="shared" si="211"/>
        <v>3.1137974155898291</v>
      </c>
      <c r="CS23" s="21">
        <f t="shared" si="212"/>
        <v>0.65873015873015872</v>
      </c>
      <c r="CT23" s="6">
        <f t="shared" si="213"/>
        <v>68.2</v>
      </c>
      <c r="CU23" s="5">
        <f t="shared" si="214"/>
        <v>2.5585660691954981</v>
      </c>
      <c r="CV23" s="6">
        <f t="shared" si="215"/>
        <v>68.2</v>
      </c>
      <c r="CW23" s="5">
        <f t="shared" si="216"/>
        <v>2.5585660691954981</v>
      </c>
      <c r="CX23" s="385">
        <f t="shared" si="217"/>
        <v>6.9655273030429345</v>
      </c>
      <c r="CY23" s="5">
        <f t="shared" si="218"/>
        <v>34.439349729053774</v>
      </c>
      <c r="CZ23" s="5">
        <f t="shared" si="219"/>
        <v>26.636098374322636</v>
      </c>
      <c r="DA23" s="6">
        <f t="shared" si="220"/>
        <v>45</v>
      </c>
      <c r="DB23" s="5">
        <f t="shared" si="221"/>
        <v>1.6882034180908712</v>
      </c>
      <c r="DC23" s="6">
        <f t="shared" si="222"/>
        <v>155</v>
      </c>
      <c r="DD23" s="5">
        <f t="shared" si="223"/>
        <v>5.814922884535223</v>
      </c>
      <c r="DE23" s="6">
        <f t="shared" si="224"/>
        <v>91</v>
      </c>
      <c r="DF23" s="5">
        <f t="shared" si="225"/>
        <v>3.413922467694873</v>
      </c>
      <c r="DG23" s="6">
        <f t="shared" si="226"/>
        <v>129</v>
      </c>
      <c r="DH23" s="5">
        <f t="shared" si="227"/>
        <v>4.8395164651938307</v>
      </c>
      <c r="DI23" s="5">
        <f t="shared" si="228"/>
        <v>17.899999999999999</v>
      </c>
      <c r="DJ23" s="5">
        <f t="shared" si="229"/>
        <v>281.89999999999998</v>
      </c>
      <c r="DK23" s="5">
        <f t="shared" si="230"/>
        <v>10.57565652355148</v>
      </c>
      <c r="DL23" s="286">
        <f t="shared" si="231"/>
        <v>231.90333333333331</v>
      </c>
      <c r="DM23" s="287">
        <f t="shared" si="232"/>
        <v>8.6999999999999993</v>
      </c>
      <c r="DN23" s="60">
        <f t="shared" si="233"/>
        <v>6.68</v>
      </c>
      <c r="DO23" t="s">
        <v>888</v>
      </c>
      <c r="DP23" t="s">
        <v>708</v>
      </c>
      <c r="DQ23" t="s">
        <v>1242</v>
      </c>
      <c r="DR23">
        <v>26</v>
      </c>
      <c r="DS23" t="s">
        <v>1243</v>
      </c>
      <c r="DT23" t="s">
        <v>751</v>
      </c>
      <c r="DU23" t="s">
        <v>573</v>
      </c>
      <c r="DV23" t="s">
        <v>1244</v>
      </c>
      <c r="DW23" t="s">
        <v>1245</v>
      </c>
      <c r="DX23" s="430">
        <v>47848</v>
      </c>
      <c r="DY23">
        <v>2399</v>
      </c>
      <c r="DZ23" t="s">
        <v>987</v>
      </c>
      <c r="EA23">
        <v>0</v>
      </c>
      <c r="EB23">
        <v>8</v>
      </c>
      <c r="EC23">
        <v>0</v>
      </c>
      <c r="ED23">
        <v>3</v>
      </c>
      <c r="EE23">
        <v>17.899999999999999</v>
      </c>
      <c r="EF23" t="s">
        <v>1246</v>
      </c>
      <c r="EG23" t="s">
        <v>1247</v>
      </c>
      <c r="EH23">
        <v>33</v>
      </c>
      <c r="EI23">
        <v>42</v>
      </c>
      <c r="EJ23">
        <v>748</v>
      </c>
      <c r="EK23">
        <v>662</v>
      </c>
      <c r="EL23">
        <v>19</v>
      </c>
      <c r="EM23">
        <v>26</v>
      </c>
      <c r="EN23">
        <v>26</v>
      </c>
      <c r="EO23">
        <v>69</v>
      </c>
      <c r="EP23">
        <v>34</v>
      </c>
      <c r="EQ23">
        <v>49</v>
      </c>
      <c r="ER23">
        <v>19</v>
      </c>
      <c r="ES23">
        <v>12</v>
      </c>
      <c r="ET23">
        <v>4</v>
      </c>
      <c r="EU23">
        <v>12</v>
      </c>
      <c r="EV23">
        <v>4</v>
      </c>
      <c r="EW23">
        <v>2</v>
      </c>
      <c r="EX23">
        <v>0.6</v>
      </c>
      <c r="EY23">
        <v>0</v>
      </c>
      <c r="EZ23">
        <v>0</v>
      </c>
      <c r="FA23">
        <v>0</v>
      </c>
      <c r="FB23">
        <v>8.6999999999999993</v>
      </c>
      <c r="FC23" t="s">
        <v>1248</v>
      </c>
      <c r="FD23">
        <v>6.68</v>
      </c>
    </row>
    <row r="24" spans="1:160" ht="24.95" customHeight="1" thickBot="1" x14ac:dyDescent="0.3">
      <c r="A24" s="29" t="str">
        <f t="shared" si="0"/>
        <v>23º</v>
      </c>
      <c r="B24" s="67" t="str">
        <f t="shared" si="118"/>
        <v>Alexis Cuello</v>
      </c>
      <c r="C24" s="83" t="str">
        <f t="shared" si="119"/>
        <v>ARG</v>
      </c>
      <c r="D24" s="9" t="str">
        <f t="shared" si="120"/>
        <v>San Lorenzo</v>
      </c>
      <c r="E24" s="91" t="str">
        <f t="shared" si="121"/>
        <v>Pé Direito</v>
      </c>
      <c r="F24" s="155">
        <f t="shared" si="122"/>
        <v>1.79</v>
      </c>
      <c r="G24" s="35">
        <f t="shared" si="123"/>
        <v>47483</v>
      </c>
      <c r="H24" s="7">
        <f t="shared" si="124"/>
        <v>26</v>
      </c>
      <c r="I24" s="299" t="str">
        <f t="shared" si="125"/>
        <v>41m € - 59,5m € p/m</v>
      </c>
      <c r="J24" s="3" t="str">
        <f t="shared" si="126"/>
        <v>5M € - 6,6M €</v>
      </c>
      <c r="K24" s="89">
        <f t="shared" si="10"/>
        <v>31.398046398046404</v>
      </c>
      <c r="L24" s="133">
        <f t="shared" si="127"/>
        <v>37.588888888888889</v>
      </c>
      <c r="M24" s="134">
        <f t="shared" si="128"/>
        <v>42</v>
      </c>
      <c r="N24" s="134">
        <f t="shared" si="129"/>
        <v>80.547619047619051</v>
      </c>
      <c r="O24" s="173">
        <f t="shared" si="130"/>
        <v>0.93</v>
      </c>
      <c r="P24" s="402">
        <f t="shared" si="131"/>
        <v>11</v>
      </c>
      <c r="Q24" s="402">
        <f t="shared" si="132"/>
        <v>6</v>
      </c>
      <c r="R24" s="402">
        <f t="shared" si="133"/>
        <v>17</v>
      </c>
      <c r="S24" s="6">
        <f t="shared" si="134"/>
        <v>1</v>
      </c>
      <c r="T24" s="24">
        <f t="shared" si="135"/>
        <v>3383</v>
      </c>
      <c r="U24" s="21">
        <f t="shared" si="136"/>
        <v>2.6603606266627253E-2</v>
      </c>
      <c r="V24" s="298">
        <f t="shared" si="137"/>
        <v>0</v>
      </c>
      <c r="W24" s="300">
        <f t="shared" si="138"/>
        <v>0</v>
      </c>
      <c r="X24" s="298">
        <f t="shared" si="139"/>
        <v>0</v>
      </c>
      <c r="Y24" s="300">
        <f t="shared" si="140"/>
        <v>0</v>
      </c>
      <c r="Z24" s="290">
        <f t="shared" si="141"/>
        <v>0</v>
      </c>
      <c r="AA24" s="298">
        <f t="shared" si="142"/>
        <v>0</v>
      </c>
      <c r="AB24" s="286">
        <f t="shared" si="143"/>
        <v>0</v>
      </c>
      <c r="AC24" s="286">
        <f t="shared" si="144"/>
        <v>0</v>
      </c>
      <c r="AD24" s="286">
        <f t="shared" si="145"/>
        <v>0</v>
      </c>
      <c r="AE24" s="21">
        <f t="shared" si="146"/>
        <v>9.9999999999999995E-8</v>
      </c>
      <c r="AF24" s="421">
        <f t="shared" si="147"/>
        <v>11</v>
      </c>
      <c r="AG24" s="421">
        <f t="shared" si="148"/>
        <v>6</v>
      </c>
      <c r="AH24" s="421">
        <f t="shared" si="149"/>
        <v>17</v>
      </c>
      <c r="AI24" s="421">
        <f t="shared" si="150"/>
        <v>11</v>
      </c>
      <c r="AJ24" s="420">
        <f t="shared" si="151"/>
        <v>1</v>
      </c>
      <c r="AK24" s="422">
        <f t="shared" si="152"/>
        <v>0.29263966893289978</v>
      </c>
      <c r="AL24" s="422">
        <f t="shared" si="153"/>
        <v>0.15962163759976353</v>
      </c>
      <c r="AM24" s="422">
        <f t="shared" si="154"/>
        <v>0.45226130653266333</v>
      </c>
      <c r="AN24" s="5">
        <f t="shared" si="155"/>
        <v>9.52</v>
      </c>
      <c r="AO24" s="5">
        <f t="shared" si="156"/>
        <v>9.52</v>
      </c>
      <c r="AP24" s="5">
        <f t="shared" si="157"/>
        <v>0.25326633165829143</v>
      </c>
      <c r="AQ24" s="5">
        <f t="shared" si="158"/>
        <v>5.33</v>
      </c>
      <c r="AR24" s="5">
        <f t="shared" si="159"/>
        <v>0.14179722140112327</v>
      </c>
      <c r="AS24" s="5">
        <f t="shared" si="160"/>
        <v>14.85</v>
      </c>
      <c r="AT24" s="5">
        <f t="shared" si="161"/>
        <v>0.39506355305941471</v>
      </c>
      <c r="AU24" s="21">
        <f t="shared" si="162"/>
        <v>0.47043248014121802</v>
      </c>
      <c r="AV24" s="21">
        <f t="shared" si="163"/>
        <v>0.53606237816764135</v>
      </c>
      <c r="AW24" s="6">
        <f t="shared" si="164"/>
        <v>19</v>
      </c>
      <c r="AX24" s="6">
        <f t="shared" si="165"/>
        <v>5</v>
      </c>
      <c r="AY24" s="21">
        <f t="shared" si="166"/>
        <v>0.26315789473684209</v>
      </c>
      <c r="AZ24" s="304">
        <f t="shared" si="167"/>
        <v>58</v>
      </c>
      <c r="BA24" s="305">
        <f t="shared" si="168"/>
        <v>1.5430091634643808</v>
      </c>
      <c r="BB24" s="413">
        <f t="shared" si="169"/>
        <v>24.129499999999997</v>
      </c>
      <c r="BC24" s="413">
        <f t="shared" si="170"/>
        <v>0.6419317174105823</v>
      </c>
      <c r="BD24" s="6">
        <f t="shared" si="171"/>
        <v>1235</v>
      </c>
      <c r="BE24" s="5">
        <f t="shared" si="172"/>
        <v>32.855453739284656</v>
      </c>
      <c r="BF24" s="6">
        <f t="shared" si="173"/>
        <v>1088</v>
      </c>
      <c r="BG24" s="5">
        <f t="shared" si="174"/>
        <v>28.944723618090453</v>
      </c>
      <c r="BH24" s="21">
        <f t="shared" si="175"/>
        <v>0.88097165991902837</v>
      </c>
      <c r="BI24" s="417">
        <f t="shared" si="176"/>
        <v>147</v>
      </c>
      <c r="BJ24" s="418">
        <f t="shared" si="177"/>
        <v>3.9107301211942063</v>
      </c>
      <c r="BK24" s="195">
        <f t="shared" si="178"/>
        <v>50</v>
      </c>
      <c r="BL24" s="5">
        <f t="shared" si="179"/>
        <v>1.3301803133313628</v>
      </c>
      <c r="BM24" s="21">
        <f t="shared" si="180"/>
        <v>4.048582995951417E-2</v>
      </c>
      <c r="BN24" s="195">
        <f t="shared" si="181"/>
        <v>44</v>
      </c>
      <c r="BO24" s="185">
        <f t="shared" si="182"/>
        <v>1.1705586757315991</v>
      </c>
      <c r="BP24" s="5">
        <f t="shared" si="183"/>
        <v>7.333333333333333</v>
      </c>
      <c r="BQ24" s="21">
        <f t="shared" si="184"/>
        <v>0.13636363636363635</v>
      </c>
      <c r="BR24" s="5">
        <f t="shared" si="185"/>
        <v>-0.66999999999999993</v>
      </c>
      <c r="BS24" s="5">
        <f t="shared" si="186"/>
        <v>0.12113636363636364</v>
      </c>
      <c r="BT24" s="24">
        <f t="shared" si="187"/>
        <v>76.88636363636364</v>
      </c>
      <c r="BU24" s="5">
        <f t="shared" si="188"/>
        <v>32.844660194174757</v>
      </c>
      <c r="BV24" s="5">
        <f t="shared" si="189"/>
        <v>1.4800000000000004</v>
      </c>
      <c r="BW24" s="5">
        <f t="shared" si="190"/>
        <v>1.4800000000000004</v>
      </c>
      <c r="BX24" s="6">
        <f t="shared" si="191"/>
        <v>97</v>
      </c>
      <c r="BY24" s="5">
        <f t="shared" si="192"/>
        <v>2.5805498078628437</v>
      </c>
      <c r="BZ24" s="6">
        <f t="shared" si="193"/>
        <v>48</v>
      </c>
      <c r="CA24" s="5">
        <f t="shared" si="194"/>
        <v>1.2769731007981082</v>
      </c>
      <c r="CB24" s="6">
        <f t="shared" si="195"/>
        <v>49</v>
      </c>
      <c r="CC24" s="5">
        <f t="shared" si="196"/>
        <v>1.3035767070647355</v>
      </c>
      <c r="CD24" s="5">
        <f t="shared" si="197"/>
        <v>1.3035767070647355</v>
      </c>
      <c r="CE24" s="21">
        <f t="shared" si="198"/>
        <v>0.50515463917525771</v>
      </c>
      <c r="CF24" s="5">
        <f t="shared" si="199"/>
        <v>8.8181818181818183</v>
      </c>
      <c r="CG24" s="5">
        <f t="shared" si="200"/>
        <v>4.4545454545454541</v>
      </c>
      <c r="CH24" s="21">
        <f t="shared" si="201"/>
        <v>0.1134020618556701</v>
      </c>
      <c r="CI24" s="298">
        <f t="shared" si="202"/>
        <v>10</v>
      </c>
      <c r="CJ24" s="298">
        <f t="shared" si="203"/>
        <v>1</v>
      </c>
      <c r="CK24" s="298">
        <f t="shared" si="204"/>
        <v>0</v>
      </c>
      <c r="CL24" s="21">
        <f t="shared" si="205"/>
        <v>3.3254507833284062E-2</v>
      </c>
      <c r="CM24" s="6">
        <f t="shared" si="206"/>
        <v>20.6</v>
      </c>
      <c r="CN24" s="5">
        <f t="shared" si="207"/>
        <v>0.5480342890925215</v>
      </c>
      <c r="CO24" s="167">
        <f t="shared" si="208"/>
        <v>218</v>
      </c>
      <c r="CP24" s="5">
        <f t="shared" si="209"/>
        <v>5.7995861661247412</v>
      </c>
      <c r="CQ24" s="6">
        <f t="shared" si="210"/>
        <v>156</v>
      </c>
      <c r="CR24" s="5">
        <f t="shared" si="211"/>
        <v>4.1501625775938518</v>
      </c>
      <c r="CS24" s="21">
        <f t="shared" si="212"/>
        <v>0.7155963302752294</v>
      </c>
      <c r="CT24" s="6">
        <f t="shared" si="213"/>
        <v>122.83</v>
      </c>
      <c r="CU24" s="5">
        <f t="shared" si="214"/>
        <v>3.2677209577298254</v>
      </c>
      <c r="CV24" s="6">
        <f t="shared" si="215"/>
        <v>126.08</v>
      </c>
      <c r="CW24" s="5">
        <f t="shared" si="216"/>
        <v>3.3541826780963642</v>
      </c>
      <c r="CX24" s="385">
        <f t="shared" si="217"/>
        <v>10.007239136860774</v>
      </c>
      <c r="CY24" s="5">
        <f t="shared" si="218"/>
        <v>40.437481525273427</v>
      </c>
      <c r="CZ24" s="5">
        <f t="shared" si="219"/>
        <v>31.711498669819687</v>
      </c>
      <c r="DA24" s="6">
        <f t="shared" si="220"/>
        <v>94</v>
      </c>
      <c r="DB24" s="5">
        <f t="shared" si="221"/>
        <v>2.5007389890629619</v>
      </c>
      <c r="DC24" s="6">
        <f t="shared" si="222"/>
        <v>278</v>
      </c>
      <c r="DD24" s="5">
        <f t="shared" si="223"/>
        <v>7.395802542122377</v>
      </c>
      <c r="DE24" s="6">
        <f t="shared" si="224"/>
        <v>151</v>
      </c>
      <c r="DF24" s="5">
        <f t="shared" si="225"/>
        <v>4.0171445462607149</v>
      </c>
      <c r="DG24" s="6">
        <f t="shared" si="226"/>
        <v>209</v>
      </c>
      <c r="DH24" s="5">
        <f t="shared" si="227"/>
        <v>5.5601537097250961</v>
      </c>
      <c r="DI24" s="5">
        <f t="shared" si="228"/>
        <v>20.6</v>
      </c>
      <c r="DJ24" s="5">
        <f t="shared" si="229"/>
        <v>405.1</v>
      </c>
      <c r="DK24" s="5">
        <f t="shared" si="230"/>
        <v>10.777120898610701</v>
      </c>
      <c r="DL24" s="286">
        <f t="shared" si="231"/>
        <v>364.61222222222221</v>
      </c>
      <c r="DM24" s="287">
        <f t="shared" si="232"/>
        <v>9.6999999999999993</v>
      </c>
      <c r="DN24" s="60">
        <f t="shared" si="233"/>
        <v>6.84</v>
      </c>
      <c r="DO24"/>
      <c r="DP24" t="s">
        <v>708</v>
      </c>
      <c r="DQ24" t="s">
        <v>1249</v>
      </c>
      <c r="DR24">
        <v>26</v>
      </c>
      <c r="DS24" t="s">
        <v>1250</v>
      </c>
      <c r="DT24" t="s">
        <v>565</v>
      </c>
      <c r="DU24" t="s">
        <v>573</v>
      </c>
      <c r="DV24" t="s">
        <v>1251</v>
      </c>
      <c r="DW24" t="s">
        <v>1252</v>
      </c>
      <c r="DX24" s="430">
        <v>47483</v>
      </c>
      <c r="DY24">
        <v>3383</v>
      </c>
      <c r="DZ24" t="s">
        <v>1253</v>
      </c>
      <c r="EA24">
        <v>1</v>
      </c>
      <c r="EB24">
        <v>11</v>
      </c>
      <c r="EC24">
        <v>6</v>
      </c>
      <c r="ED24">
        <v>10</v>
      </c>
      <c r="EE24">
        <v>20.6</v>
      </c>
      <c r="EF24" t="s">
        <v>1254</v>
      </c>
      <c r="EG24" t="s">
        <v>1255</v>
      </c>
      <c r="EH24">
        <v>35</v>
      </c>
      <c r="EI24">
        <v>70</v>
      </c>
      <c r="EJ24">
        <v>1235</v>
      </c>
      <c r="EK24">
        <v>1088</v>
      </c>
      <c r="EL24">
        <v>44</v>
      </c>
      <c r="EM24">
        <v>50</v>
      </c>
      <c r="EN24">
        <v>58</v>
      </c>
      <c r="EO24">
        <v>97</v>
      </c>
      <c r="EP24">
        <v>49</v>
      </c>
      <c r="EQ24">
        <v>99</v>
      </c>
      <c r="ER24">
        <v>16</v>
      </c>
      <c r="ES24">
        <v>19</v>
      </c>
      <c r="ET24">
        <v>5</v>
      </c>
      <c r="EU24">
        <v>19</v>
      </c>
      <c r="EV24">
        <v>5</v>
      </c>
      <c r="EW24">
        <v>1</v>
      </c>
      <c r="EX24">
        <v>0.8</v>
      </c>
      <c r="EY24">
        <v>0</v>
      </c>
      <c r="EZ24">
        <v>0</v>
      </c>
      <c r="FA24">
        <v>0</v>
      </c>
      <c r="FB24">
        <v>9.6999999999999993</v>
      </c>
      <c r="FC24" t="s">
        <v>1256</v>
      </c>
      <c r="FD24">
        <v>6.84</v>
      </c>
    </row>
    <row r="25" spans="1:160" ht="24.95" customHeight="1" thickBot="1" x14ac:dyDescent="0.3">
      <c r="A25" s="29" t="str">
        <f t="shared" si="0"/>
        <v>24º</v>
      </c>
      <c r="B25" s="67" t="str">
        <f t="shared" si="118"/>
        <v>Facundo Pons</v>
      </c>
      <c r="C25" s="83" t="str">
        <f t="shared" si="119"/>
        <v>ARG</v>
      </c>
      <c r="D25" s="9" t="str">
        <f t="shared" si="120"/>
        <v>San Martín (Tucumán)</v>
      </c>
      <c r="E25" s="91" t="str">
        <f t="shared" si="121"/>
        <v>Pé Direito</v>
      </c>
      <c r="F25" s="155">
        <f t="shared" si="122"/>
        <v>1.86</v>
      </c>
      <c r="G25" s="35">
        <f t="shared" si="123"/>
        <v>47118</v>
      </c>
      <c r="H25" s="7">
        <f t="shared" si="124"/>
        <v>31</v>
      </c>
      <c r="I25" s="299" t="str">
        <f t="shared" si="125"/>
        <v>7,75m € - 12,25m € p/m</v>
      </c>
      <c r="J25" s="3" t="str">
        <f t="shared" si="126"/>
        <v>Não está à venda</v>
      </c>
      <c r="K25" s="89">
        <f t="shared" si="10"/>
        <v>31.398046398046404</v>
      </c>
      <c r="L25" s="133">
        <f t="shared" si="127"/>
        <v>23.266666666666666</v>
      </c>
      <c r="M25" s="134">
        <f t="shared" si="128"/>
        <v>28</v>
      </c>
      <c r="N25" s="134">
        <f t="shared" si="129"/>
        <v>74.785714285714292</v>
      </c>
      <c r="O25" s="173">
        <f t="shared" si="130"/>
        <v>1</v>
      </c>
      <c r="P25" s="402">
        <f t="shared" si="131"/>
        <v>6</v>
      </c>
      <c r="Q25" s="402">
        <f t="shared" si="132"/>
        <v>1</v>
      </c>
      <c r="R25" s="402">
        <f t="shared" si="133"/>
        <v>7</v>
      </c>
      <c r="S25" s="6">
        <f t="shared" si="134"/>
        <v>1</v>
      </c>
      <c r="T25" s="24">
        <f t="shared" si="135"/>
        <v>2094</v>
      </c>
      <c r="U25" s="21">
        <f t="shared" si="136"/>
        <v>4.2979942693409746E-2</v>
      </c>
      <c r="V25" s="298">
        <f t="shared" si="137"/>
        <v>0</v>
      </c>
      <c r="W25" s="300">
        <f t="shared" si="138"/>
        <v>0</v>
      </c>
      <c r="X25" s="298">
        <f t="shared" si="139"/>
        <v>0</v>
      </c>
      <c r="Y25" s="300">
        <f t="shared" si="140"/>
        <v>0</v>
      </c>
      <c r="Z25" s="290">
        <f t="shared" si="141"/>
        <v>0</v>
      </c>
      <c r="AA25" s="298">
        <f t="shared" si="142"/>
        <v>0</v>
      </c>
      <c r="AB25" s="286">
        <f t="shared" si="143"/>
        <v>2</v>
      </c>
      <c r="AC25" s="286">
        <f t="shared" si="144"/>
        <v>2</v>
      </c>
      <c r="AD25" s="286">
        <f t="shared" si="145"/>
        <v>0</v>
      </c>
      <c r="AE25" s="21">
        <f t="shared" si="146"/>
        <v>1</v>
      </c>
      <c r="AF25" s="421">
        <f t="shared" si="147"/>
        <v>6</v>
      </c>
      <c r="AG25" s="421">
        <f t="shared" si="148"/>
        <v>1</v>
      </c>
      <c r="AH25" s="421">
        <f t="shared" si="149"/>
        <v>7</v>
      </c>
      <c r="AI25" s="421">
        <f t="shared" si="150"/>
        <v>4</v>
      </c>
      <c r="AJ25" s="420">
        <f t="shared" si="151"/>
        <v>1</v>
      </c>
      <c r="AK25" s="422">
        <f t="shared" si="152"/>
        <v>0.25787965616045844</v>
      </c>
      <c r="AL25" s="422">
        <f t="shared" si="153"/>
        <v>4.2979942693409746E-2</v>
      </c>
      <c r="AM25" s="422">
        <f t="shared" si="154"/>
        <v>0.3008595988538682</v>
      </c>
      <c r="AN25" s="5">
        <f t="shared" si="155"/>
        <v>7.33</v>
      </c>
      <c r="AO25" s="5">
        <f t="shared" si="156"/>
        <v>5.75</v>
      </c>
      <c r="AP25" s="5">
        <f t="shared" si="157"/>
        <v>0.24713467048710602</v>
      </c>
      <c r="AQ25" s="5">
        <f t="shared" si="158"/>
        <v>1.75</v>
      </c>
      <c r="AR25" s="5">
        <f t="shared" si="159"/>
        <v>7.5214899713467051E-2</v>
      </c>
      <c r="AS25" s="5">
        <f t="shared" si="160"/>
        <v>7.5</v>
      </c>
      <c r="AT25" s="5">
        <f t="shared" si="161"/>
        <v>0.32234957020057309</v>
      </c>
      <c r="AU25" s="21">
        <f t="shared" si="162"/>
        <v>0.63636363636363635</v>
      </c>
      <c r="AV25" s="21">
        <f t="shared" si="163"/>
        <v>0.45011252813203301</v>
      </c>
      <c r="AW25" s="6">
        <f t="shared" si="164"/>
        <v>16</v>
      </c>
      <c r="AX25" s="6">
        <f t="shared" si="165"/>
        <v>6</v>
      </c>
      <c r="AY25" s="21">
        <f t="shared" si="166"/>
        <v>0.375</v>
      </c>
      <c r="AZ25" s="304">
        <f t="shared" si="167"/>
        <v>11</v>
      </c>
      <c r="BA25" s="305">
        <f t="shared" si="168"/>
        <v>0.47277936962750716</v>
      </c>
      <c r="BB25" s="413">
        <f t="shared" si="169"/>
        <v>12.067499999999999</v>
      </c>
      <c r="BC25" s="413">
        <f t="shared" si="170"/>
        <v>0.51866045845272202</v>
      </c>
      <c r="BD25" s="6">
        <f t="shared" si="171"/>
        <v>606</v>
      </c>
      <c r="BE25" s="5">
        <f t="shared" si="172"/>
        <v>26.045845272206304</v>
      </c>
      <c r="BF25" s="6">
        <f t="shared" si="173"/>
        <v>553</v>
      </c>
      <c r="BG25" s="5">
        <f t="shared" si="174"/>
        <v>23.767908309455589</v>
      </c>
      <c r="BH25" s="21">
        <f t="shared" si="175"/>
        <v>0.91254125412541254</v>
      </c>
      <c r="BI25" s="417">
        <f t="shared" si="176"/>
        <v>53</v>
      </c>
      <c r="BJ25" s="418">
        <f t="shared" si="177"/>
        <v>2.2779369627507164</v>
      </c>
      <c r="BK25" s="195">
        <f t="shared" si="178"/>
        <v>26</v>
      </c>
      <c r="BL25" s="5">
        <f t="shared" si="179"/>
        <v>1.1174785100286533</v>
      </c>
      <c r="BM25" s="21">
        <f t="shared" si="180"/>
        <v>4.2904290429042903E-2</v>
      </c>
      <c r="BN25" s="195">
        <f t="shared" si="181"/>
        <v>35</v>
      </c>
      <c r="BO25" s="185">
        <f t="shared" si="182"/>
        <v>1.5042979942693411</v>
      </c>
      <c r="BP25" s="5">
        <f t="shared" si="183"/>
        <v>35</v>
      </c>
      <c r="BQ25" s="21">
        <f t="shared" si="184"/>
        <v>2.8571428571428571E-2</v>
      </c>
      <c r="BR25" s="5">
        <f t="shared" si="185"/>
        <v>0.75</v>
      </c>
      <c r="BS25" s="5">
        <f t="shared" si="186"/>
        <v>0.05</v>
      </c>
      <c r="BT25" s="24">
        <f t="shared" si="187"/>
        <v>59.828571428571429</v>
      </c>
      <c r="BU25" s="5">
        <f t="shared" si="188"/>
        <v>34.9</v>
      </c>
      <c r="BV25" s="5">
        <f t="shared" si="189"/>
        <v>-1.33</v>
      </c>
      <c r="BW25" s="5">
        <f t="shared" si="190"/>
        <v>-2.91</v>
      </c>
      <c r="BX25" s="6">
        <f t="shared" si="191"/>
        <v>59</v>
      </c>
      <c r="BY25" s="5">
        <f t="shared" si="192"/>
        <v>2.5358166189111748</v>
      </c>
      <c r="BZ25" s="6">
        <f t="shared" si="193"/>
        <v>40</v>
      </c>
      <c r="CA25" s="5">
        <f t="shared" si="194"/>
        <v>1.7191977077363898</v>
      </c>
      <c r="CB25" s="6">
        <f t="shared" si="195"/>
        <v>21</v>
      </c>
      <c r="CC25" s="5">
        <f t="shared" si="196"/>
        <v>0.90257879656160467</v>
      </c>
      <c r="CD25" s="5">
        <f t="shared" si="197"/>
        <v>0.81661891117478513</v>
      </c>
      <c r="CE25" s="21">
        <f t="shared" si="198"/>
        <v>0.32203389830508472</v>
      </c>
      <c r="CF25" s="5">
        <f t="shared" si="199"/>
        <v>14.75</v>
      </c>
      <c r="CG25" s="5">
        <f t="shared" si="200"/>
        <v>3.5</v>
      </c>
      <c r="CH25" s="21">
        <f t="shared" si="201"/>
        <v>6.7796610169491525E-2</v>
      </c>
      <c r="CI25" s="298">
        <f t="shared" si="202"/>
        <v>3</v>
      </c>
      <c r="CJ25" s="298">
        <f t="shared" si="203"/>
        <v>1</v>
      </c>
      <c r="CK25" s="298">
        <f t="shared" si="204"/>
        <v>2</v>
      </c>
      <c r="CL25" s="21">
        <f t="shared" si="205"/>
        <v>5.3724928366762181E-2</v>
      </c>
      <c r="CM25" s="6">
        <f t="shared" si="206"/>
        <v>18.100000000000001</v>
      </c>
      <c r="CN25" s="5">
        <f t="shared" si="207"/>
        <v>0.77793696275071644</v>
      </c>
      <c r="CO25" s="167">
        <f t="shared" si="208"/>
        <v>123</v>
      </c>
      <c r="CP25" s="5">
        <f t="shared" si="209"/>
        <v>5.2865329512893986</v>
      </c>
      <c r="CQ25" s="6">
        <f t="shared" si="210"/>
        <v>73</v>
      </c>
      <c r="CR25" s="5">
        <f t="shared" si="211"/>
        <v>3.1375358166189113</v>
      </c>
      <c r="CS25" s="21">
        <f t="shared" si="212"/>
        <v>0.5934959349593496</v>
      </c>
      <c r="CT25" s="6">
        <f t="shared" si="213"/>
        <v>72.25</v>
      </c>
      <c r="CU25" s="5">
        <f t="shared" si="214"/>
        <v>3.105300859598854</v>
      </c>
      <c r="CV25" s="6">
        <f t="shared" si="215"/>
        <v>73</v>
      </c>
      <c r="CW25" s="5">
        <f t="shared" si="216"/>
        <v>3.1375358166189113</v>
      </c>
      <c r="CX25" s="385">
        <f t="shared" si="217"/>
        <v>10.131618911174783</v>
      </c>
      <c r="CY25" s="5">
        <f t="shared" si="218"/>
        <v>33.48137535816619</v>
      </c>
      <c r="CZ25" s="5">
        <f t="shared" si="219"/>
        <v>26.647564469914041</v>
      </c>
      <c r="DA25" s="6">
        <f t="shared" si="220"/>
        <v>61</v>
      </c>
      <c r="DB25" s="5">
        <f t="shared" si="221"/>
        <v>2.6217765042979946</v>
      </c>
      <c r="DC25" s="6">
        <f t="shared" si="222"/>
        <v>153</v>
      </c>
      <c r="DD25" s="5">
        <f t="shared" si="223"/>
        <v>6.5759312320916905</v>
      </c>
      <c r="DE25" s="6">
        <f t="shared" si="224"/>
        <v>102</v>
      </c>
      <c r="DF25" s="5">
        <f t="shared" si="225"/>
        <v>4.3839541547277943</v>
      </c>
      <c r="DG25" s="6">
        <f t="shared" si="226"/>
        <v>103</v>
      </c>
      <c r="DH25" s="5">
        <f t="shared" si="227"/>
        <v>4.4269340974212037</v>
      </c>
      <c r="DI25" s="5">
        <f t="shared" si="228"/>
        <v>18.100000000000001</v>
      </c>
      <c r="DJ25" s="5">
        <f t="shared" si="229"/>
        <v>233.4</v>
      </c>
      <c r="DK25" s="5">
        <f t="shared" si="230"/>
        <v>10.031518624641835</v>
      </c>
      <c r="DL25" s="286">
        <f t="shared" si="231"/>
        <v>118.65999999999998</v>
      </c>
      <c r="DM25" s="287">
        <f t="shared" si="232"/>
        <v>5.0999999999999996</v>
      </c>
      <c r="DN25" s="60">
        <f t="shared" si="233"/>
        <v>6.81</v>
      </c>
      <c r="DO25"/>
      <c r="DP25" t="s">
        <v>708</v>
      </c>
      <c r="DQ25" t="s">
        <v>1257</v>
      </c>
      <c r="DR25">
        <v>31</v>
      </c>
      <c r="DS25" t="s">
        <v>1258</v>
      </c>
      <c r="DT25" t="s">
        <v>541</v>
      </c>
      <c r="DU25" t="s">
        <v>573</v>
      </c>
      <c r="DV25" t="s">
        <v>394</v>
      </c>
      <c r="DW25" t="s">
        <v>1259</v>
      </c>
      <c r="DX25" s="430">
        <v>47118</v>
      </c>
      <c r="DY25">
        <v>2094</v>
      </c>
      <c r="DZ25">
        <v>28</v>
      </c>
      <c r="EA25">
        <v>1</v>
      </c>
      <c r="EB25">
        <v>6</v>
      </c>
      <c r="EC25">
        <v>1</v>
      </c>
      <c r="ED25">
        <v>6</v>
      </c>
      <c r="EE25">
        <v>18.100000000000001</v>
      </c>
      <c r="EF25" t="s">
        <v>1260</v>
      </c>
      <c r="EG25" t="s">
        <v>1261</v>
      </c>
      <c r="EH25">
        <v>21</v>
      </c>
      <c r="EI25">
        <v>39</v>
      </c>
      <c r="EJ25">
        <v>606</v>
      </c>
      <c r="EK25">
        <v>553</v>
      </c>
      <c r="EL25">
        <v>35</v>
      </c>
      <c r="EM25">
        <v>26</v>
      </c>
      <c r="EN25">
        <v>11</v>
      </c>
      <c r="EO25">
        <v>61</v>
      </c>
      <c r="EP25">
        <v>21</v>
      </c>
      <c r="EQ25">
        <v>51</v>
      </c>
      <c r="ER25">
        <v>20</v>
      </c>
      <c r="ES25">
        <v>16</v>
      </c>
      <c r="ET25">
        <v>6</v>
      </c>
      <c r="EU25">
        <v>16</v>
      </c>
      <c r="EV25">
        <v>6</v>
      </c>
      <c r="EW25">
        <v>1</v>
      </c>
      <c r="EX25">
        <v>0.8</v>
      </c>
      <c r="EY25">
        <v>0</v>
      </c>
      <c r="EZ25">
        <v>2</v>
      </c>
      <c r="FA25">
        <v>2</v>
      </c>
      <c r="FB25">
        <v>5.0999999999999996</v>
      </c>
      <c r="FC25" t="s">
        <v>1262</v>
      </c>
      <c r="FD25">
        <v>6.81</v>
      </c>
    </row>
    <row r="26" spans="1:160" ht="24.95" customHeight="1" thickBot="1" x14ac:dyDescent="0.3">
      <c r="A26" s="29" t="str">
        <f t="shared" si="0"/>
        <v>25º</v>
      </c>
      <c r="B26" s="67" t="str">
        <f t="shared" si="118"/>
        <v>Alexis Villarroel</v>
      </c>
      <c r="C26" s="83" t="str">
        <f t="shared" si="119"/>
        <v>ARG</v>
      </c>
      <c r="D26" s="9" t="str">
        <f t="shared" si="120"/>
        <v>Estudiantes Unidos (B)</v>
      </c>
      <c r="E26" s="91" t="str">
        <f t="shared" si="121"/>
        <v>Pé Direito</v>
      </c>
      <c r="F26" s="155">
        <f t="shared" si="122"/>
        <v>1.76</v>
      </c>
      <c r="G26" s="35">
        <f t="shared" si="123"/>
        <v>46387</v>
      </c>
      <c r="H26" s="7">
        <f t="shared" si="124"/>
        <v>26</v>
      </c>
      <c r="I26" s="299" t="str">
        <f t="shared" si="125"/>
        <v>230 € - 400 € p/m</v>
      </c>
      <c r="J26" s="3" t="str">
        <f t="shared" si="126"/>
        <v>2m € - 7m €</v>
      </c>
      <c r="K26" s="89">
        <f t="shared" si="10"/>
        <v>31.398046398046404</v>
      </c>
      <c r="L26" s="133">
        <f t="shared" si="127"/>
        <v>29.055555555555557</v>
      </c>
      <c r="M26" s="134">
        <f t="shared" si="128"/>
        <v>31</v>
      </c>
      <c r="N26" s="134">
        <f t="shared" si="129"/>
        <v>84.354838709677423</v>
      </c>
      <c r="O26" s="173">
        <f t="shared" si="130"/>
        <v>0.94</v>
      </c>
      <c r="P26" s="402">
        <f t="shared" si="131"/>
        <v>14</v>
      </c>
      <c r="Q26" s="402">
        <f t="shared" si="132"/>
        <v>3</v>
      </c>
      <c r="R26" s="402">
        <f t="shared" si="133"/>
        <v>17</v>
      </c>
      <c r="S26" s="6">
        <f t="shared" si="134"/>
        <v>2</v>
      </c>
      <c r="T26" s="24">
        <f t="shared" si="135"/>
        <v>1307.5</v>
      </c>
      <c r="U26" s="21">
        <f t="shared" si="136"/>
        <v>6.8833652007648183E-2</v>
      </c>
      <c r="V26" s="298">
        <f t="shared" si="137"/>
        <v>0</v>
      </c>
      <c r="W26" s="300">
        <f t="shared" si="138"/>
        <v>0</v>
      </c>
      <c r="X26" s="298">
        <f t="shared" si="139"/>
        <v>0</v>
      </c>
      <c r="Y26" s="300">
        <f t="shared" si="140"/>
        <v>0</v>
      </c>
      <c r="Z26" s="290">
        <f t="shared" si="141"/>
        <v>0</v>
      </c>
      <c r="AA26" s="298">
        <f t="shared" si="142"/>
        <v>0</v>
      </c>
      <c r="AB26" s="286">
        <f t="shared" si="143"/>
        <v>0</v>
      </c>
      <c r="AC26" s="286">
        <f t="shared" si="144"/>
        <v>0</v>
      </c>
      <c r="AD26" s="286">
        <f t="shared" si="145"/>
        <v>0</v>
      </c>
      <c r="AE26" s="21">
        <f t="shared" si="146"/>
        <v>9.9999999999999995E-8</v>
      </c>
      <c r="AF26" s="421">
        <f t="shared" si="147"/>
        <v>14</v>
      </c>
      <c r="AG26" s="421">
        <f t="shared" si="148"/>
        <v>3</v>
      </c>
      <c r="AH26" s="421">
        <f t="shared" si="149"/>
        <v>17</v>
      </c>
      <c r="AI26" s="421">
        <f t="shared" si="150"/>
        <v>14</v>
      </c>
      <c r="AJ26" s="420">
        <f t="shared" si="151"/>
        <v>0</v>
      </c>
      <c r="AK26" s="422">
        <f t="shared" si="152"/>
        <v>0.48183556405353728</v>
      </c>
      <c r="AL26" s="422">
        <f t="shared" si="153"/>
        <v>0.10325047801147227</v>
      </c>
      <c r="AM26" s="422">
        <f t="shared" si="154"/>
        <v>0.58508604206500958</v>
      </c>
      <c r="AN26" s="5">
        <f t="shared" si="155"/>
        <v>10.98</v>
      </c>
      <c r="AO26" s="5">
        <f t="shared" si="156"/>
        <v>10.98</v>
      </c>
      <c r="AP26" s="5">
        <f t="shared" si="157"/>
        <v>0.37789674952198854</v>
      </c>
      <c r="AQ26" s="5">
        <f t="shared" si="158"/>
        <v>1.71</v>
      </c>
      <c r="AR26" s="5">
        <f t="shared" si="159"/>
        <v>5.8852772466539194E-2</v>
      </c>
      <c r="AS26" s="5">
        <f t="shared" si="160"/>
        <v>12.690000000000001</v>
      </c>
      <c r="AT26" s="5">
        <f t="shared" si="161"/>
        <v>0.43674952198852773</v>
      </c>
      <c r="AU26" s="21">
        <f t="shared" si="162"/>
        <v>0.36305732484076431</v>
      </c>
      <c r="AV26" s="21">
        <f t="shared" si="163"/>
        <v>0.56044835868694953</v>
      </c>
      <c r="AW26" s="6">
        <f t="shared" si="164"/>
        <v>0</v>
      </c>
      <c r="AX26" s="6">
        <f t="shared" si="165"/>
        <v>0</v>
      </c>
      <c r="AY26" s="21">
        <f t="shared" si="166"/>
        <v>0</v>
      </c>
      <c r="AZ26" s="304">
        <f t="shared" si="167"/>
        <v>0</v>
      </c>
      <c r="BA26" s="305">
        <f t="shared" si="168"/>
        <v>0</v>
      </c>
      <c r="BB26" s="413">
        <f t="shared" si="169"/>
        <v>0.25650000000000001</v>
      </c>
      <c r="BC26" s="413">
        <f t="shared" si="170"/>
        <v>8.8279158699808794E-3</v>
      </c>
      <c r="BD26" s="6">
        <f t="shared" si="171"/>
        <v>620</v>
      </c>
      <c r="BE26" s="5">
        <f t="shared" si="172"/>
        <v>21.338432122370936</v>
      </c>
      <c r="BF26" s="6">
        <f t="shared" si="173"/>
        <v>372</v>
      </c>
      <c r="BG26" s="5">
        <f t="shared" si="174"/>
        <v>12.803059273422562</v>
      </c>
      <c r="BH26" s="21">
        <f t="shared" si="175"/>
        <v>0.6</v>
      </c>
      <c r="BI26" s="417">
        <f t="shared" si="176"/>
        <v>248</v>
      </c>
      <c r="BJ26" s="418">
        <f t="shared" si="177"/>
        <v>8.5353728489483736</v>
      </c>
      <c r="BK26" s="195">
        <f t="shared" si="178"/>
        <v>0</v>
      </c>
      <c r="BL26" s="5">
        <f t="shared" si="179"/>
        <v>0</v>
      </c>
      <c r="BM26" s="21">
        <f t="shared" si="180"/>
        <v>0</v>
      </c>
      <c r="BN26" s="195">
        <f t="shared" si="181"/>
        <v>0</v>
      </c>
      <c r="BO26" s="185">
        <f t="shared" si="182"/>
        <v>0</v>
      </c>
      <c r="BP26" s="5">
        <f t="shared" si="183"/>
        <v>0</v>
      </c>
      <c r="BQ26" s="21">
        <f t="shared" si="184"/>
        <v>0</v>
      </c>
      <c r="BR26" s="5">
        <f t="shared" si="185"/>
        <v>-1.29</v>
      </c>
      <c r="BS26" s="5">
        <f t="shared" si="186"/>
        <v>0</v>
      </c>
      <c r="BT26" s="24">
        <f t="shared" si="187"/>
        <v>0</v>
      </c>
      <c r="BU26" s="5">
        <f t="shared" si="188"/>
        <v>55.638297872340424</v>
      </c>
      <c r="BV26" s="5">
        <f t="shared" si="189"/>
        <v>3.0199999999999996</v>
      </c>
      <c r="BW26" s="5">
        <f t="shared" si="190"/>
        <v>3.0199999999999996</v>
      </c>
      <c r="BX26" s="6">
        <f t="shared" si="191"/>
        <v>97</v>
      </c>
      <c r="BY26" s="5">
        <f t="shared" si="192"/>
        <v>3.3384321223709366</v>
      </c>
      <c r="BZ26" s="6">
        <f t="shared" si="193"/>
        <v>50</v>
      </c>
      <c r="CA26" s="5">
        <f t="shared" si="194"/>
        <v>1.7208413001912044</v>
      </c>
      <c r="CB26" s="6">
        <f t="shared" si="195"/>
        <v>47</v>
      </c>
      <c r="CC26" s="5">
        <f t="shared" si="196"/>
        <v>1.6175908221797322</v>
      </c>
      <c r="CD26" s="5">
        <f t="shared" si="197"/>
        <v>1.6175908221797322</v>
      </c>
      <c r="CE26" s="21">
        <f t="shared" si="198"/>
        <v>0.4845360824742268</v>
      </c>
      <c r="CF26" s="5">
        <f t="shared" si="199"/>
        <v>6.9285714285714288</v>
      </c>
      <c r="CG26" s="5">
        <f t="shared" si="200"/>
        <v>3.3571428571428572</v>
      </c>
      <c r="CH26" s="21">
        <f t="shared" si="201"/>
        <v>0.14432989690721648</v>
      </c>
      <c r="CI26" s="298">
        <f t="shared" si="202"/>
        <v>14</v>
      </c>
      <c r="CJ26" s="298">
        <f t="shared" si="203"/>
        <v>0</v>
      </c>
      <c r="CK26" s="298">
        <f t="shared" si="204"/>
        <v>0</v>
      </c>
      <c r="CL26" s="21">
        <f t="shared" si="205"/>
        <v>0</v>
      </c>
      <c r="CM26" s="6">
        <f t="shared" si="206"/>
        <v>0</v>
      </c>
      <c r="CN26" s="5">
        <f t="shared" si="207"/>
        <v>0</v>
      </c>
      <c r="CO26" s="167">
        <f t="shared" si="208"/>
        <v>97</v>
      </c>
      <c r="CP26" s="5">
        <f t="shared" si="209"/>
        <v>3.3384321223709366</v>
      </c>
      <c r="CQ26" s="6">
        <f t="shared" si="210"/>
        <v>47</v>
      </c>
      <c r="CR26" s="5">
        <f t="shared" si="211"/>
        <v>1.6175908221797322</v>
      </c>
      <c r="CS26" s="21">
        <f t="shared" si="212"/>
        <v>0.4845360824742268</v>
      </c>
      <c r="CT26" s="6">
        <f t="shared" si="213"/>
        <v>57.21</v>
      </c>
      <c r="CU26" s="5">
        <f t="shared" si="214"/>
        <v>1.9689866156787763</v>
      </c>
      <c r="CV26" s="6">
        <f t="shared" si="215"/>
        <v>61.46</v>
      </c>
      <c r="CW26" s="5">
        <f t="shared" si="216"/>
        <v>2.1152581261950285</v>
      </c>
      <c r="CX26" s="385">
        <f t="shared" si="217"/>
        <v>2.9226424474187378</v>
      </c>
      <c r="CY26" s="5">
        <f t="shared" si="218"/>
        <v>24.676864244741871</v>
      </c>
      <c r="CZ26" s="5">
        <f t="shared" si="219"/>
        <v>12.803059273422562</v>
      </c>
      <c r="DA26" s="6">
        <f t="shared" si="220"/>
        <v>0</v>
      </c>
      <c r="DB26" s="5">
        <f t="shared" si="221"/>
        <v>0</v>
      </c>
      <c r="DC26" s="6">
        <f t="shared" si="222"/>
        <v>97</v>
      </c>
      <c r="DD26" s="5">
        <f t="shared" si="223"/>
        <v>3.3384321223709366</v>
      </c>
      <c r="DE26" s="6">
        <f t="shared" si="224"/>
        <v>97</v>
      </c>
      <c r="DF26" s="5">
        <f t="shared" si="225"/>
        <v>3.3384321223709366</v>
      </c>
      <c r="DG26" s="6">
        <f t="shared" si="226"/>
        <v>298</v>
      </c>
      <c r="DH26" s="5">
        <f t="shared" si="227"/>
        <v>10.256214149139579</v>
      </c>
      <c r="DI26" s="5">
        <f t="shared" si="228"/>
        <v>0</v>
      </c>
      <c r="DJ26" s="5">
        <f t="shared" si="229"/>
        <v>0</v>
      </c>
      <c r="DK26" s="5">
        <f t="shared" si="230"/>
        <v>0</v>
      </c>
      <c r="DL26" s="286">
        <f t="shared" si="231"/>
        <v>0</v>
      </c>
      <c r="DM26" s="287">
        <f t="shared" si="232"/>
        <v>0</v>
      </c>
      <c r="DN26" s="60">
        <f t="shared" si="233"/>
        <v>7.07</v>
      </c>
      <c r="DO26"/>
      <c r="DP26" t="s">
        <v>708</v>
      </c>
      <c r="DQ26" t="s">
        <v>1263</v>
      </c>
      <c r="DR26">
        <v>26</v>
      </c>
      <c r="DS26" t="s">
        <v>1264</v>
      </c>
      <c r="DT26" t="s">
        <v>545</v>
      </c>
      <c r="DU26" t="s">
        <v>573</v>
      </c>
      <c r="DV26" t="s">
        <v>1265</v>
      </c>
      <c r="DW26" t="s">
        <v>1266</v>
      </c>
      <c r="DX26" s="430">
        <v>46387</v>
      </c>
      <c r="DY26">
        <v>2615</v>
      </c>
      <c r="DZ26" t="s">
        <v>1267</v>
      </c>
      <c r="EA26">
        <v>2</v>
      </c>
      <c r="EB26">
        <v>14</v>
      </c>
      <c r="EC26">
        <v>3</v>
      </c>
      <c r="ED26">
        <v>0</v>
      </c>
      <c r="EE26">
        <v>0</v>
      </c>
      <c r="EF26" t="s">
        <v>1268</v>
      </c>
      <c r="EG26" t="s">
        <v>1269</v>
      </c>
      <c r="EH26">
        <v>37</v>
      </c>
      <c r="EI26">
        <v>33</v>
      </c>
      <c r="EJ26">
        <v>620</v>
      </c>
      <c r="EK26">
        <v>372</v>
      </c>
      <c r="EL26">
        <v>0</v>
      </c>
      <c r="EM26">
        <v>0</v>
      </c>
      <c r="EN26">
        <v>0</v>
      </c>
      <c r="EO26">
        <v>97</v>
      </c>
      <c r="EP26">
        <v>47</v>
      </c>
      <c r="EQ26">
        <v>0</v>
      </c>
      <c r="ER26">
        <v>0</v>
      </c>
      <c r="ES26">
        <v>0</v>
      </c>
      <c r="ET26">
        <v>0</v>
      </c>
      <c r="EU26">
        <v>0</v>
      </c>
      <c r="EV26">
        <v>0</v>
      </c>
      <c r="EW26">
        <v>0</v>
      </c>
      <c r="EX26">
        <v>0</v>
      </c>
      <c r="EY26">
        <v>0</v>
      </c>
      <c r="EZ26">
        <v>0</v>
      </c>
      <c r="FA26">
        <v>0</v>
      </c>
      <c r="FB26">
        <v>0</v>
      </c>
      <c r="FC26" t="s">
        <v>1270</v>
      </c>
      <c r="FD26">
        <v>7.07</v>
      </c>
    </row>
    <row r="27" spans="1:160" ht="24.95" customHeight="1" thickBot="1" x14ac:dyDescent="0.3">
      <c r="A27" s="29" t="str">
        <f t="shared" si="0"/>
        <v>26º</v>
      </c>
      <c r="B27" s="67" t="str">
        <f t="shared" si="118"/>
        <v>Iván Maggi</v>
      </c>
      <c r="C27" s="83" t="str">
        <f t="shared" si="119"/>
        <v>ARG</v>
      </c>
      <c r="D27" s="9" t="str">
        <f t="shared" si="120"/>
        <v>Sportivo Luqueño</v>
      </c>
      <c r="E27" s="91" t="str">
        <f t="shared" si="121"/>
        <v>Pé Direito</v>
      </c>
      <c r="F27" s="155">
        <f t="shared" si="122"/>
        <v>1.77</v>
      </c>
      <c r="G27" s="35">
        <f t="shared" si="123"/>
        <v>47514</v>
      </c>
      <c r="H27" s="7">
        <f t="shared" si="124"/>
        <v>27</v>
      </c>
      <c r="I27" s="299" t="str">
        <f t="shared" si="125"/>
        <v>10,5m € - 16,75m € p/m</v>
      </c>
      <c r="J27" s="3" t="str">
        <f t="shared" si="126"/>
        <v>70m € - 700m €</v>
      </c>
      <c r="K27" s="89">
        <f t="shared" si="10"/>
        <v>31.398046398046404</v>
      </c>
      <c r="L27" s="133">
        <f t="shared" si="127"/>
        <v>30.8</v>
      </c>
      <c r="M27" s="134">
        <f t="shared" si="128"/>
        <v>35</v>
      </c>
      <c r="N27" s="134">
        <f t="shared" si="129"/>
        <v>79.2</v>
      </c>
      <c r="O27" s="173">
        <f t="shared" si="130"/>
        <v>1</v>
      </c>
      <c r="P27" s="402">
        <f t="shared" si="131"/>
        <v>13</v>
      </c>
      <c r="Q27" s="402">
        <f t="shared" si="132"/>
        <v>4</v>
      </c>
      <c r="R27" s="402">
        <f t="shared" si="133"/>
        <v>17</v>
      </c>
      <c r="S27" s="6">
        <f t="shared" si="134"/>
        <v>0</v>
      </c>
      <c r="T27" s="24">
        <f t="shared" si="135"/>
        <v>5000</v>
      </c>
      <c r="U27" s="21">
        <f t="shared" si="136"/>
        <v>0</v>
      </c>
      <c r="V27" s="298">
        <f t="shared" si="137"/>
        <v>0</v>
      </c>
      <c r="W27" s="300">
        <f t="shared" si="138"/>
        <v>0</v>
      </c>
      <c r="X27" s="298">
        <f t="shared" si="139"/>
        <v>0</v>
      </c>
      <c r="Y27" s="300">
        <f t="shared" si="140"/>
        <v>0</v>
      </c>
      <c r="Z27" s="290">
        <f t="shared" si="141"/>
        <v>0</v>
      </c>
      <c r="AA27" s="298">
        <f t="shared" si="142"/>
        <v>0</v>
      </c>
      <c r="AB27" s="286">
        <f t="shared" si="143"/>
        <v>1</v>
      </c>
      <c r="AC27" s="286">
        <f t="shared" si="144"/>
        <v>1</v>
      </c>
      <c r="AD27" s="286">
        <f t="shared" si="145"/>
        <v>0</v>
      </c>
      <c r="AE27" s="21">
        <f t="shared" si="146"/>
        <v>1</v>
      </c>
      <c r="AF27" s="421">
        <f t="shared" si="147"/>
        <v>13</v>
      </c>
      <c r="AG27" s="421">
        <f t="shared" si="148"/>
        <v>4</v>
      </c>
      <c r="AH27" s="421">
        <f t="shared" si="149"/>
        <v>17</v>
      </c>
      <c r="AI27" s="421">
        <f t="shared" si="150"/>
        <v>12</v>
      </c>
      <c r="AJ27" s="420">
        <f t="shared" si="151"/>
        <v>1</v>
      </c>
      <c r="AK27" s="422">
        <f t="shared" si="152"/>
        <v>0.42207792207792205</v>
      </c>
      <c r="AL27" s="422">
        <f t="shared" si="153"/>
        <v>0.12987012987012986</v>
      </c>
      <c r="AM27" s="422">
        <f t="shared" si="154"/>
        <v>0.55194805194805197</v>
      </c>
      <c r="AN27" s="5">
        <f t="shared" si="155"/>
        <v>10.76</v>
      </c>
      <c r="AO27" s="5">
        <f t="shared" si="156"/>
        <v>9.9699999999999989</v>
      </c>
      <c r="AP27" s="5">
        <f t="shared" si="157"/>
        <v>0.32370129870129866</v>
      </c>
      <c r="AQ27" s="5">
        <f t="shared" si="158"/>
        <v>2.31</v>
      </c>
      <c r="AR27" s="5">
        <f t="shared" si="159"/>
        <v>7.4999999999999997E-2</v>
      </c>
      <c r="AS27" s="5">
        <f t="shared" si="160"/>
        <v>12.28</v>
      </c>
      <c r="AT27" s="5">
        <f t="shared" si="161"/>
        <v>0.39870129870129867</v>
      </c>
      <c r="AU27" s="21">
        <f t="shared" si="162"/>
        <v>0.36608557844690964</v>
      </c>
      <c r="AV27" s="21">
        <f t="shared" si="163"/>
        <v>0.54713804713804715</v>
      </c>
      <c r="AW27" s="6">
        <f t="shared" si="164"/>
        <v>8</v>
      </c>
      <c r="AX27" s="6">
        <f t="shared" si="165"/>
        <v>1</v>
      </c>
      <c r="AY27" s="21">
        <f t="shared" si="166"/>
        <v>0.125</v>
      </c>
      <c r="AZ27" s="304">
        <f t="shared" si="167"/>
        <v>26</v>
      </c>
      <c r="BA27" s="305">
        <f t="shared" si="168"/>
        <v>0.8441558441558441</v>
      </c>
      <c r="BB27" s="413">
        <f t="shared" si="169"/>
        <v>11.166500000000001</v>
      </c>
      <c r="BC27" s="413">
        <f t="shared" si="170"/>
        <v>0.36254870129870131</v>
      </c>
      <c r="BD27" s="6">
        <f t="shared" si="171"/>
        <v>770</v>
      </c>
      <c r="BE27" s="5">
        <f t="shared" si="172"/>
        <v>25</v>
      </c>
      <c r="BF27" s="6">
        <f t="shared" si="173"/>
        <v>703</v>
      </c>
      <c r="BG27" s="5">
        <f t="shared" si="174"/>
        <v>22.824675324675326</v>
      </c>
      <c r="BH27" s="21">
        <f t="shared" si="175"/>
        <v>0.91298701298701301</v>
      </c>
      <c r="BI27" s="417">
        <f t="shared" si="176"/>
        <v>67</v>
      </c>
      <c r="BJ27" s="418">
        <f t="shared" si="177"/>
        <v>2.1753246753246751</v>
      </c>
      <c r="BK27" s="195">
        <f t="shared" si="178"/>
        <v>16</v>
      </c>
      <c r="BL27" s="5">
        <f t="shared" si="179"/>
        <v>0.51948051948051943</v>
      </c>
      <c r="BM27" s="21">
        <f t="shared" si="180"/>
        <v>2.0779220779220779E-2</v>
      </c>
      <c r="BN27" s="195">
        <f t="shared" si="181"/>
        <v>24</v>
      </c>
      <c r="BO27" s="185">
        <f t="shared" si="182"/>
        <v>0.77922077922077926</v>
      </c>
      <c r="BP27" s="5">
        <f t="shared" si="183"/>
        <v>6</v>
      </c>
      <c r="BQ27" s="21">
        <f t="shared" si="184"/>
        <v>0.16666666666666666</v>
      </c>
      <c r="BR27" s="5">
        <f t="shared" si="185"/>
        <v>-1.69</v>
      </c>
      <c r="BS27" s="5">
        <f t="shared" si="186"/>
        <v>9.6250000000000002E-2</v>
      </c>
      <c r="BT27" s="24">
        <f t="shared" si="187"/>
        <v>115.5</v>
      </c>
      <c r="BU27" s="5">
        <f t="shared" si="188"/>
        <v>39.6</v>
      </c>
      <c r="BV27" s="5">
        <f t="shared" si="189"/>
        <v>2.2400000000000002</v>
      </c>
      <c r="BW27" s="5">
        <f t="shared" si="190"/>
        <v>1.4500000000000002</v>
      </c>
      <c r="BX27" s="6">
        <f t="shared" si="191"/>
        <v>90</v>
      </c>
      <c r="BY27" s="5">
        <f t="shared" si="192"/>
        <v>2.9220779220779218</v>
      </c>
      <c r="BZ27" s="6">
        <f t="shared" si="193"/>
        <v>48</v>
      </c>
      <c r="CA27" s="5">
        <f t="shared" si="194"/>
        <v>1.5584415584415585</v>
      </c>
      <c r="CB27" s="6">
        <f t="shared" si="195"/>
        <v>43</v>
      </c>
      <c r="CC27" s="5">
        <f t="shared" si="196"/>
        <v>1.3961038961038961</v>
      </c>
      <c r="CD27" s="5">
        <f t="shared" si="197"/>
        <v>1.3636363636363635</v>
      </c>
      <c r="CE27" s="21">
        <f t="shared" si="198"/>
        <v>0.46666666666666667</v>
      </c>
      <c r="CF27" s="5">
        <f t="shared" si="199"/>
        <v>7.5</v>
      </c>
      <c r="CG27" s="5">
        <f t="shared" si="200"/>
        <v>3.3076923076923075</v>
      </c>
      <c r="CH27" s="21">
        <f t="shared" si="201"/>
        <v>0.13333333333333333</v>
      </c>
      <c r="CI27" s="298">
        <f t="shared" si="202"/>
        <v>11</v>
      </c>
      <c r="CJ27" s="298">
        <f t="shared" si="203"/>
        <v>1</v>
      </c>
      <c r="CK27" s="298">
        <f t="shared" si="204"/>
        <v>1</v>
      </c>
      <c r="CL27" s="21">
        <f t="shared" si="205"/>
        <v>3.2467532467532464E-2</v>
      </c>
      <c r="CM27" s="6">
        <f t="shared" si="206"/>
        <v>14.4</v>
      </c>
      <c r="CN27" s="5">
        <f t="shared" si="207"/>
        <v>0.46753246753246752</v>
      </c>
      <c r="CO27" s="167">
        <f t="shared" si="208"/>
        <v>149</v>
      </c>
      <c r="CP27" s="5">
        <f t="shared" si="209"/>
        <v>4.8376623376623371</v>
      </c>
      <c r="CQ27" s="6">
        <f t="shared" si="210"/>
        <v>94</v>
      </c>
      <c r="CR27" s="5">
        <f t="shared" si="211"/>
        <v>3.051948051948052</v>
      </c>
      <c r="CS27" s="21">
        <f t="shared" si="212"/>
        <v>0.63087248322147649</v>
      </c>
      <c r="CT27" s="6">
        <f t="shared" si="213"/>
        <v>82.81</v>
      </c>
      <c r="CU27" s="5">
        <f t="shared" si="214"/>
        <v>2.6886363636363635</v>
      </c>
      <c r="CV27" s="6">
        <f t="shared" si="215"/>
        <v>86.06</v>
      </c>
      <c r="CW27" s="5">
        <f t="shared" si="216"/>
        <v>2.7941558441558443</v>
      </c>
      <c r="CX27" s="385">
        <f t="shared" si="217"/>
        <v>6.6325649350649361</v>
      </c>
      <c r="CY27" s="5">
        <f t="shared" si="218"/>
        <v>30.649350649350648</v>
      </c>
      <c r="CZ27" s="5">
        <f t="shared" si="219"/>
        <v>24.253246753246753</v>
      </c>
      <c r="DA27" s="6">
        <f t="shared" si="220"/>
        <v>40</v>
      </c>
      <c r="DB27" s="5">
        <f t="shared" si="221"/>
        <v>1.2987012987012987</v>
      </c>
      <c r="DC27" s="6">
        <f t="shared" si="222"/>
        <v>168</v>
      </c>
      <c r="DD27" s="5">
        <f t="shared" si="223"/>
        <v>5.4545454545454541</v>
      </c>
      <c r="DE27" s="6">
        <f t="shared" si="224"/>
        <v>119</v>
      </c>
      <c r="DF27" s="5">
        <f t="shared" si="225"/>
        <v>3.8636363636363638</v>
      </c>
      <c r="DG27" s="6">
        <f t="shared" si="226"/>
        <v>122</v>
      </c>
      <c r="DH27" s="5">
        <f t="shared" si="227"/>
        <v>3.9610389610389611</v>
      </c>
      <c r="DI27" s="5">
        <f t="shared" si="228"/>
        <v>14.4</v>
      </c>
      <c r="DJ27" s="5">
        <f t="shared" si="229"/>
        <v>303</v>
      </c>
      <c r="DK27" s="5">
        <f t="shared" si="230"/>
        <v>9.8376623376623371</v>
      </c>
      <c r="DL27" s="286">
        <f t="shared" si="231"/>
        <v>163.24</v>
      </c>
      <c r="DM27" s="287">
        <f t="shared" si="232"/>
        <v>5.3</v>
      </c>
      <c r="DN27" s="60">
        <f t="shared" si="233"/>
        <v>6.85</v>
      </c>
      <c r="DO27"/>
      <c r="DP27" t="s">
        <v>708</v>
      </c>
      <c r="DQ27" t="s">
        <v>1271</v>
      </c>
      <c r="DR27">
        <v>27</v>
      </c>
      <c r="DS27" t="s">
        <v>1272</v>
      </c>
      <c r="DT27" t="s">
        <v>605</v>
      </c>
      <c r="DU27" t="s">
        <v>573</v>
      </c>
      <c r="DV27" t="s">
        <v>1273</v>
      </c>
      <c r="DW27" t="s">
        <v>1274</v>
      </c>
      <c r="DX27" s="430">
        <v>47514</v>
      </c>
      <c r="DY27">
        <v>2772</v>
      </c>
      <c r="DZ27">
        <v>35</v>
      </c>
      <c r="EA27">
        <v>0</v>
      </c>
      <c r="EB27">
        <v>13</v>
      </c>
      <c r="EC27">
        <v>4</v>
      </c>
      <c r="ED27">
        <v>4</v>
      </c>
      <c r="EE27">
        <v>14.4</v>
      </c>
      <c r="EF27" t="s">
        <v>1276</v>
      </c>
      <c r="EG27" t="s">
        <v>1277</v>
      </c>
      <c r="EH27">
        <v>31</v>
      </c>
      <c r="EI27">
        <v>53</v>
      </c>
      <c r="EJ27">
        <v>770</v>
      </c>
      <c r="EK27">
        <v>703</v>
      </c>
      <c r="EL27">
        <v>24</v>
      </c>
      <c r="EM27">
        <v>16</v>
      </c>
      <c r="EN27">
        <v>26</v>
      </c>
      <c r="EO27">
        <v>91</v>
      </c>
      <c r="EP27">
        <v>43</v>
      </c>
      <c r="EQ27">
        <v>45</v>
      </c>
      <c r="ER27">
        <v>10</v>
      </c>
      <c r="ES27">
        <v>8</v>
      </c>
      <c r="ET27">
        <v>1</v>
      </c>
      <c r="EU27">
        <v>8</v>
      </c>
      <c r="EV27">
        <v>1</v>
      </c>
      <c r="EW27">
        <v>1</v>
      </c>
      <c r="EX27">
        <v>1</v>
      </c>
      <c r="EY27">
        <v>0</v>
      </c>
      <c r="EZ27">
        <v>1</v>
      </c>
      <c r="FA27">
        <v>1</v>
      </c>
      <c r="FB27">
        <v>5.3</v>
      </c>
      <c r="FC27" t="s">
        <v>1278</v>
      </c>
      <c r="FD27">
        <v>6.85</v>
      </c>
    </row>
    <row r="28" spans="1:160" ht="24.95" customHeight="1" thickBot="1" x14ac:dyDescent="0.3">
      <c r="A28" s="29" t="str">
        <f t="shared" si="0"/>
        <v>27º</v>
      </c>
      <c r="B28" s="67" t="str">
        <f t="shared" si="118"/>
        <v>Jairo Vásquez</v>
      </c>
      <c r="C28" s="83" t="str">
        <f t="shared" si="119"/>
        <v>ARG</v>
      </c>
      <c r="D28" s="9" t="str">
        <f t="shared" si="120"/>
        <v>Camioneros (C. Olivia)</v>
      </c>
      <c r="E28" s="91" t="str">
        <f t="shared" si="121"/>
        <v>Pé Direito</v>
      </c>
      <c r="F28" s="155">
        <f t="shared" si="122"/>
        <v>1.76</v>
      </c>
      <c r="G28" s="35">
        <f t="shared" si="123"/>
        <v>46387</v>
      </c>
      <c r="H28" s="7">
        <f t="shared" si="124"/>
        <v>25</v>
      </c>
      <c r="I28" s="299" t="str">
        <f t="shared" si="125"/>
        <v>200 € - 330 € p/m</v>
      </c>
      <c r="J28" s="3" t="str">
        <f t="shared" si="126"/>
        <v>0 € - 4,5m €</v>
      </c>
      <c r="K28" s="89">
        <f t="shared" si="10"/>
        <v>31.398046398046404</v>
      </c>
      <c r="L28" s="133">
        <f t="shared" si="127"/>
        <v>39</v>
      </c>
      <c r="M28" s="134">
        <f t="shared" si="128"/>
        <v>39</v>
      </c>
      <c r="N28" s="134">
        <f t="shared" si="129"/>
        <v>90</v>
      </c>
      <c r="O28" s="173">
        <f t="shared" si="130"/>
        <v>1</v>
      </c>
      <c r="P28" s="402">
        <f t="shared" si="131"/>
        <v>15</v>
      </c>
      <c r="Q28" s="402">
        <f t="shared" si="132"/>
        <v>8</v>
      </c>
      <c r="R28" s="402">
        <f t="shared" si="133"/>
        <v>23</v>
      </c>
      <c r="S28" s="6">
        <f t="shared" si="134"/>
        <v>1</v>
      </c>
      <c r="T28" s="24">
        <f t="shared" si="135"/>
        <v>3510</v>
      </c>
      <c r="U28" s="21">
        <f t="shared" si="136"/>
        <v>2.564102564102564E-2</v>
      </c>
      <c r="V28" s="298">
        <f t="shared" si="137"/>
        <v>0</v>
      </c>
      <c r="W28" s="300">
        <f t="shared" si="138"/>
        <v>0</v>
      </c>
      <c r="X28" s="298">
        <f t="shared" si="139"/>
        <v>0</v>
      </c>
      <c r="Y28" s="300">
        <f t="shared" si="140"/>
        <v>0</v>
      </c>
      <c r="Z28" s="290">
        <f t="shared" si="141"/>
        <v>0</v>
      </c>
      <c r="AA28" s="298">
        <f t="shared" si="142"/>
        <v>0</v>
      </c>
      <c r="AB28" s="286">
        <f t="shared" si="143"/>
        <v>0</v>
      </c>
      <c r="AC28" s="286">
        <f t="shared" si="144"/>
        <v>0</v>
      </c>
      <c r="AD28" s="286">
        <f t="shared" si="145"/>
        <v>0</v>
      </c>
      <c r="AE28" s="21">
        <f t="shared" si="146"/>
        <v>9.9999999999999995E-8</v>
      </c>
      <c r="AF28" s="421">
        <f t="shared" si="147"/>
        <v>15</v>
      </c>
      <c r="AG28" s="421">
        <f t="shared" si="148"/>
        <v>8</v>
      </c>
      <c r="AH28" s="421">
        <f t="shared" si="149"/>
        <v>23</v>
      </c>
      <c r="AI28" s="421">
        <f t="shared" si="150"/>
        <v>15</v>
      </c>
      <c r="AJ28" s="420">
        <f t="shared" si="151"/>
        <v>0</v>
      </c>
      <c r="AK28" s="422">
        <f t="shared" si="152"/>
        <v>0.38461538461538464</v>
      </c>
      <c r="AL28" s="422">
        <f t="shared" si="153"/>
        <v>0.20512820512820512</v>
      </c>
      <c r="AM28" s="422">
        <f t="shared" si="154"/>
        <v>0.58974358974358976</v>
      </c>
      <c r="AN28" s="5">
        <f t="shared" si="155"/>
        <v>10.98</v>
      </c>
      <c r="AO28" s="5">
        <f t="shared" si="156"/>
        <v>10.98</v>
      </c>
      <c r="AP28" s="5">
        <f t="shared" si="157"/>
        <v>0.28153846153846157</v>
      </c>
      <c r="AQ28" s="5">
        <f t="shared" si="158"/>
        <v>2.14</v>
      </c>
      <c r="AR28" s="5">
        <f t="shared" si="159"/>
        <v>5.4871794871794874E-2</v>
      </c>
      <c r="AS28" s="5">
        <f t="shared" si="160"/>
        <v>13.120000000000001</v>
      </c>
      <c r="AT28" s="5">
        <f t="shared" si="161"/>
        <v>0.33641025641025646</v>
      </c>
      <c r="AU28" s="21">
        <f t="shared" si="162"/>
        <v>0.21104536489151873</v>
      </c>
      <c r="AV28" s="21">
        <f t="shared" si="163"/>
        <v>0.57736720554272514</v>
      </c>
      <c r="AW28" s="6">
        <f t="shared" si="164"/>
        <v>0</v>
      </c>
      <c r="AX28" s="6">
        <f t="shared" si="165"/>
        <v>0</v>
      </c>
      <c r="AY28" s="21">
        <f t="shared" si="166"/>
        <v>0</v>
      </c>
      <c r="AZ28" s="304">
        <f t="shared" si="167"/>
        <v>0</v>
      </c>
      <c r="BA28" s="305">
        <f t="shared" si="168"/>
        <v>0</v>
      </c>
      <c r="BB28" s="413">
        <f t="shared" si="169"/>
        <v>0.32100000000000001</v>
      </c>
      <c r="BC28" s="413">
        <f t="shared" si="170"/>
        <v>8.2307692307692307E-3</v>
      </c>
      <c r="BD28" s="6">
        <f t="shared" si="171"/>
        <v>780</v>
      </c>
      <c r="BE28" s="5">
        <f t="shared" si="172"/>
        <v>20</v>
      </c>
      <c r="BF28" s="6">
        <f t="shared" si="173"/>
        <v>469</v>
      </c>
      <c r="BG28" s="5">
        <f t="shared" si="174"/>
        <v>12.025641025641026</v>
      </c>
      <c r="BH28" s="21">
        <f t="shared" si="175"/>
        <v>0.60128205128205126</v>
      </c>
      <c r="BI28" s="417">
        <f t="shared" si="176"/>
        <v>311</v>
      </c>
      <c r="BJ28" s="418">
        <f t="shared" si="177"/>
        <v>7.9743589743589745</v>
      </c>
      <c r="BK28" s="195">
        <f t="shared" si="178"/>
        <v>0</v>
      </c>
      <c r="BL28" s="5">
        <f t="shared" si="179"/>
        <v>0</v>
      </c>
      <c r="BM28" s="21">
        <f t="shared" si="180"/>
        <v>0</v>
      </c>
      <c r="BN28" s="195">
        <f t="shared" si="181"/>
        <v>0</v>
      </c>
      <c r="BO28" s="185">
        <f t="shared" si="182"/>
        <v>0</v>
      </c>
      <c r="BP28" s="5">
        <f t="shared" si="183"/>
        <v>0</v>
      </c>
      <c r="BQ28" s="21">
        <f t="shared" si="184"/>
        <v>0</v>
      </c>
      <c r="BR28" s="5">
        <f t="shared" si="185"/>
        <v>-5.8599999999999994</v>
      </c>
      <c r="BS28" s="5">
        <f t="shared" si="186"/>
        <v>0</v>
      </c>
      <c r="BT28" s="24">
        <f t="shared" si="187"/>
        <v>0</v>
      </c>
      <c r="BU28" s="5">
        <f t="shared" si="188"/>
        <v>83.571428571428569</v>
      </c>
      <c r="BV28" s="5">
        <f t="shared" si="189"/>
        <v>4.0199999999999996</v>
      </c>
      <c r="BW28" s="5">
        <f t="shared" si="190"/>
        <v>4.0199999999999996</v>
      </c>
      <c r="BX28" s="6">
        <f t="shared" si="191"/>
        <v>89</v>
      </c>
      <c r="BY28" s="5">
        <f t="shared" si="192"/>
        <v>2.2820512820512819</v>
      </c>
      <c r="BZ28" s="6">
        <f t="shared" si="193"/>
        <v>47</v>
      </c>
      <c r="CA28" s="5">
        <f t="shared" si="194"/>
        <v>1.2051282051282051</v>
      </c>
      <c r="CB28" s="6">
        <f t="shared" si="195"/>
        <v>42</v>
      </c>
      <c r="CC28" s="5">
        <f t="shared" si="196"/>
        <v>1.0769230769230769</v>
      </c>
      <c r="CD28" s="5">
        <f t="shared" si="197"/>
        <v>1.0769230769230769</v>
      </c>
      <c r="CE28" s="21">
        <f t="shared" si="198"/>
        <v>0.47191011235955055</v>
      </c>
      <c r="CF28" s="5">
        <f t="shared" si="199"/>
        <v>5.9333333333333336</v>
      </c>
      <c r="CG28" s="5">
        <f t="shared" si="200"/>
        <v>2.8</v>
      </c>
      <c r="CH28" s="21">
        <f t="shared" si="201"/>
        <v>0.16853932584269662</v>
      </c>
      <c r="CI28" s="298">
        <f t="shared" si="202"/>
        <v>15</v>
      </c>
      <c r="CJ28" s="298">
        <f t="shared" si="203"/>
        <v>0</v>
      </c>
      <c r="CK28" s="298">
        <f t="shared" si="204"/>
        <v>0</v>
      </c>
      <c r="CL28" s="21">
        <f t="shared" si="205"/>
        <v>0</v>
      </c>
      <c r="CM28" s="6">
        <f t="shared" si="206"/>
        <v>0</v>
      </c>
      <c r="CN28" s="5">
        <f t="shared" si="207"/>
        <v>0</v>
      </c>
      <c r="CO28" s="167">
        <f t="shared" si="208"/>
        <v>89</v>
      </c>
      <c r="CP28" s="5">
        <f t="shared" si="209"/>
        <v>2.2820512820512819</v>
      </c>
      <c r="CQ28" s="6">
        <f t="shared" si="210"/>
        <v>42</v>
      </c>
      <c r="CR28" s="5">
        <f t="shared" si="211"/>
        <v>1.0769230769230769</v>
      </c>
      <c r="CS28" s="21">
        <f t="shared" si="212"/>
        <v>0.47191011235955055</v>
      </c>
      <c r="CT28" s="6">
        <f t="shared" si="213"/>
        <v>55.64</v>
      </c>
      <c r="CU28" s="5">
        <f t="shared" si="214"/>
        <v>1.4266666666666667</v>
      </c>
      <c r="CV28" s="6">
        <f t="shared" si="215"/>
        <v>61.39</v>
      </c>
      <c r="CW28" s="5">
        <f t="shared" si="216"/>
        <v>1.5741025641025641</v>
      </c>
      <c r="CX28" s="385">
        <f t="shared" si="217"/>
        <v>2.5988205128205126</v>
      </c>
      <c r="CY28" s="5">
        <f t="shared" si="218"/>
        <v>22.282051282051281</v>
      </c>
      <c r="CZ28" s="5">
        <f t="shared" si="219"/>
        <v>12.025641025641026</v>
      </c>
      <c r="DA28" s="6">
        <f t="shared" si="220"/>
        <v>0</v>
      </c>
      <c r="DB28" s="5">
        <f t="shared" si="221"/>
        <v>0</v>
      </c>
      <c r="DC28" s="6">
        <f t="shared" si="222"/>
        <v>89</v>
      </c>
      <c r="DD28" s="5">
        <f t="shared" si="223"/>
        <v>2.2820512820512819</v>
      </c>
      <c r="DE28" s="6">
        <f t="shared" si="224"/>
        <v>89</v>
      </c>
      <c r="DF28" s="5">
        <f t="shared" si="225"/>
        <v>2.2820512820512819</v>
      </c>
      <c r="DG28" s="6">
        <f t="shared" si="226"/>
        <v>358</v>
      </c>
      <c r="DH28" s="5">
        <f t="shared" si="227"/>
        <v>9.1794871794871788</v>
      </c>
      <c r="DI28" s="5">
        <f t="shared" si="228"/>
        <v>0</v>
      </c>
      <c r="DJ28" s="5">
        <f t="shared" si="229"/>
        <v>0</v>
      </c>
      <c r="DK28" s="5">
        <f t="shared" si="230"/>
        <v>0</v>
      </c>
      <c r="DL28" s="286">
        <f t="shared" si="231"/>
        <v>0</v>
      </c>
      <c r="DM28" s="287">
        <f t="shared" si="232"/>
        <v>0</v>
      </c>
      <c r="DN28" s="60">
        <f t="shared" si="233"/>
        <v>7.34</v>
      </c>
      <c r="DO28"/>
      <c r="DP28" t="s">
        <v>708</v>
      </c>
      <c r="DQ28" t="s">
        <v>1279</v>
      </c>
      <c r="DR28">
        <v>25</v>
      </c>
      <c r="DS28" t="s">
        <v>1280</v>
      </c>
      <c r="DT28" t="s">
        <v>545</v>
      </c>
      <c r="DU28" t="s">
        <v>573</v>
      </c>
      <c r="DV28" t="s">
        <v>1281</v>
      </c>
      <c r="DW28" t="s">
        <v>1282</v>
      </c>
      <c r="DX28" s="430">
        <v>46387</v>
      </c>
      <c r="DY28">
        <v>3510</v>
      </c>
      <c r="DZ28">
        <v>39</v>
      </c>
      <c r="EA28">
        <v>1</v>
      </c>
      <c r="EB28">
        <v>15</v>
      </c>
      <c r="EC28">
        <v>8</v>
      </c>
      <c r="ED28">
        <v>0</v>
      </c>
      <c r="EE28">
        <v>0</v>
      </c>
      <c r="EF28" t="s">
        <v>1268</v>
      </c>
      <c r="EG28" t="s">
        <v>1283</v>
      </c>
      <c r="EH28">
        <v>38</v>
      </c>
      <c r="EI28">
        <v>46</v>
      </c>
      <c r="EJ28">
        <v>780</v>
      </c>
      <c r="EK28">
        <v>469</v>
      </c>
      <c r="EL28">
        <v>0</v>
      </c>
      <c r="EM28">
        <v>0</v>
      </c>
      <c r="EN28">
        <v>0</v>
      </c>
      <c r="EO28">
        <v>89</v>
      </c>
      <c r="EP28">
        <v>42</v>
      </c>
      <c r="EQ28">
        <v>0</v>
      </c>
      <c r="ER28">
        <v>0</v>
      </c>
      <c r="ES28">
        <v>0</v>
      </c>
      <c r="ET28">
        <v>0</v>
      </c>
      <c r="EU28">
        <v>0</v>
      </c>
      <c r="EV28">
        <v>0</v>
      </c>
      <c r="EW28">
        <v>0</v>
      </c>
      <c r="EX28">
        <v>0</v>
      </c>
      <c r="EY28">
        <v>0</v>
      </c>
      <c r="EZ28">
        <v>0</v>
      </c>
      <c r="FA28">
        <v>0</v>
      </c>
      <c r="FB28">
        <v>0</v>
      </c>
      <c r="FC28" t="s">
        <v>1270</v>
      </c>
      <c r="FD28">
        <v>7.34</v>
      </c>
    </row>
    <row r="29" spans="1:160" ht="24.95" customHeight="1" thickBot="1" x14ac:dyDescent="0.3">
      <c r="A29" s="29" t="str">
        <f t="shared" si="0"/>
        <v>28º</v>
      </c>
      <c r="B29" s="67" t="str">
        <f t="shared" si="118"/>
        <v>Ignacio Russo</v>
      </c>
      <c r="C29" s="83" t="str">
        <f t="shared" si="119"/>
        <v>ARG</v>
      </c>
      <c r="D29" s="9" t="str">
        <f t="shared" si="120"/>
        <v>Tigre</v>
      </c>
      <c r="E29" s="91" t="str">
        <f t="shared" si="121"/>
        <v>Pé Direito</v>
      </c>
      <c r="F29" s="155">
        <f t="shared" si="122"/>
        <v>1.75</v>
      </c>
      <c r="G29" s="35">
        <f t="shared" si="123"/>
        <v>47118</v>
      </c>
      <c r="H29" s="7">
        <f t="shared" si="124"/>
        <v>26</v>
      </c>
      <c r="I29" s="299" t="str">
        <f t="shared" si="125"/>
        <v>19,25m € - 27,5m € p/m</v>
      </c>
      <c r="J29" s="3" t="str">
        <f t="shared" si="126"/>
        <v>7,8M € - 10,5M €</v>
      </c>
      <c r="K29" s="89">
        <f t="shared" si="10"/>
        <v>31.398046398046404</v>
      </c>
      <c r="L29" s="133">
        <f t="shared" si="127"/>
        <v>35.277777777777779</v>
      </c>
      <c r="M29" s="134">
        <f t="shared" si="128"/>
        <v>43</v>
      </c>
      <c r="N29" s="134">
        <f t="shared" si="129"/>
        <v>73.837209302325576</v>
      </c>
      <c r="O29" s="173">
        <f t="shared" si="130"/>
        <v>1</v>
      </c>
      <c r="P29" s="402">
        <f t="shared" si="131"/>
        <v>18</v>
      </c>
      <c r="Q29" s="402">
        <f t="shared" si="132"/>
        <v>5</v>
      </c>
      <c r="R29" s="402">
        <f t="shared" si="133"/>
        <v>23</v>
      </c>
      <c r="S29" s="6">
        <f t="shared" si="134"/>
        <v>4</v>
      </c>
      <c r="T29" s="24">
        <f t="shared" si="135"/>
        <v>793.75</v>
      </c>
      <c r="U29" s="21">
        <f t="shared" si="136"/>
        <v>0.11338582677165354</v>
      </c>
      <c r="V29" s="298">
        <f t="shared" si="137"/>
        <v>0</v>
      </c>
      <c r="W29" s="300">
        <f t="shared" si="138"/>
        <v>0</v>
      </c>
      <c r="X29" s="298">
        <f t="shared" si="139"/>
        <v>0</v>
      </c>
      <c r="Y29" s="300">
        <f t="shared" si="140"/>
        <v>0</v>
      </c>
      <c r="Z29" s="290">
        <f t="shared" si="141"/>
        <v>0</v>
      </c>
      <c r="AA29" s="298">
        <f t="shared" si="142"/>
        <v>0</v>
      </c>
      <c r="AB29" s="286">
        <f t="shared" si="143"/>
        <v>1</v>
      </c>
      <c r="AC29" s="286">
        <f t="shared" si="144"/>
        <v>1</v>
      </c>
      <c r="AD29" s="286">
        <f t="shared" si="145"/>
        <v>0</v>
      </c>
      <c r="AE29" s="21">
        <f t="shared" si="146"/>
        <v>1</v>
      </c>
      <c r="AF29" s="421">
        <f t="shared" si="147"/>
        <v>18</v>
      </c>
      <c r="AG29" s="421">
        <f t="shared" si="148"/>
        <v>5</v>
      </c>
      <c r="AH29" s="421">
        <f t="shared" si="149"/>
        <v>23</v>
      </c>
      <c r="AI29" s="421">
        <f t="shared" si="150"/>
        <v>17</v>
      </c>
      <c r="AJ29" s="420">
        <f t="shared" si="151"/>
        <v>2</v>
      </c>
      <c r="AK29" s="422">
        <f t="shared" si="152"/>
        <v>0.51023622047244088</v>
      </c>
      <c r="AL29" s="422">
        <f t="shared" si="153"/>
        <v>0.14173228346456693</v>
      </c>
      <c r="AM29" s="422">
        <f t="shared" si="154"/>
        <v>0.65196850393700789</v>
      </c>
      <c r="AN29" s="5">
        <f t="shared" si="155"/>
        <v>11.89</v>
      </c>
      <c r="AO29" s="5">
        <f t="shared" si="156"/>
        <v>11.100000000000001</v>
      </c>
      <c r="AP29" s="5">
        <f t="shared" si="157"/>
        <v>0.31464566929133864</v>
      </c>
      <c r="AQ29" s="5">
        <f t="shared" si="158"/>
        <v>4.46</v>
      </c>
      <c r="AR29" s="5">
        <f t="shared" si="159"/>
        <v>0.12642519685039369</v>
      </c>
      <c r="AS29" s="5">
        <f t="shared" si="160"/>
        <v>15.560000000000002</v>
      </c>
      <c r="AT29" s="5">
        <f t="shared" si="161"/>
        <v>0.44107086614173235</v>
      </c>
      <c r="AU29" s="21">
        <f t="shared" si="162"/>
        <v>0.47145877378435513</v>
      </c>
      <c r="AV29" s="21">
        <f t="shared" si="163"/>
        <v>0.60220809635329542</v>
      </c>
      <c r="AW29" s="6">
        <f t="shared" si="164"/>
        <v>18</v>
      </c>
      <c r="AX29" s="6">
        <f t="shared" si="165"/>
        <v>3</v>
      </c>
      <c r="AY29" s="21">
        <f t="shared" si="166"/>
        <v>0.16666666666666666</v>
      </c>
      <c r="AZ29" s="304">
        <f t="shared" si="167"/>
        <v>29</v>
      </c>
      <c r="BA29" s="305">
        <f t="shared" si="168"/>
        <v>0.82204724409448815</v>
      </c>
      <c r="BB29" s="413">
        <f t="shared" si="169"/>
        <v>17.068999999999999</v>
      </c>
      <c r="BC29" s="413">
        <f t="shared" si="170"/>
        <v>0.48384566929133854</v>
      </c>
      <c r="BD29" s="6">
        <f t="shared" si="171"/>
        <v>944</v>
      </c>
      <c r="BE29" s="5">
        <f t="shared" si="172"/>
        <v>26.759055118110236</v>
      </c>
      <c r="BF29" s="6">
        <f t="shared" si="173"/>
        <v>840</v>
      </c>
      <c r="BG29" s="5">
        <f t="shared" si="174"/>
        <v>23.811023622047244</v>
      </c>
      <c r="BH29" s="21">
        <f t="shared" si="175"/>
        <v>0.88983050847457623</v>
      </c>
      <c r="BI29" s="417">
        <f t="shared" si="176"/>
        <v>104</v>
      </c>
      <c r="BJ29" s="418">
        <f t="shared" si="177"/>
        <v>2.9480314960629919</v>
      </c>
      <c r="BK29" s="195">
        <f t="shared" si="178"/>
        <v>28</v>
      </c>
      <c r="BL29" s="5">
        <f t="shared" si="179"/>
        <v>0.79370078740157479</v>
      </c>
      <c r="BM29" s="21">
        <f t="shared" si="180"/>
        <v>2.9661016949152543E-2</v>
      </c>
      <c r="BN29" s="195">
        <f t="shared" si="181"/>
        <v>42</v>
      </c>
      <c r="BO29" s="185">
        <f t="shared" si="182"/>
        <v>1.1905511811023621</v>
      </c>
      <c r="BP29" s="5">
        <f t="shared" si="183"/>
        <v>8.4</v>
      </c>
      <c r="BQ29" s="21">
        <f t="shared" si="184"/>
        <v>0.11904761904761904</v>
      </c>
      <c r="BR29" s="5">
        <f t="shared" si="185"/>
        <v>-0.54</v>
      </c>
      <c r="BS29" s="5">
        <f t="shared" si="186"/>
        <v>0.1061904761904762</v>
      </c>
      <c r="BT29" s="24">
        <f t="shared" si="187"/>
        <v>75.595238095238102</v>
      </c>
      <c r="BU29" s="5">
        <f t="shared" si="188"/>
        <v>33.421052631578945</v>
      </c>
      <c r="BV29" s="5">
        <f t="shared" si="189"/>
        <v>6.1099999999999994</v>
      </c>
      <c r="BW29" s="5">
        <f t="shared" si="190"/>
        <v>5.3199999999999994</v>
      </c>
      <c r="BX29" s="6">
        <f t="shared" si="191"/>
        <v>92</v>
      </c>
      <c r="BY29" s="5">
        <f t="shared" si="192"/>
        <v>2.6078740157480316</v>
      </c>
      <c r="BZ29" s="6">
        <f t="shared" si="193"/>
        <v>47</v>
      </c>
      <c r="CA29" s="5">
        <f t="shared" si="194"/>
        <v>1.332283464566929</v>
      </c>
      <c r="CB29" s="6">
        <f t="shared" si="195"/>
        <v>46</v>
      </c>
      <c r="CC29" s="5">
        <f t="shared" si="196"/>
        <v>1.3039370078740158</v>
      </c>
      <c r="CD29" s="5">
        <f t="shared" si="197"/>
        <v>1.2755905511811023</v>
      </c>
      <c r="CE29" s="21">
        <f t="shared" si="198"/>
        <v>0.4891304347826087</v>
      </c>
      <c r="CF29" s="5">
        <f t="shared" si="199"/>
        <v>5.4117647058823533</v>
      </c>
      <c r="CG29" s="5">
        <f t="shared" si="200"/>
        <v>2.5555555555555554</v>
      </c>
      <c r="CH29" s="21">
        <f t="shared" si="201"/>
        <v>0.18478260869565216</v>
      </c>
      <c r="CI29" s="298">
        <f t="shared" si="202"/>
        <v>15</v>
      </c>
      <c r="CJ29" s="298">
        <f t="shared" si="203"/>
        <v>2</v>
      </c>
      <c r="CK29" s="298">
        <f t="shared" si="204"/>
        <v>1</v>
      </c>
      <c r="CL29" s="21">
        <f t="shared" si="205"/>
        <v>6.2992125984251968E-2</v>
      </c>
      <c r="CM29" s="6">
        <f t="shared" si="206"/>
        <v>15</v>
      </c>
      <c r="CN29" s="5">
        <f t="shared" si="207"/>
        <v>0.42519685039370075</v>
      </c>
      <c r="CO29" s="167">
        <f t="shared" si="208"/>
        <v>182</v>
      </c>
      <c r="CP29" s="5">
        <f t="shared" si="209"/>
        <v>5.1590551181102358</v>
      </c>
      <c r="CQ29" s="6">
        <f t="shared" si="210"/>
        <v>120</v>
      </c>
      <c r="CR29" s="5">
        <f t="shared" si="211"/>
        <v>3.401574803149606</v>
      </c>
      <c r="CS29" s="21">
        <f t="shared" si="212"/>
        <v>0.65934065934065933</v>
      </c>
      <c r="CT29" s="6">
        <f t="shared" si="213"/>
        <v>115.96000000000001</v>
      </c>
      <c r="CU29" s="5">
        <f t="shared" si="214"/>
        <v>3.2870551181102363</v>
      </c>
      <c r="CV29" s="6">
        <f t="shared" si="215"/>
        <v>119.71000000000001</v>
      </c>
      <c r="CW29" s="5">
        <f t="shared" si="216"/>
        <v>3.3933543307086618</v>
      </c>
      <c r="CX29" s="385">
        <f t="shared" si="217"/>
        <v>9.2339149606299209</v>
      </c>
      <c r="CY29" s="5">
        <f t="shared" si="218"/>
        <v>33.051968503937005</v>
      </c>
      <c r="CZ29" s="5">
        <f t="shared" si="219"/>
        <v>26.022047244094487</v>
      </c>
      <c r="DA29" s="6">
        <f t="shared" si="220"/>
        <v>70</v>
      </c>
      <c r="DB29" s="5">
        <f t="shared" si="221"/>
        <v>1.984251968503937</v>
      </c>
      <c r="DC29" s="6">
        <f t="shared" si="222"/>
        <v>217</v>
      </c>
      <c r="DD29" s="5">
        <f t="shared" si="223"/>
        <v>6.1511811023622043</v>
      </c>
      <c r="DE29" s="6">
        <f t="shared" si="224"/>
        <v>143</v>
      </c>
      <c r="DF29" s="5">
        <f t="shared" si="225"/>
        <v>4.0535433070866143</v>
      </c>
      <c r="DG29" s="6">
        <f t="shared" si="226"/>
        <v>166</v>
      </c>
      <c r="DH29" s="5">
        <f t="shared" si="227"/>
        <v>4.705511811023622</v>
      </c>
      <c r="DI29" s="5">
        <f t="shared" si="228"/>
        <v>15</v>
      </c>
      <c r="DJ29" s="5">
        <f t="shared" si="229"/>
        <v>379.5</v>
      </c>
      <c r="DK29" s="5">
        <f t="shared" si="230"/>
        <v>10.757480314960629</v>
      </c>
      <c r="DL29" s="286">
        <f t="shared" si="231"/>
        <v>215.19444444444443</v>
      </c>
      <c r="DM29" s="287">
        <f t="shared" si="232"/>
        <v>6.1</v>
      </c>
      <c r="DN29" s="60">
        <f t="shared" si="233"/>
        <v>6.94</v>
      </c>
      <c r="DO29"/>
      <c r="DP29" t="s">
        <v>708</v>
      </c>
      <c r="DQ29" t="s">
        <v>1284</v>
      </c>
      <c r="DR29">
        <v>26</v>
      </c>
      <c r="DS29" t="s">
        <v>1285</v>
      </c>
      <c r="DT29" t="s">
        <v>546</v>
      </c>
      <c r="DU29" t="s">
        <v>573</v>
      </c>
      <c r="DV29" t="s">
        <v>1286</v>
      </c>
      <c r="DW29" t="s">
        <v>1287</v>
      </c>
      <c r="DX29" s="430">
        <v>47118</v>
      </c>
      <c r="DY29">
        <v>3175</v>
      </c>
      <c r="DZ29">
        <v>43</v>
      </c>
      <c r="EA29">
        <v>4</v>
      </c>
      <c r="EB29">
        <v>18</v>
      </c>
      <c r="EC29">
        <v>5</v>
      </c>
      <c r="ED29">
        <v>8</v>
      </c>
      <c r="EE29">
        <v>15</v>
      </c>
      <c r="EF29" t="s">
        <v>1289</v>
      </c>
      <c r="EG29" t="s">
        <v>1290</v>
      </c>
      <c r="EH29">
        <v>36</v>
      </c>
      <c r="EI29">
        <v>55</v>
      </c>
      <c r="EJ29">
        <v>944</v>
      </c>
      <c r="EK29">
        <v>840</v>
      </c>
      <c r="EL29">
        <v>42</v>
      </c>
      <c r="EM29">
        <v>28</v>
      </c>
      <c r="EN29">
        <v>29</v>
      </c>
      <c r="EO29">
        <v>93</v>
      </c>
      <c r="EP29">
        <v>46</v>
      </c>
      <c r="EQ29">
        <v>68</v>
      </c>
      <c r="ER29">
        <v>15</v>
      </c>
      <c r="ES29">
        <v>18</v>
      </c>
      <c r="ET29">
        <v>3</v>
      </c>
      <c r="EU29">
        <v>18</v>
      </c>
      <c r="EV29">
        <v>3</v>
      </c>
      <c r="EW29">
        <v>2</v>
      </c>
      <c r="EX29">
        <v>0.9</v>
      </c>
      <c r="EY29">
        <v>0</v>
      </c>
      <c r="EZ29">
        <v>1</v>
      </c>
      <c r="FA29">
        <v>1</v>
      </c>
      <c r="FB29">
        <v>6.1</v>
      </c>
      <c r="FC29" t="s">
        <v>1291</v>
      </c>
      <c r="FD29">
        <v>6.94</v>
      </c>
    </row>
    <row r="30" spans="1:160" ht="24.95" customHeight="1" thickBot="1" x14ac:dyDescent="0.3">
      <c r="A30" s="29" t="str">
        <f t="shared" si="0"/>
        <v>29º</v>
      </c>
      <c r="B30" s="67" t="str">
        <f t="shared" si="118"/>
        <v>Alan Cantero</v>
      </c>
      <c r="C30" s="83" t="str">
        <f t="shared" si="119"/>
        <v>ARG</v>
      </c>
      <c r="D30" s="9" t="str">
        <f t="shared" si="120"/>
        <v>Alianza</v>
      </c>
      <c r="E30" s="91" t="str">
        <f t="shared" si="121"/>
        <v>Pé Preferido Desconhecido</v>
      </c>
      <c r="F30" s="155">
        <f t="shared" si="122"/>
        <v>1.82</v>
      </c>
      <c r="G30" s="35">
        <f t="shared" si="123"/>
        <v>47118</v>
      </c>
      <c r="H30" s="7">
        <f t="shared" si="124"/>
        <v>28</v>
      </c>
      <c r="I30" s="299" t="str">
        <f t="shared" si="125"/>
        <v>7m € - 11m € p/m</v>
      </c>
      <c r="J30" s="3" t="str">
        <f t="shared" si="126"/>
        <v>Desconhecido</v>
      </c>
      <c r="K30" s="89">
        <f t="shared" si="10"/>
        <v>31.398046398046404</v>
      </c>
      <c r="L30" s="133">
        <f t="shared" si="127"/>
        <v>26.977777777777778</v>
      </c>
      <c r="M30" s="134">
        <f t="shared" si="128"/>
        <v>33</v>
      </c>
      <c r="N30" s="134">
        <f t="shared" si="129"/>
        <v>73.575757575757578</v>
      </c>
      <c r="O30" s="173">
        <f t="shared" si="130"/>
        <v>0.94</v>
      </c>
      <c r="P30" s="402">
        <f t="shared" si="131"/>
        <v>11</v>
      </c>
      <c r="Q30" s="402">
        <f t="shared" si="132"/>
        <v>2</v>
      </c>
      <c r="R30" s="402">
        <f t="shared" si="133"/>
        <v>13</v>
      </c>
      <c r="S30" s="6">
        <f t="shared" si="134"/>
        <v>1</v>
      </c>
      <c r="T30" s="24">
        <f t="shared" si="135"/>
        <v>2428</v>
      </c>
      <c r="U30" s="21">
        <f t="shared" si="136"/>
        <v>3.7067545304777592E-2</v>
      </c>
      <c r="V30" s="298">
        <f t="shared" si="137"/>
        <v>0</v>
      </c>
      <c r="W30" s="300">
        <f t="shared" si="138"/>
        <v>0</v>
      </c>
      <c r="X30" s="298">
        <f t="shared" si="139"/>
        <v>0</v>
      </c>
      <c r="Y30" s="300">
        <f t="shared" si="140"/>
        <v>0</v>
      </c>
      <c r="Z30" s="290">
        <f t="shared" si="141"/>
        <v>0</v>
      </c>
      <c r="AA30" s="298">
        <f t="shared" si="142"/>
        <v>2</v>
      </c>
      <c r="AB30" s="286">
        <f t="shared" si="143"/>
        <v>0</v>
      </c>
      <c r="AC30" s="286">
        <f t="shared" si="144"/>
        <v>0</v>
      </c>
      <c r="AD30" s="286">
        <f t="shared" si="145"/>
        <v>0</v>
      </c>
      <c r="AE30" s="21">
        <f t="shared" si="146"/>
        <v>9.9999999999999995E-8</v>
      </c>
      <c r="AF30" s="421">
        <f t="shared" si="147"/>
        <v>11</v>
      </c>
      <c r="AG30" s="421">
        <f t="shared" si="148"/>
        <v>2</v>
      </c>
      <c r="AH30" s="421">
        <f t="shared" si="149"/>
        <v>13</v>
      </c>
      <c r="AI30" s="421">
        <f t="shared" si="150"/>
        <v>11</v>
      </c>
      <c r="AJ30" s="420">
        <f t="shared" si="151"/>
        <v>4</v>
      </c>
      <c r="AK30" s="422">
        <f t="shared" si="152"/>
        <v>0.40774299835255357</v>
      </c>
      <c r="AL30" s="422">
        <f t="shared" si="153"/>
        <v>7.4135090609555185E-2</v>
      </c>
      <c r="AM30" s="422">
        <f t="shared" si="154"/>
        <v>0.48187808896210871</v>
      </c>
      <c r="AN30" s="5">
        <f t="shared" si="155"/>
        <v>9.5500000000000007</v>
      </c>
      <c r="AO30" s="5">
        <f t="shared" si="156"/>
        <v>9.5500000000000007</v>
      </c>
      <c r="AP30" s="5">
        <f t="shared" si="157"/>
        <v>0.35399505766062606</v>
      </c>
      <c r="AQ30" s="5">
        <f t="shared" si="158"/>
        <v>4.12</v>
      </c>
      <c r="AR30" s="5">
        <f t="shared" si="159"/>
        <v>0.15271828665568368</v>
      </c>
      <c r="AS30" s="5">
        <f t="shared" si="160"/>
        <v>13.670000000000002</v>
      </c>
      <c r="AT30" s="5">
        <f t="shared" si="161"/>
        <v>0.50671334431630977</v>
      </c>
      <c r="AU30" s="21">
        <f t="shared" si="162"/>
        <v>0.67320261437908502</v>
      </c>
      <c r="AV30" s="21">
        <f t="shared" si="163"/>
        <v>0.53527980535279807</v>
      </c>
      <c r="AW30" s="6">
        <f t="shared" si="164"/>
        <v>12</v>
      </c>
      <c r="AX30" s="6">
        <f t="shared" si="165"/>
        <v>1</v>
      </c>
      <c r="AY30" s="21">
        <f t="shared" si="166"/>
        <v>8.3333333333333329E-2</v>
      </c>
      <c r="AZ30" s="304">
        <f t="shared" si="167"/>
        <v>16</v>
      </c>
      <c r="BA30" s="305">
        <f t="shared" si="168"/>
        <v>0.59308072487644148</v>
      </c>
      <c r="BB30" s="413">
        <f t="shared" si="169"/>
        <v>13.703000000000001</v>
      </c>
      <c r="BC30" s="413">
        <f t="shared" si="170"/>
        <v>0.50793657331136743</v>
      </c>
      <c r="BD30" s="6">
        <f t="shared" si="171"/>
        <v>742</v>
      </c>
      <c r="BE30" s="5">
        <f t="shared" si="172"/>
        <v>27.504118616144975</v>
      </c>
      <c r="BF30" s="6">
        <f t="shared" si="173"/>
        <v>663</v>
      </c>
      <c r="BG30" s="5">
        <f t="shared" si="174"/>
        <v>24.575782537067546</v>
      </c>
      <c r="BH30" s="21">
        <f t="shared" si="175"/>
        <v>0.89353099730458219</v>
      </c>
      <c r="BI30" s="417">
        <f t="shared" si="176"/>
        <v>79</v>
      </c>
      <c r="BJ30" s="418">
        <f t="shared" si="177"/>
        <v>2.9283360790774298</v>
      </c>
      <c r="BK30" s="195">
        <f t="shared" si="178"/>
        <v>36</v>
      </c>
      <c r="BL30" s="5">
        <f t="shared" si="179"/>
        <v>1.3344316309719935</v>
      </c>
      <c r="BM30" s="21">
        <f t="shared" si="180"/>
        <v>4.8517520215633422E-2</v>
      </c>
      <c r="BN30" s="195">
        <f t="shared" si="181"/>
        <v>41</v>
      </c>
      <c r="BO30" s="185">
        <f t="shared" si="182"/>
        <v>1.5197693574958815</v>
      </c>
      <c r="BP30" s="5">
        <f t="shared" si="183"/>
        <v>20.5</v>
      </c>
      <c r="BQ30" s="21">
        <f t="shared" si="184"/>
        <v>4.878048780487805E-2</v>
      </c>
      <c r="BR30" s="5">
        <f t="shared" si="185"/>
        <v>2.12</v>
      </c>
      <c r="BS30" s="5">
        <f t="shared" si="186"/>
        <v>0.10048780487804879</v>
      </c>
      <c r="BT30" s="24">
        <f t="shared" si="187"/>
        <v>59.219512195121951</v>
      </c>
      <c r="BU30" s="5">
        <f t="shared" si="188"/>
        <v>26.107526881720432</v>
      </c>
      <c r="BV30" s="5">
        <f t="shared" si="189"/>
        <v>1.4499999999999993</v>
      </c>
      <c r="BW30" s="5">
        <f t="shared" si="190"/>
        <v>1.4499999999999993</v>
      </c>
      <c r="BX30" s="6">
        <f t="shared" si="191"/>
        <v>97</v>
      </c>
      <c r="BY30" s="5">
        <f t="shared" si="192"/>
        <v>3.5955518945634268</v>
      </c>
      <c r="BZ30" s="6">
        <f t="shared" si="193"/>
        <v>49</v>
      </c>
      <c r="CA30" s="5">
        <f t="shared" si="194"/>
        <v>1.8163097199341021</v>
      </c>
      <c r="CB30" s="6">
        <f t="shared" si="195"/>
        <v>48</v>
      </c>
      <c r="CC30" s="5">
        <f t="shared" si="196"/>
        <v>1.7792421746293245</v>
      </c>
      <c r="CD30" s="5">
        <f t="shared" si="197"/>
        <v>1.7792421746293245</v>
      </c>
      <c r="CE30" s="21">
        <f t="shared" si="198"/>
        <v>0.49484536082474229</v>
      </c>
      <c r="CF30" s="5">
        <f t="shared" si="199"/>
        <v>8.8181818181818183</v>
      </c>
      <c r="CG30" s="5">
        <f t="shared" si="200"/>
        <v>4.3636363636363633</v>
      </c>
      <c r="CH30" s="21">
        <f t="shared" si="201"/>
        <v>0.1134020618556701</v>
      </c>
      <c r="CI30" s="298">
        <f t="shared" si="202"/>
        <v>7</v>
      </c>
      <c r="CJ30" s="298">
        <f t="shared" si="203"/>
        <v>4</v>
      </c>
      <c r="CK30" s="298">
        <f t="shared" si="204"/>
        <v>0</v>
      </c>
      <c r="CL30" s="21">
        <f t="shared" si="205"/>
        <v>0.14827018121911037</v>
      </c>
      <c r="CM30" s="6">
        <f t="shared" si="206"/>
        <v>18.7</v>
      </c>
      <c r="CN30" s="5">
        <f t="shared" si="207"/>
        <v>0.69316309719934099</v>
      </c>
      <c r="CO30" s="167">
        <f t="shared" si="208"/>
        <v>166</v>
      </c>
      <c r="CP30" s="5">
        <f t="shared" si="209"/>
        <v>6.1532125205930805</v>
      </c>
      <c r="CQ30" s="6">
        <f t="shared" si="210"/>
        <v>106</v>
      </c>
      <c r="CR30" s="5">
        <f t="shared" si="211"/>
        <v>3.9291598023064251</v>
      </c>
      <c r="CS30" s="21">
        <f t="shared" si="212"/>
        <v>0.63855421686746983</v>
      </c>
      <c r="CT30" s="6">
        <f t="shared" si="213"/>
        <v>108.62</v>
      </c>
      <c r="CU30" s="5">
        <f t="shared" si="214"/>
        <v>4.0262767710049427</v>
      </c>
      <c r="CV30" s="6">
        <f t="shared" si="215"/>
        <v>107.87</v>
      </c>
      <c r="CW30" s="5">
        <f t="shared" si="216"/>
        <v>3.9984761120263594</v>
      </c>
      <c r="CX30" s="385">
        <f t="shared" si="217"/>
        <v>10.576482701812191</v>
      </c>
      <c r="CY30" s="5">
        <f t="shared" si="218"/>
        <v>35.621911037891266</v>
      </c>
      <c r="CZ30" s="5">
        <f t="shared" si="219"/>
        <v>27.578253706754531</v>
      </c>
      <c r="DA30" s="6">
        <f t="shared" si="220"/>
        <v>77</v>
      </c>
      <c r="DB30" s="5">
        <f t="shared" si="221"/>
        <v>2.8542009884678747</v>
      </c>
      <c r="DC30" s="6">
        <f t="shared" si="222"/>
        <v>206</v>
      </c>
      <c r="DD30" s="5">
        <f t="shared" si="223"/>
        <v>7.6359143327841847</v>
      </c>
      <c r="DE30" s="6">
        <f t="shared" si="224"/>
        <v>142</v>
      </c>
      <c r="DF30" s="5">
        <f t="shared" si="225"/>
        <v>5.2635914332784184</v>
      </c>
      <c r="DG30" s="6">
        <f t="shared" si="226"/>
        <v>139</v>
      </c>
      <c r="DH30" s="5">
        <f t="shared" si="227"/>
        <v>5.1523887973640861</v>
      </c>
      <c r="DI30" s="5">
        <f t="shared" si="228"/>
        <v>18.7</v>
      </c>
      <c r="DJ30" s="5">
        <f t="shared" si="229"/>
        <v>280.2</v>
      </c>
      <c r="DK30" s="5">
        <f t="shared" si="230"/>
        <v>10.386326194398682</v>
      </c>
      <c r="DL30" s="286">
        <f t="shared" si="231"/>
        <v>218.51999999999998</v>
      </c>
      <c r="DM30" s="287">
        <f t="shared" si="232"/>
        <v>8.1</v>
      </c>
      <c r="DN30" s="60">
        <f t="shared" si="233"/>
        <v>6.89</v>
      </c>
      <c r="DO30" t="s">
        <v>888</v>
      </c>
      <c r="DP30" t="s">
        <v>708</v>
      </c>
      <c r="DQ30" t="s">
        <v>1292</v>
      </c>
      <c r="DR30">
        <v>28</v>
      </c>
      <c r="DS30" t="s">
        <v>1209</v>
      </c>
      <c r="DT30" t="s">
        <v>963</v>
      </c>
      <c r="DU30" t="s">
        <v>1201</v>
      </c>
      <c r="DV30" t="s">
        <v>1202</v>
      </c>
      <c r="DW30" t="s">
        <v>1293</v>
      </c>
      <c r="DX30" s="430">
        <v>47118</v>
      </c>
      <c r="DY30">
        <v>2428</v>
      </c>
      <c r="DZ30" t="s">
        <v>1294</v>
      </c>
      <c r="EA30">
        <v>1</v>
      </c>
      <c r="EB30">
        <v>11</v>
      </c>
      <c r="EC30">
        <v>2</v>
      </c>
      <c r="ED30">
        <v>4</v>
      </c>
      <c r="EE30">
        <v>18.7</v>
      </c>
      <c r="EF30" t="s">
        <v>1295</v>
      </c>
      <c r="EG30" t="s">
        <v>1296</v>
      </c>
      <c r="EH30">
        <v>19</v>
      </c>
      <c r="EI30">
        <v>48</v>
      </c>
      <c r="EJ30">
        <v>742</v>
      </c>
      <c r="EK30">
        <v>663</v>
      </c>
      <c r="EL30">
        <v>41</v>
      </c>
      <c r="EM30">
        <v>36</v>
      </c>
      <c r="EN30">
        <v>16</v>
      </c>
      <c r="EO30">
        <v>97</v>
      </c>
      <c r="EP30">
        <v>48</v>
      </c>
      <c r="EQ30">
        <v>51</v>
      </c>
      <c r="ER30">
        <v>21</v>
      </c>
      <c r="ES30">
        <v>12</v>
      </c>
      <c r="ET30">
        <v>1</v>
      </c>
      <c r="EU30">
        <v>12</v>
      </c>
      <c r="EV30">
        <v>1</v>
      </c>
      <c r="EW30">
        <v>4</v>
      </c>
      <c r="EX30">
        <v>1</v>
      </c>
      <c r="EY30">
        <v>2</v>
      </c>
      <c r="EZ30">
        <v>0</v>
      </c>
      <c r="FA30">
        <v>0</v>
      </c>
      <c r="FB30">
        <v>8.1</v>
      </c>
      <c r="FC30" t="s">
        <v>1297</v>
      </c>
      <c r="FD30">
        <v>6.89</v>
      </c>
    </row>
    <row r="31" spans="1:160" ht="24.95" customHeight="1" thickBot="1" x14ac:dyDescent="0.3">
      <c r="A31" s="29" t="str">
        <f t="shared" si="0"/>
        <v>30º</v>
      </c>
      <c r="B31" s="67" t="str">
        <f t="shared" si="118"/>
        <v>Leo Ceara</v>
      </c>
      <c r="C31" s="83" t="str">
        <f t="shared" si="119"/>
        <v>BRA</v>
      </c>
      <c r="D31" s="9" t="str">
        <f t="shared" si="120"/>
        <v>Kashima</v>
      </c>
      <c r="E31" s="91" t="str">
        <f t="shared" si="121"/>
        <v>Pé Direito</v>
      </c>
      <c r="F31" s="155">
        <f t="shared" si="122"/>
        <v>1.78</v>
      </c>
      <c r="G31" s="35">
        <f t="shared" si="123"/>
        <v>46934</v>
      </c>
      <c r="H31" s="7">
        <f t="shared" si="124"/>
        <v>31</v>
      </c>
      <c r="I31" s="299" t="str">
        <f t="shared" si="125"/>
        <v>103m € - 174m € p/m</v>
      </c>
      <c r="J31" s="3" t="str">
        <f t="shared" si="126"/>
        <v>Não está à venda</v>
      </c>
      <c r="K31" s="89">
        <f t="shared" si="10"/>
        <v>31.398046398046404</v>
      </c>
      <c r="L31" s="133">
        <f t="shared" si="127"/>
        <v>35.133333333333333</v>
      </c>
      <c r="M31" s="134">
        <f t="shared" si="128"/>
        <v>39</v>
      </c>
      <c r="N31" s="134">
        <f t="shared" si="129"/>
        <v>81.07692307692308</v>
      </c>
      <c r="O31" s="173">
        <f t="shared" si="130"/>
        <v>0.92</v>
      </c>
      <c r="P31" s="402">
        <f t="shared" si="131"/>
        <v>14</v>
      </c>
      <c r="Q31" s="402">
        <f t="shared" si="132"/>
        <v>1</v>
      </c>
      <c r="R31" s="402">
        <f t="shared" si="133"/>
        <v>15</v>
      </c>
      <c r="S31" s="6">
        <f t="shared" si="134"/>
        <v>1</v>
      </c>
      <c r="T31" s="24">
        <f t="shared" si="135"/>
        <v>3162</v>
      </c>
      <c r="U31" s="21">
        <f t="shared" si="136"/>
        <v>2.8462998102466795E-2</v>
      </c>
      <c r="V31" s="298">
        <f t="shared" si="137"/>
        <v>0</v>
      </c>
      <c r="W31" s="300">
        <f t="shared" si="138"/>
        <v>0</v>
      </c>
      <c r="X31" s="298">
        <f t="shared" si="139"/>
        <v>0</v>
      </c>
      <c r="Y31" s="300">
        <f t="shared" si="140"/>
        <v>0</v>
      </c>
      <c r="Z31" s="290">
        <f t="shared" si="141"/>
        <v>0</v>
      </c>
      <c r="AA31" s="298">
        <f t="shared" si="142"/>
        <v>0</v>
      </c>
      <c r="AB31" s="286">
        <f t="shared" si="143"/>
        <v>0</v>
      </c>
      <c r="AC31" s="286">
        <f t="shared" si="144"/>
        <v>0</v>
      </c>
      <c r="AD31" s="286">
        <f t="shared" si="145"/>
        <v>0</v>
      </c>
      <c r="AE31" s="21">
        <f t="shared" si="146"/>
        <v>9.9999999999999995E-8</v>
      </c>
      <c r="AF31" s="421">
        <f t="shared" si="147"/>
        <v>14</v>
      </c>
      <c r="AG31" s="421">
        <f t="shared" si="148"/>
        <v>1</v>
      </c>
      <c r="AH31" s="421">
        <f t="shared" si="149"/>
        <v>15</v>
      </c>
      <c r="AI31" s="421">
        <f t="shared" si="150"/>
        <v>14</v>
      </c>
      <c r="AJ31" s="420">
        <f t="shared" si="151"/>
        <v>1</v>
      </c>
      <c r="AK31" s="422">
        <f t="shared" si="152"/>
        <v>0.39848197343453512</v>
      </c>
      <c r="AL31" s="422">
        <f t="shared" si="153"/>
        <v>2.8462998102466795E-2</v>
      </c>
      <c r="AM31" s="422">
        <f t="shared" si="154"/>
        <v>0.42694497153700189</v>
      </c>
      <c r="AN31" s="5">
        <f t="shared" si="155"/>
        <v>13.56</v>
      </c>
      <c r="AO31" s="5">
        <f t="shared" si="156"/>
        <v>13.56</v>
      </c>
      <c r="AP31" s="5">
        <f t="shared" si="157"/>
        <v>0.38595825426944974</v>
      </c>
      <c r="AQ31" s="5">
        <f t="shared" si="158"/>
        <v>6.42</v>
      </c>
      <c r="AR31" s="5">
        <f t="shared" si="159"/>
        <v>0.18273244781783682</v>
      </c>
      <c r="AS31" s="5">
        <f t="shared" si="160"/>
        <v>19.98</v>
      </c>
      <c r="AT31" s="5">
        <f t="shared" si="161"/>
        <v>0.56869070208728656</v>
      </c>
      <c r="AU31" s="21">
        <f t="shared" si="162"/>
        <v>0.86522911051212936</v>
      </c>
      <c r="AV31" s="21">
        <f t="shared" si="163"/>
        <v>0.50798258345428149</v>
      </c>
      <c r="AW31" s="6">
        <f t="shared" si="164"/>
        <v>11</v>
      </c>
      <c r="AX31" s="6">
        <f t="shared" si="165"/>
        <v>6</v>
      </c>
      <c r="AY31" s="21">
        <f t="shared" si="166"/>
        <v>0.54545454545454541</v>
      </c>
      <c r="AZ31" s="304">
        <f t="shared" si="167"/>
        <v>16</v>
      </c>
      <c r="BA31" s="305">
        <f t="shared" si="168"/>
        <v>0.45540796963946872</v>
      </c>
      <c r="BB31" s="413">
        <f t="shared" si="169"/>
        <v>14.933</v>
      </c>
      <c r="BC31" s="413">
        <f t="shared" si="170"/>
        <v>0.42503795066413658</v>
      </c>
      <c r="BD31" s="6">
        <f t="shared" si="171"/>
        <v>962</v>
      </c>
      <c r="BE31" s="5">
        <f t="shared" si="172"/>
        <v>27.381404174573056</v>
      </c>
      <c r="BF31" s="6">
        <f t="shared" si="173"/>
        <v>845</v>
      </c>
      <c r="BG31" s="5">
        <f t="shared" si="174"/>
        <v>24.05123339658444</v>
      </c>
      <c r="BH31" s="21">
        <f t="shared" si="175"/>
        <v>0.8783783783783784</v>
      </c>
      <c r="BI31" s="417">
        <f t="shared" si="176"/>
        <v>117</v>
      </c>
      <c r="BJ31" s="418">
        <f t="shared" si="177"/>
        <v>3.3301707779886147</v>
      </c>
      <c r="BK31" s="195">
        <f t="shared" si="178"/>
        <v>26</v>
      </c>
      <c r="BL31" s="5">
        <f t="shared" si="179"/>
        <v>0.74003795066413658</v>
      </c>
      <c r="BM31" s="21">
        <f t="shared" si="180"/>
        <v>2.7027027027027029E-2</v>
      </c>
      <c r="BN31" s="195">
        <f t="shared" si="181"/>
        <v>36</v>
      </c>
      <c r="BO31" s="185">
        <f t="shared" si="182"/>
        <v>1.0246679316888045</v>
      </c>
      <c r="BP31" s="5">
        <f t="shared" si="183"/>
        <v>36</v>
      </c>
      <c r="BQ31" s="21">
        <f t="shared" si="184"/>
        <v>2.7777777777777776E-2</v>
      </c>
      <c r="BR31" s="5">
        <f t="shared" si="185"/>
        <v>5.42</v>
      </c>
      <c r="BS31" s="5">
        <f t="shared" si="186"/>
        <v>0.17833333333333334</v>
      </c>
      <c r="BT31" s="24">
        <f t="shared" si="187"/>
        <v>87.833333333333329</v>
      </c>
      <c r="BU31" s="5">
        <f t="shared" si="188"/>
        <v>30.403846153846153</v>
      </c>
      <c r="BV31" s="5">
        <f t="shared" si="189"/>
        <v>0.4399999999999995</v>
      </c>
      <c r="BW31" s="5">
        <f t="shared" si="190"/>
        <v>0.4399999999999995</v>
      </c>
      <c r="BX31" s="6">
        <f t="shared" si="191"/>
        <v>118</v>
      </c>
      <c r="BY31" s="5">
        <f t="shared" si="192"/>
        <v>3.3586337760910818</v>
      </c>
      <c r="BZ31" s="6">
        <f t="shared" si="193"/>
        <v>59</v>
      </c>
      <c r="CA31" s="5">
        <f t="shared" si="194"/>
        <v>1.6793168880455409</v>
      </c>
      <c r="CB31" s="6">
        <f t="shared" si="195"/>
        <v>59</v>
      </c>
      <c r="CC31" s="5">
        <f t="shared" si="196"/>
        <v>1.6793168880455409</v>
      </c>
      <c r="CD31" s="5">
        <f t="shared" si="197"/>
        <v>1.6793168880455409</v>
      </c>
      <c r="CE31" s="21">
        <f t="shared" si="198"/>
        <v>0.5</v>
      </c>
      <c r="CF31" s="5">
        <f t="shared" si="199"/>
        <v>8.4285714285714288</v>
      </c>
      <c r="CG31" s="5">
        <f t="shared" si="200"/>
        <v>4.2142857142857144</v>
      </c>
      <c r="CH31" s="21">
        <f t="shared" si="201"/>
        <v>0.11864406779661017</v>
      </c>
      <c r="CI31" s="298">
        <f t="shared" si="202"/>
        <v>13</v>
      </c>
      <c r="CJ31" s="298">
        <f t="shared" si="203"/>
        <v>1</v>
      </c>
      <c r="CK31" s="298">
        <f t="shared" si="204"/>
        <v>0</v>
      </c>
      <c r="CL31" s="21">
        <f t="shared" si="205"/>
        <v>2.8462998102466795E-2</v>
      </c>
      <c r="CM31" s="6">
        <f t="shared" si="206"/>
        <v>16.399999999999999</v>
      </c>
      <c r="CN31" s="5">
        <f t="shared" si="207"/>
        <v>0.46679316888045536</v>
      </c>
      <c r="CO31" s="167">
        <f t="shared" si="208"/>
        <v>181</v>
      </c>
      <c r="CP31" s="5">
        <f t="shared" si="209"/>
        <v>5.1518026565464901</v>
      </c>
      <c r="CQ31" s="6">
        <f t="shared" si="210"/>
        <v>117</v>
      </c>
      <c r="CR31" s="5">
        <f t="shared" si="211"/>
        <v>3.3301707779886147</v>
      </c>
      <c r="CS31" s="21">
        <f t="shared" si="212"/>
        <v>0.64640883977900554</v>
      </c>
      <c r="CT31" s="6">
        <f t="shared" si="213"/>
        <v>124.92</v>
      </c>
      <c r="CU31" s="5">
        <f t="shared" si="214"/>
        <v>3.5555977229601519</v>
      </c>
      <c r="CV31" s="6">
        <f t="shared" si="215"/>
        <v>127.67</v>
      </c>
      <c r="CW31" s="5">
        <f t="shared" si="216"/>
        <v>3.6338709677419354</v>
      </c>
      <c r="CX31" s="385">
        <f t="shared" si="217"/>
        <v>8.9350474383301712</v>
      </c>
      <c r="CY31" s="5">
        <f t="shared" si="218"/>
        <v>34.155597722960152</v>
      </c>
      <c r="CZ31" s="5">
        <f t="shared" si="219"/>
        <v>26.072106261859584</v>
      </c>
      <c r="DA31" s="6">
        <f t="shared" si="220"/>
        <v>62</v>
      </c>
      <c r="DB31" s="5">
        <f t="shared" si="221"/>
        <v>1.7647058823529411</v>
      </c>
      <c r="DC31" s="6">
        <f t="shared" si="222"/>
        <v>216</v>
      </c>
      <c r="DD31" s="5">
        <f t="shared" si="223"/>
        <v>6.1480075901328277</v>
      </c>
      <c r="DE31" s="6">
        <f t="shared" si="224"/>
        <v>163</v>
      </c>
      <c r="DF31" s="5">
        <f t="shared" si="225"/>
        <v>4.6394686907020875</v>
      </c>
      <c r="DG31" s="6">
        <f t="shared" si="226"/>
        <v>181</v>
      </c>
      <c r="DH31" s="5">
        <f t="shared" si="227"/>
        <v>5.1518026565464901</v>
      </c>
      <c r="DI31" s="5">
        <f t="shared" si="228"/>
        <v>16.399999999999999</v>
      </c>
      <c r="DJ31" s="5">
        <f t="shared" si="229"/>
        <v>358.6</v>
      </c>
      <c r="DK31" s="5">
        <f t="shared" si="230"/>
        <v>10.206831119544592</v>
      </c>
      <c r="DL31" s="286">
        <f t="shared" si="231"/>
        <v>221.34</v>
      </c>
      <c r="DM31" s="287">
        <f t="shared" si="232"/>
        <v>6.3</v>
      </c>
      <c r="DN31" s="60">
        <f t="shared" si="233"/>
        <v>6.88</v>
      </c>
      <c r="DO31"/>
      <c r="DP31" t="s">
        <v>13</v>
      </c>
      <c r="DQ31" t="s">
        <v>1298</v>
      </c>
      <c r="DR31">
        <v>31</v>
      </c>
      <c r="DS31" t="s">
        <v>1299</v>
      </c>
      <c r="DT31" t="s">
        <v>524</v>
      </c>
      <c r="DU31" t="s">
        <v>573</v>
      </c>
      <c r="DV31" t="s">
        <v>394</v>
      </c>
      <c r="DW31" t="s">
        <v>1300</v>
      </c>
      <c r="DX31" s="430">
        <v>46934</v>
      </c>
      <c r="DY31">
        <v>3162</v>
      </c>
      <c r="DZ31" t="s">
        <v>1301</v>
      </c>
      <c r="EA31">
        <v>1</v>
      </c>
      <c r="EB31">
        <v>14</v>
      </c>
      <c r="EC31">
        <v>1</v>
      </c>
      <c r="ED31">
        <v>9</v>
      </c>
      <c r="EE31">
        <v>16.399999999999999</v>
      </c>
      <c r="EF31" t="s">
        <v>1302</v>
      </c>
      <c r="EG31" t="s">
        <v>1303</v>
      </c>
      <c r="EH31">
        <v>37</v>
      </c>
      <c r="EI31">
        <v>60</v>
      </c>
      <c r="EJ31">
        <v>962</v>
      </c>
      <c r="EK31">
        <v>845</v>
      </c>
      <c r="EL31">
        <v>36</v>
      </c>
      <c r="EM31">
        <v>26</v>
      </c>
      <c r="EN31">
        <v>16</v>
      </c>
      <c r="EO31">
        <v>118</v>
      </c>
      <c r="EP31">
        <v>59</v>
      </c>
      <c r="EQ31">
        <v>62</v>
      </c>
      <c r="ER31">
        <v>21</v>
      </c>
      <c r="ES31">
        <v>11</v>
      </c>
      <c r="ET31">
        <v>6</v>
      </c>
      <c r="EU31">
        <v>11</v>
      </c>
      <c r="EV31">
        <v>6</v>
      </c>
      <c r="EW31">
        <v>1</v>
      </c>
      <c r="EX31">
        <v>1</v>
      </c>
      <c r="EY31">
        <v>0</v>
      </c>
      <c r="EZ31">
        <v>0</v>
      </c>
      <c r="FA31">
        <v>0</v>
      </c>
      <c r="FB31">
        <v>6.3</v>
      </c>
      <c r="FC31" t="s">
        <v>1304</v>
      </c>
      <c r="FD31">
        <v>6.88</v>
      </c>
    </row>
    <row r="32" spans="1:160" ht="24.95" customHeight="1" thickBot="1" x14ac:dyDescent="0.3">
      <c r="A32" s="29" t="str">
        <f t="shared" si="0"/>
        <v>31º</v>
      </c>
      <c r="B32" s="67" t="str">
        <f t="shared" si="118"/>
        <v>Rafael Ratão</v>
      </c>
      <c r="C32" s="83" t="str">
        <f t="shared" si="119"/>
        <v>BRA</v>
      </c>
      <c r="D32" s="9" t="str">
        <f t="shared" si="120"/>
        <v>SH Shenhua</v>
      </c>
      <c r="E32" s="91" t="str">
        <f t="shared" si="121"/>
        <v>Pé Preferido Desconhecido</v>
      </c>
      <c r="F32" s="155">
        <f t="shared" si="122"/>
        <v>1.77</v>
      </c>
      <c r="G32" s="35">
        <f t="shared" si="123"/>
        <v>47118</v>
      </c>
      <c r="H32" s="7">
        <f t="shared" si="124"/>
        <v>31</v>
      </c>
      <c r="I32" s="299" t="str">
        <f t="shared" si="125"/>
        <v>51,5m € - 81m € p/m</v>
      </c>
      <c r="J32" s="3" t="str">
        <f t="shared" si="126"/>
        <v>Não está à venda</v>
      </c>
      <c r="K32" s="89">
        <f t="shared" si="10"/>
        <v>31.398046398046404</v>
      </c>
      <c r="L32" s="133">
        <f t="shared" si="127"/>
        <v>36.799999999999997</v>
      </c>
      <c r="M32" s="134">
        <f t="shared" si="128"/>
        <v>38</v>
      </c>
      <c r="N32" s="134">
        <f t="shared" si="129"/>
        <v>87.15789473684211</v>
      </c>
      <c r="O32" s="173">
        <f t="shared" si="130"/>
        <v>1</v>
      </c>
      <c r="P32" s="402">
        <f t="shared" si="131"/>
        <v>12</v>
      </c>
      <c r="Q32" s="402">
        <f t="shared" si="132"/>
        <v>6</v>
      </c>
      <c r="R32" s="402">
        <f t="shared" si="133"/>
        <v>18</v>
      </c>
      <c r="S32" s="6">
        <f t="shared" si="134"/>
        <v>1</v>
      </c>
      <c r="T32" s="24">
        <f t="shared" si="135"/>
        <v>3312</v>
      </c>
      <c r="U32" s="21">
        <f t="shared" si="136"/>
        <v>2.7173913043478264E-2</v>
      </c>
      <c r="V32" s="298">
        <f t="shared" si="137"/>
        <v>0</v>
      </c>
      <c r="W32" s="300">
        <f t="shared" si="138"/>
        <v>0</v>
      </c>
      <c r="X32" s="298">
        <f t="shared" si="139"/>
        <v>0</v>
      </c>
      <c r="Y32" s="300">
        <f t="shared" si="140"/>
        <v>0</v>
      </c>
      <c r="Z32" s="290">
        <f t="shared" si="141"/>
        <v>0</v>
      </c>
      <c r="AA32" s="298">
        <f t="shared" si="142"/>
        <v>0</v>
      </c>
      <c r="AB32" s="286">
        <f t="shared" si="143"/>
        <v>0</v>
      </c>
      <c r="AC32" s="286">
        <f t="shared" si="144"/>
        <v>0</v>
      </c>
      <c r="AD32" s="286">
        <f t="shared" si="145"/>
        <v>0</v>
      </c>
      <c r="AE32" s="21">
        <f t="shared" si="146"/>
        <v>9.9999999999999995E-8</v>
      </c>
      <c r="AF32" s="421">
        <f t="shared" si="147"/>
        <v>12</v>
      </c>
      <c r="AG32" s="421">
        <f t="shared" si="148"/>
        <v>6</v>
      </c>
      <c r="AH32" s="421">
        <f t="shared" si="149"/>
        <v>18</v>
      </c>
      <c r="AI32" s="421">
        <f t="shared" si="150"/>
        <v>12</v>
      </c>
      <c r="AJ32" s="420">
        <f t="shared" si="151"/>
        <v>0</v>
      </c>
      <c r="AK32" s="422">
        <f t="shared" si="152"/>
        <v>0.32608695652173914</v>
      </c>
      <c r="AL32" s="422">
        <f t="shared" si="153"/>
        <v>0.16304347826086957</v>
      </c>
      <c r="AM32" s="422">
        <f t="shared" si="154"/>
        <v>0.48913043478260876</v>
      </c>
      <c r="AN32" s="5">
        <f t="shared" si="155"/>
        <v>9.9</v>
      </c>
      <c r="AO32" s="5">
        <f t="shared" si="156"/>
        <v>9.9</v>
      </c>
      <c r="AP32" s="5">
        <f t="shared" si="157"/>
        <v>0.26902173913043481</v>
      </c>
      <c r="AQ32" s="5">
        <f t="shared" si="158"/>
        <v>6.89</v>
      </c>
      <c r="AR32" s="5">
        <f t="shared" si="159"/>
        <v>0.18722826086956523</v>
      </c>
      <c r="AS32" s="5">
        <f t="shared" si="160"/>
        <v>16.79</v>
      </c>
      <c r="AT32" s="5">
        <f t="shared" si="161"/>
        <v>0.45624999999999999</v>
      </c>
      <c r="AU32" s="21">
        <f t="shared" si="162"/>
        <v>0.53452288595810704</v>
      </c>
      <c r="AV32" s="21">
        <f t="shared" si="163"/>
        <v>0.54794520547945214</v>
      </c>
      <c r="AW32" s="6">
        <f t="shared" si="164"/>
        <v>44</v>
      </c>
      <c r="AX32" s="6">
        <f t="shared" si="165"/>
        <v>11</v>
      </c>
      <c r="AY32" s="21">
        <f t="shared" si="166"/>
        <v>0.25</v>
      </c>
      <c r="AZ32" s="304">
        <f t="shared" si="167"/>
        <v>67</v>
      </c>
      <c r="BA32" s="305">
        <f t="shared" si="168"/>
        <v>1.8206521739130437</v>
      </c>
      <c r="BB32" s="413">
        <f t="shared" si="169"/>
        <v>20.853499999999997</v>
      </c>
      <c r="BC32" s="413">
        <f t="shared" si="170"/>
        <v>0.56667119565217394</v>
      </c>
      <c r="BD32" s="6">
        <f t="shared" si="171"/>
        <v>1199</v>
      </c>
      <c r="BE32" s="5">
        <f t="shared" si="172"/>
        <v>32.581521739130437</v>
      </c>
      <c r="BF32" s="6">
        <f t="shared" si="173"/>
        <v>974</v>
      </c>
      <c r="BG32" s="5">
        <f t="shared" si="174"/>
        <v>26.467391304347828</v>
      </c>
      <c r="BH32" s="21">
        <f t="shared" si="175"/>
        <v>0.81234361968306923</v>
      </c>
      <c r="BI32" s="417">
        <f t="shared" si="176"/>
        <v>225</v>
      </c>
      <c r="BJ32" s="418">
        <f t="shared" si="177"/>
        <v>6.1141304347826093</v>
      </c>
      <c r="BK32" s="195">
        <f t="shared" si="178"/>
        <v>59</v>
      </c>
      <c r="BL32" s="5">
        <f t="shared" si="179"/>
        <v>1.6032608695652175</v>
      </c>
      <c r="BM32" s="21">
        <f t="shared" si="180"/>
        <v>4.9207673060884069E-2</v>
      </c>
      <c r="BN32" s="195">
        <f t="shared" si="181"/>
        <v>30</v>
      </c>
      <c r="BO32" s="185">
        <f t="shared" si="182"/>
        <v>0.81521739130434789</v>
      </c>
      <c r="BP32" s="5">
        <f t="shared" si="183"/>
        <v>5</v>
      </c>
      <c r="BQ32" s="21">
        <f t="shared" si="184"/>
        <v>0.2</v>
      </c>
      <c r="BR32" s="5">
        <f t="shared" si="185"/>
        <v>0.88999999999999968</v>
      </c>
      <c r="BS32" s="5">
        <f t="shared" si="186"/>
        <v>0.22966666666666666</v>
      </c>
      <c r="BT32" s="24">
        <f t="shared" si="187"/>
        <v>110.4</v>
      </c>
      <c r="BU32" s="5">
        <f t="shared" si="188"/>
        <v>43.578947368421055</v>
      </c>
      <c r="BV32" s="5">
        <f t="shared" si="189"/>
        <v>2.0999999999999996</v>
      </c>
      <c r="BW32" s="5">
        <f t="shared" si="190"/>
        <v>2.0999999999999996</v>
      </c>
      <c r="BX32" s="6">
        <f t="shared" si="191"/>
        <v>88</v>
      </c>
      <c r="BY32" s="5">
        <f t="shared" si="192"/>
        <v>2.3913043478260874</v>
      </c>
      <c r="BZ32" s="6">
        <f t="shared" si="193"/>
        <v>46</v>
      </c>
      <c r="CA32" s="5">
        <f t="shared" si="194"/>
        <v>1.25</v>
      </c>
      <c r="CB32" s="6">
        <f t="shared" si="195"/>
        <v>42</v>
      </c>
      <c r="CC32" s="5">
        <f t="shared" si="196"/>
        <v>1.1413043478260871</v>
      </c>
      <c r="CD32" s="5">
        <f t="shared" si="197"/>
        <v>1.1413043478260871</v>
      </c>
      <c r="CE32" s="21">
        <f t="shared" si="198"/>
        <v>0.47727272727272729</v>
      </c>
      <c r="CF32" s="5">
        <f t="shared" si="199"/>
        <v>7.333333333333333</v>
      </c>
      <c r="CG32" s="5">
        <f t="shared" si="200"/>
        <v>3.5</v>
      </c>
      <c r="CH32" s="21">
        <f t="shared" si="201"/>
        <v>0.13636363636363635</v>
      </c>
      <c r="CI32" s="298">
        <f t="shared" si="202"/>
        <v>12</v>
      </c>
      <c r="CJ32" s="298">
        <f t="shared" si="203"/>
        <v>0</v>
      </c>
      <c r="CK32" s="298">
        <f t="shared" si="204"/>
        <v>0</v>
      </c>
      <c r="CL32" s="21">
        <f t="shared" si="205"/>
        <v>0</v>
      </c>
      <c r="CM32" s="6">
        <f t="shared" si="206"/>
        <v>10.4</v>
      </c>
      <c r="CN32" s="5">
        <f t="shared" si="207"/>
        <v>0.28260869565217395</v>
      </c>
      <c r="CO32" s="167">
        <f t="shared" si="208"/>
        <v>229</v>
      </c>
      <c r="CP32" s="5">
        <f t="shared" si="209"/>
        <v>6.2228260869565224</v>
      </c>
      <c r="CQ32" s="6">
        <f t="shared" si="210"/>
        <v>150</v>
      </c>
      <c r="CR32" s="5">
        <f t="shared" si="211"/>
        <v>4.0760869565217392</v>
      </c>
      <c r="CS32" s="21">
        <f t="shared" si="212"/>
        <v>0.65502183406113534</v>
      </c>
      <c r="CT32" s="6">
        <f t="shared" si="213"/>
        <v>102.89</v>
      </c>
      <c r="CU32" s="5">
        <f t="shared" si="214"/>
        <v>2.7959239130434783</v>
      </c>
      <c r="CV32" s="6">
        <f t="shared" si="215"/>
        <v>107.39</v>
      </c>
      <c r="CW32" s="5">
        <f t="shared" si="216"/>
        <v>2.9182065217391306</v>
      </c>
      <c r="CX32" s="385">
        <f t="shared" si="217"/>
        <v>9.5713315217391308</v>
      </c>
      <c r="CY32" s="5">
        <f t="shared" si="218"/>
        <v>40.951086956521742</v>
      </c>
      <c r="CZ32" s="5">
        <f t="shared" si="219"/>
        <v>28.994565217391308</v>
      </c>
      <c r="DA32" s="6">
        <f t="shared" si="220"/>
        <v>89</v>
      </c>
      <c r="DB32" s="5">
        <f t="shared" si="221"/>
        <v>2.4184782608695654</v>
      </c>
      <c r="DC32" s="6">
        <f t="shared" si="222"/>
        <v>292</v>
      </c>
      <c r="DD32" s="5">
        <f t="shared" si="223"/>
        <v>7.9347826086956532</v>
      </c>
      <c r="DE32" s="6">
        <f t="shared" si="224"/>
        <v>122</v>
      </c>
      <c r="DF32" s="5">
        <f t="shared" si="225"/>
        <v>3.3152173913043481</v>
      </c>
      <c r="DG32" s="6">
        <f t="shared" si="226"/>
        <v>304</v>
      </c>
      <c r="DH32" s="5">
        <f t="shared" si="227"/>
        <v>8.2608695652173925</v>
      </c>
      <c r="DI32" s="5">
        <f t="shared" si="228"/>
        <v>10.4</v>
      </c>
      <c r="DJ32" s="5">
        <f t="shared" si="229"/>
        <v>222.1</v>
      </c>
      <c r="DK32" s="5">
        <f t="shared" si="230"/>
        <v>6.0353260869565224</v>
      </c>
      <c r="DL32" s="286">
        <f t="shared" si="231"/>
        <v>268.64</v>
      </c>
      <c r="DM32" s="287">
        <f t="shared" si="232"/>
        <v>7.3</v>
      </c>
      <c r="DN32" s="60">
        <f t="shared" si="233"/>
        <v>7.4</v>
      </c>
      <c r="DO32"/>
      <c r="DP32" t="s">
        <v>13</v>
      </c>
      <c r="DQ32" t="s">
        <v>1305</v>
      </c>
      <c r="DR32">
        <v>31</v>
      </c>
      <c r="DS32" t="s">
        <v>1306</v>
      </c>
      <c r="DT32" t="s">
        <v>605</v>
      </c>
      <c r="DU32" t="s">
        <v>1201</v>
      </c>
      <c r="DV32" t="s">
        <v>394</v>
      </c>
      <c r="DW32" t="s">
        <v>1307</v>
      </c>
      <c r="DX32" s="430">
        <v>47118</v>
      </c>
      <c r="DY32">
        <v>3312</v>
      </c>
      <c r="DZ32">
        <v>38</v>
      </c>
      <c r="EA32">
        <v>1</v>
      </c>
      <c r="EB32">
        <v>12</v>
      </c>
      <c r="EC32">
        <v>6</v>
      </c>
      <c r="ED32">
        <v>4</v>
      </c>
      <c r="EE32">
        <v>10.4</v>
      </c>
      <c r="EF32" t="s">
        <v>1308</v>
      </c>
      <c r="EG32" t="s">
        <v>1309</v>
      </c>
      <c r="EH32">
        <v>31</v>
      </c>
      <c r="EI32">
        <v>42</v>
      </c>
      <c r="EJ32">
        <v>1199</v>
      </c>
      <c r="EK32">
        <v>974</v>
      </c>
      <c r="EL32">
        <v>30</v>
      </c>
      <c r="EM32">
        <v>59</v>
      </c>
      <c r="EN32">
        <v>67</v>
      </c>
      <c r="EO32">
        <v>88</v>
      </c>
      <c r="EP32">
        <v>42</v>
      </c>
      <c r="EQ32">
        <v>172</v>
      </c>
      <c r="ER32">
        <v>38</v>
      </c>
      <c r="ES32">
        <v>44</v>
      </c>
      <c r="ET32">
        <v>11</v>
      </c>
      <c r="EU32">
        <v>44</v>
      </c>
      <c r="EV32">
        <v>11</v>
      </c>
      <c r="EW32">
        <v>0</v>
      </c>
      <c r="EX32">
        <v>0.2</v>
      </c>
      <c r="EY32">
        <v>0</v>
      </c>
      <c r="EZ32">
        <v>0</v>
      </c>
      <c r="FA32">
        <v>0</v>
      </c>
      <c r="FB32">
        <v>7.3</v>
      </c>
      <c r="FC32" t="s">
        <v>1310</v>
      </c>
      <c r="FD32">
        <v>7.4</v>
      </c>
    </row>
    <row r="33" spans="1:160" ht="24.95" customHeight="1" thickBot="1" x14ac:dyDescent="0.3">
      <c r="A33" s="29" t="str">
        <f t="shared" si="0"/>
        <v>32º</v>
      </c>
      <c r="B33" s="67" t="str">
        <f t="shared" si="118"/>
        <v>Cryzan</v>
      </c>
      <c r="C33" s="83" t="str">
        <f t="shared" si="119"/>
        <v>BRA</v>
      </c>
      <c r="D33" s="9" t="str">
        <f t="shared" si="120"/>
        <v>Shandong</v>
      </c>
      <c r="E33" s="91" t="str">
        <f t="shared" si="121"/>
        <v>Pé Preferido Desconhecido</v>
      </c>
      <c r="F33" s="155">
        <f t="shared" si="122"/>
        <v>1.82</v>
      </c>
      <c r="G33" s="35">
        <f t="shared" si="123"/>
        <v>47483</v>
      </c>
      <c r="H33" s="7">
        <f t="shared" si="124"/>
        <v>30</v>
      </c>
      <c r="I33" s="299" t="str">
        <f t="shared" si="125"/>
        <v>178m € - 267m € p/m</v>
      </c>
      <c r="J33" s="3" t="str">
        <f t="shared" si="126"/>
        <v>Desconhecido</v>
      </c>
      <c r="K33" s="89">
        <f t="shared" si="10"/>
        <v>31.398046398046404</v>
      </c>
      <c r="L33" s="133">
        <f t="shared" si="127"/>
        <v>25.7</v>
      </c>
      <c r="M33" s="134">
        <f t="shared" si="128"/>
        <v>26</v>
      </c>
      <c r="N33" s="134">
        <f t="shared" si="129"/>
        <v>88.961538461538467</v>
      </c>
      <c r="O33" s="173">
        <f t="shared" si="130"/>
        <v>1</v>
      </c>
      <c r="P33" s="402">
        <f t="shared" si="131"/>
        <v>11</v>
      </c>
      <c r="Q33" s="402">
        <f t="shared" si="132"/>
        <v>3</v>
      </c>
      <c r="R33" s="402">
        <f t="shared" si="133"/>
        <v>14</v>
      </c>
      <c r="S33" s="6">
        <f t="shared" si="134"/>
        <v>0</v>
      </c>
      <c r="T33" s="24">
        <f t="shared" si="135"/>
        <v>5000</v>
      </c>
      <c r="U33" s="21">
        <f t="shared" si="136"/>
        <v>0</v>
      </c>
      <c r="V33" s="298">
        <f t="shared" si="137"/>
        <v>14</v>
      </c>
      <c r="W33" s="300">
        <f t="shared" si="138"/>
        <v>0.54474708171206232</v>
      </c>
      <c r="X33" s="298">
        <f t="shared" si="139"/>
        <v>2</v>
      </c>
      <c r="Y33" s="300">
        <f t="shared" si="140"/>
        <v>7.7821011673151752E-2</v>
      </c>
      <c r="Z33" s="290">
        <f t="shared" si="141"/>
        <v>0.14285714285714285</v>
      </c>
      <c r="AA33" s="298">
        <f t="shared" si="142"/>
        <v>3</v>
      </c>
      <c r="AB33" s="286">
        <f t="shared" si="143"/>
        <v>2</v>
      </c>
      <c r="AC33" s="286">
        <f t="shared" si="144"/>
        <v>1</v>
      </c>
      <c r="AD33" s="286">
        <f t="shared" si="145"/>
        <v>1</v>
      </c>
      <c r="AE33" s="21">
        <f t="shared" si="146"/>
        <v>0.5</v>
      </c>
      <c r="AF33" s="421">
        <f t="shared" si="147"/>
        <v>11</v>
      </c>
      <c r="AG33" s="421">
        <f t="shared" si="148"/>
        <v>3</v>
      </c>
      <c r="AH33" s="421">
        <f t="shared" si="149"/>
        <v>14</v>
      </c>
      <c r="AI33" s="421">
        <f t="shared" si="150"/>
        <v>10</v>
      </c>
      <c r="AJ33" s="420">
        <f t="shared" si="151"/>
        <v>0</v>
      </c>
      <c r="AK33" s="422">
        <f t="shared" si="152"/>
        <v>0.42801556420233466</v>
      </c>
      <c r="AL33" s="422">
        <f t="shared" si="153"/>
        <v>0.11673151750972763</v>
      </c>
      <c r="AM33" s="422">
        <f t="shared" si="154"/>
        <v>0.54474708171206232</v>
      </c>
      <c r="AN33" s="5">
        <f t="shared" si="155"/>
        <v>10.029999999999999</v>
      </c>
      <c r="AO33" s="5">
        <f t="shared" si="156"/>
        <v>8.4499999999999993</v>
      </c>
      <c r="AP33" s="5">
        <f t="shared" si="157"/>
        <v>0.32879377431906615</v>
      </c>
      <c r="AQ33" s="5">
        <f t="shared" si="158"/>
        <v>3.73</v>
      </c>
      <c r="AR33" s="5">
        <f t="shared" si="159"/>
        <v>0.14513618677042803</v>
      </c>
      <c r="AS33" s="5">
        <f t="shared" si="160"/>
        <v>12.18</v>
      </c>
      <c r="AT33" s="5">
        <f t="shared" si="161"/>
        <v>0.47392996108949415</v>
      </c>
      <c r="AU33" s="21">
        <f t="shared" si="162"/>
        <v>0.55423476968796426</v>
      </c>
      <c r="AV33" s="21">
        <f t="shared" si="163"/>
        <v>0.52306229196386111</v>
      </c>
      <c r="AW33" s="6">
        <f t="shared" si="164"/>
        <v>4</v>
      </c>
      <c r="AX33" s="6">
        <f t="shared" si="165"/>
        <v>0</v>
      </c>
      <c r="AY33" s="21">
        <f t="shared" si="166"/>
        <v>0</v>
      </c>
      <c r="AZ33" s="304">
        <f t="shared" si="167"/>
        <v>9</v>
      </c>
      <c r="BA33" s="305">
        <f t="shared" si="168"/>
        <v>0.35019455252918291</v>
      </c>
      <c r="BB33" s="413">
        <f t="shared" si="169"/>
        <v>7.2695000000000007</v>
      </c>
      <c r="BC33" s="413">
        <f t="shared" si="170"/>
        <v>0.28285992217898837</v>
      </c>
      <c r="BD33" s="6">
        <f t="shared" si="171"/>
        <v>562</v>
      </c>
      <c r="BE33" s="5">
        <f t="shared" si="172"/>
        <v>21.867704280155642</v>
      </c>
      <c r="BF33" s="6">
        <f t="shared" si="173"/>
        <v>419</v>
      </c>
      <c r="BG33" s="5">
        <f t="shared" si="174"/>
        <v>16.303501945525291</v>
      </c>
      <c r="BH33" s="21">
        <f t="shared" si="175"/>
        <v>0.74555160142348753</v>
      </c>
      <c r="BI33" s="417">
        <f t="shared" si="176"/>
        <v>143</v>
      </c>
      <c r="BJ33" s="418">
        <f t="shared" si="177"/>
        <v>5.56420233463035</v>
      </c>
      <c r="BK33" s="195">
        <f t="shared" si="178"/>
        <v>8</v>
      </c>
      <c r="BL33" s="5">
        <f t="shared" si="179"/>
        <v>0.31128404669260701</v>
      </c>
      <c r="BM33" s="21">
        <f t="shared" si="180"/>
        <v>1.4234875444839857E-2</v>
      </c>
      <c r="BN33" s="195">
        <f t="shared" si="181"/>
        <v>16</v>
      </c>
      <c r="BO33" s="185">
        <f t="shared" si="182"/>
        <v>0.62256809338521402</v>
      </c>
      <c r="BP33" s="5">
        <f t="shared" si="183"/>
        <v>5.333333333333333</v>
      </c>
      <c r="BQ33" s="21">
        <f t="shared" si="184"/>
        <v>0.1875</v>
      </c>
      <c r="BR33" s="5">
        <f t="shared" si="185"/>
        <v>0.73</v>
      </c>
      <c r="BS33" s="5">
        <f t="shared" si="186"/>
        <v>0.233125</v>
      </c>
      <c r="BT33" s="24">
        <f t="shared" si="187"/>
        <v>144.5625</v>
      </c>
      <c r="BU33" s="5">
        <f t="shared" si="188"/>
        <v>39.879310344827587</v>
      </c>
      <c r="BV33" s="5">
        <f t="shared" si="189"/>
        <v>0.97000000000000064</v>
      </c>
      <c r="BW33" s="5">
        <f t="shared" si="190"/>
        <v>0.1800000000000006</v>
      </c>
      <c r="BX33" s="6">
        <f t="shared" si="191"/>
        <v>74</v>
      </c>
      <c r="BY33" s="5">
        <f t="shared" si="192"/>
        <v>2.8793774319066148</v>
      </c>
      <c r="BZ33" s="6">
        <f t="shared" si="193"/>
        <v>37</v>
      </c>
      <c r="CA33" s="5">
        <f t="shared" si="194"/>
        <v>1.4396887159533074</v>
      </c>
      <c r="CB33" s="6">
        <f t="shared" si="195"/>
        <v>39</v>
      </c>
      <c r="CC33" s="5">
        <f t="shared" si="196"/>
        <v>1.5175097276264591</v>
      </c>
      <c r="CD33" s="5">
        <f t="shared" si="197"/>
        <v>1.4785992217898833</v>
      </c>
      <c r="CE33" s="21">
        <f t="shared" si="198"/>
        <v>0.51351351351351349</v>
      </c>
      <c r="CF33" s="5">
        <f t="shared" si="199"/>
        <v>7.4</v>
      </c>
      <c r="CG33" s="5">
        <f t="shared" si="200"/>
        <v>3.5454545454545454</v>
      </c>
      <c r="CH33" s="21">
        <f t="shared" si="201"/>
        <v>0.13513513513513514</v>
      </c>
      <c r="CI33" s="298">
        <f t="shared" si="202"/>
        <v>9</v>
      </c>
      <c r="CJ33" s="298">
        <f t="shared" si="203"/>
        <v>0</v>
      </c>
      <c r="CK33" s="298">
        <f t="shared" si="204"/>
        <v>2</v>
      </c>
      <c r="CL33" s="21">
        <f t="shared" si="205"/>
        <v>0</v>
      </c>
      <c r="CM33" s="6">
        <f t="shared" si="206"/>
        <v>6.2</v>
      </c>
      <c r="CN33" s="5">
        <f t="shared" si="207"/>
        <v>0.24124513618677043</v>
      </c>
      <c r="CO33" s="167">
        <f t="shared" si="208"/>
        <v>105</v>
      </c>
      <c r="CP33" s="5">
        <f t="shared" si="209"/>
        <v>4.0856031128404666</v>
      </c>
      <c r="CQ33" s="6">
        <f t="shared" si="210"/>
        <v>64</v>
      </c>
      <c r="CR33" s="5">
        <f t="shared" si="211"/>
        <v>2.4902723735408561</v>
      </c>
      <c r="CS33" s="21">
        <f t="shared" si="212"/>
        <v>0.60952380952380958</v>
      </c>
      <c r="CT33" s="6">
        <f t="shared" si="213"/>
        <v>68.72999999999999</v>
      </c>
      <c r="CU33" s="5">
        <f t="shared" si="214"/>
        <v>2.6743190661478597</v>
      </c>
      <c r="CV33" s="6">
        <f t="shared" si="215"/>
        <v>72.23</v>
      </c>
      <c r="CW33" s="5">
        <f t="shared" si="216"/>
        <v>2.8105058365758757</v>
      </c>
      <c r="CX33" s="385">
        <f t="shared" si="217"/>
        <v>6.4980155642023343</v>
      </c>
      <c r="CY33" s="5">
        <f t="shared" si="218"/>
        <v>26.848249027237355</v>
      </c>
      <c r="CZ33" s="5">
        <f t="shared" si="219"/>
        <v>17.431906614785994</v>
      </c>
      <c r="DA33" s="6">
        <f t="shared" si="220"/>
        <v>24</v>
      </c>
      <c r="DB33" s="5">
        <f t="shared" si="221"/>
        <v>0.93385214007782102</v>
      </c>
      <c r="DC33" s="6">
        <f t="shared" si="222"/>
        <v>116</v>
      </c>
      <c r="DD33" s="5">
        <f t="shared" si="223"/>
        <v>4.5136186770428015</v>
      </c>
      <c r="DE33" s="6">
        <f t="shared" si="224"/>
        <v>97</v>
      </c>
      <c r="DF33" s="5">
        <f t="shared" si="225"/>
        <v>3.7743190661478598</v>
      </c>
      <c r="DG33" s="6">
        <f t="shared" si="226"/>
        <v>184</v>
      </c>
      <c r="DH33" s="5">
        <f t="shared" si="227"/>
        <v>7.1595330739299614</v>
      </c>
      <c r="DI33" s="5">
        <f t="shared" si="228"/>
        <v>6.2</v>
      </c>
      <c r="DJ33" s="5">
        <f t="shared" si="229"/>
        <v>116.9</v>
      </c>
      <c r="DK33" s="5">
        <f t="shared" si="230"/>
        <v>4.5486381322957206</v>
      </c>
      <c r="DL33" s="286">
        <f t="shared" si="231"/>
        <v>61.679999999999993</v>
      </c>
      <c r="DM33" s="287">
        <f t="shared" si="232"/>
        <v>2.4</v>
      </c>
      <c r="DN33" s="60">
        <f t="shared" si="233"/>
        <v>6.72</v>
      </c>
      <c r="DO33"/>
      <c r="DP33" t="s">
        <v>13</v>
      </c>
      <c r="DQ33" t="s">
        <v>1311</v>
      </c>
      <c r="DR33">
        <v>30</v>
      </c>
      <c r="DS33" t="s">
        <v>1312</v>
      </c>
      <c r="DT33" t="s">
        <v>963</v>
      </c>
      <c r="DU33" t="s">
        <v>1201</v>
      </c>
      <c r="DV33" t="s">
        <v>1202</v>
      </c>
      <c r="DW33" t="s">
        <v>1313</v>
      </c>
      <c r="DX33" s="430">
        <v>47483</v>
      </c>
      <c r="DY33">
        <v>2313</v>
      </c>
      <c r="DZ33">
        <v>26</v>
      </c>
      <c r="EA33">
        <v>0</v>
      </c>
      <c r="EB33">
        <v>11</v>
      </c>
      <c r="EC33">
        <v>3</v>
      </c>
      <c r="ED33">
        <v>5</v>
      </c>
      <c r="EE33">
        <v>6.2</v>
      </c>
      <c r="EF33" t="s">
        <v>1314</v>
      </c>
      <c r="EG33" t="s">
        <v>1315</v>
      </c>
      <c r="EH33">
        <v>32</v>
      </c>
      <c r="EI33">
        <v>60</v>
      </c>
      <c r="EJ33">
        <v>562</v>
      </c>
      <c r="EK33">
        <v>419</v>
      </c>
      <c r="EL33">
        <v>16</v>
      </c>
      <c r="EM33">
        <v>8</v>
      </c>
      <c r="EN33">
        <v>9</v>
      </c>
      <c r="EO33">
        <v>76</v>
      </c>
      <c r="EP33">
        <v>39</v>
      </c>
      <c r="EQ33">
        <v>20</v>
      </c>
      <c r="ER33">
        <v>8</v>
      </c>
      <c r="ES33">
        <v>4</v>
      </c>
      <c r="ET33">
        <v>0</v>
      </c>
      <c r="EU33">
        <v>18</v>
      </c>
      <c r="EV33">
        <v>2</v>
      </c>
      <c r="EW33">
        <v>0</v>
      </c>
      <c r="EX33">
        <v>0.4</v>
      </c>
      <c r="EY33">
        <v>3</v>
      </c>
      <c r="EZ33">
        <v>2</v>
      </c>
      <c r="FA33">
        <v>1</v>
      </c>
      <c r="FB33">
        <v>2.4</v>
      </c>
      <c r="FC33" t="s">
        <v>1316</v>
      </c>
      <c r="FD33">
        <v>6.72</v>
      </c>
    </row>
    <row r="34" spans="1:160" ht="24.95" customHeight="1" thickBot="1" x14ac:dyDescent="0.3">
      <c r="A34" s="29" t="str">
        <f t="shared" si="0"/>
        <v>33º</v>
      </c>
      <c r="B34" s="67" t="str">
        <f t="shared" si="118"/>
        <v>Matheus Jesus</v>
      </c>
      <c r="C34" s="83" t="str">
        <f t="shared" si="119"/>
        <v>BRA</v>
      </c>
      <c r="D34" s="9" t="str">
        <f t="shared" si="120"/>
        <v>Nagasaki</v>
      </c>
      <c r="E34" s="91" t="str">
        <f t="shared" si="121"/>
        <v>Pé Esquerdo</v>
      </c>
      <c r="F34" s="155">
        <f t="shared" si="122"/>
        <v>1.87</v>
      </c>
      <c r="G34" s="35">
        <f t="shared" si="123"/>
        <v>46568</v>
      </c>
      <c r="H34" s="7">
        <f t="shared" si="124"/>
        <v>29</v>
      </c>
      <c r="I34" s="299" t="str">
        <f t="shared" si="125"/>
        <v>24m € - 36,5m € p/m</v>
      </c>
      <c r="J34" s="3" t="str">
        <f t="shared" si="126"/>
        <v>120m € - 1,2M €</v>
      </c>
      <c r="K34" s="89">
        <f t="shared" si="10"/>
        <v>31.398046398046404</v>
      </c>
      <c r="L34" s="133">
        <f t="shared" si="127"/>
        <v>25.988888888888887</v>
      </c>
      <c r="M34" s="134">
        <f t="shared" si="128"/>
        <v>32</v>
      </c>
      <c r="N34" s="134">
        <f t="shared" si="129"/>
        <v>73.09375</v>
      </c>
      <c r="O34" s="173">
        <f t="shared" si="130"/>
        <v>0.78</v>
      </c>
      <c r="P34" s="402">
        <f t="shared" si="131"/>
        <v>3</v>
      </c>
      <c r="Q34" s="402">
        <f t="shared" si="132"/>
        <v>0</v>
      </c>
      <c r="R34" s="402">
        <f t="shared" si="133"/>
        <v>3</v>
      </c>
      <c r="S34" s="6">
        <f t="shared" si="134"/>
        <v>0</v>
      </c>
      <c r="T34" s="24">
        <f t="shared" si="135"/>
        <v>5000</v>
      </c>
      <c r="U34" s="21">
        <f t="shared" si="136"/>
        <v>0</v>
      </c>
      <c r="V34" s="298">
        <f t="shared" si="137"/>
        <v>0</v>
      </c>
      <c r="W34" s="300">
        <f t="shared" si="138"/>
        <v>0</v>
      </c>
      <c r="X34" s="298">
        <f t="shared" si="139"/>
        <v>0</v>
      </c>
      <c r="Y34" s="300">
        <f t="shared" si="140"/>
        <v>0</v>
      </c>
      <c r="Z34" s="290">
        <f t="shared" si="141"/>
        <v>0</v>
      </c>
      <c r="AA34" s="298">
        <f t="shared" si="142"/>
        <v>0</v>
      </c>
      <c r="AB34" s="286">
        <f t="shared" si="143"/>
        <v>0</v>
      </c>
      <c r="AC34" s="286">
        <f t="shared" si="144"/>
        <v>0</v>
      </c>
      <c r="AD34" s="286">
        <f t="shared" si="145"/>
        <v>0</v>
      </c>
      <c r="AE34" s="21">
        <f t="shared" si="146"/>
        <v>9.9999999999999995E-8</v>
      </c>
      <c r="AF34" s="421">
        <f t="shared" si="147"/>
        <v>3</v>
      </c>
      <c r="AG34" s="421">
        <f t="shared" si="148"/>
        <v>0</v>
      </c>
      <c r="AH34" s="421">
        <f t="shared" si="149"/>
        <v>3</v>
      </c>
      <c r="AI34" s="421">
        <f t="shared" si="150"/>
        <v>3</v>
      </c>
      <c r="AJ34" s="420">
        <f t="shared" si="151"/>
        <v>1</v>
      </c>
      <c r="AK34" s="422">
        <f t="shared" si="152"/>
        <v>0.11543394613082515</v>
      </c>
      <c r="AL34" s="422">
        <f t="shared" si="153"/>
        <v>0</v>
      </c>
      <c r="AM34" s="422">
        <f t="shared" si="154"/>
        <v>0.11543394613082515</v>
      </c>
      <c r="AN34" s="5">
        <f t="shared" si="155"/>
        <v>7.49</v>
      </c>
      <c r="AO34" s="5">
        <f t="shared" si="156"/>
        <v>7.49</v>
      </c>
      <c r="AP34" s="5">
        <f t="shared" si="157"/>
        <v>0.28820008550662679</v>
      </c>
      <c r="AQ34" s="5">
        <f t="shared" si="158"/>
        <v>2.63</v>
      </c>
      <c r="AR34" s="5">
        <f t="shared" si="159"/>
        <v>0.10119709277469004</v>
      </c>
      <c r="AS34" s="5">
        <f t="shared" si="160"/>
        <v>10.120000000000001</v>
      </c>
      <c r="AT34" s="5">
        <f t="shared" si="161"/>
        <v>0.38939717828131687</v>
      </c>
      <c r="AU34" s="21">
        <f t="shared" si="162"/>
        <v>1</v>
      </c>
      <c r="AV34" s="21">
        <f t="shared" si="163"/>
        <v>0.2859866539561487</v>
      </c>
      <c r="AW34" s="6">
        <f t="shared" si="164"/>
        <v>13</v>
      </c>
      <c r="AX34" s="6">
        <f t="shared" si="165"/>
        <v>4</v>
      </c>
      <c r="AY34" s="21">
        <f t="shared" si="166"/>
        <v>0.30769230769230771</v>
      </c>
      <c r="AZ34" s="304">
        <f t="shared" si="167"/>
        <v>13</v>
      </c>
      <c r="BA34" s="305">
        <f t="shared" si="168"/>
        <v>0.50021376656690897</v>
      </c>
      <c r="BB34" s="413">
        <f t="shared" si="169"/>
        <v>12.769499999999999</v>
      </c>
      <c r="BC34" s="413">
        <f t="shared" si="170"/>
        <v>0.4913445917058572</v>
      </c>
      <c r="BD34" s="6">
        <f t="shared" si="171"/>
        <v>885</v>
      </c>
      <c r="BE34" s="5">
        <f t="shared" si="172"/>
        <v>34.053014108593416</v>
      </c>
      <c r="BF34" s="6">
        <f t="shared" si="173"/>
        <v>784</v>
      </c>
      <c r="BG34" s="5">
        <f t="shared" si="174"/>
        <v>30.166737922188972</v>
      </c>
      <c r="BH34" s="21">
        <f t="shared" si="175"/>
        <v>0.88587570621468925</v>
      </c>
      <c r="BI34" s="417">
        <f t="shared" si="176"/>
        <v>101</v>
      </c>
      <c r="BJ34" s="418">
        <f t="shared" si="177"/>
        <v>3.8862761864044466</v>
      </c>
      <c r="BK34" s="195">
        <f t="shared" si="178"/>
        <v>33</v>
      </c>
      <c r="BL34" s="5">
        <f t="shared" si="179"/>
        <v>1.2697734074390765</v>
      </c>
      <c r="BM34" s="21">
        <f t="shared" si="180"/>
        <v>3.7288135593220341E-2</v>
      </c>
      <c r="BN34" s="195">
        <f t="shared" si="181"/>
        <v>35</v>
      </c>
      <c r="BO34" s="185">
        <f t="shared" si="182"/>
        <v>1.3467293715262934</v>
      </c>
      <c r="BP34" s="5">
        <f t="shared" si="183"/>
        <v>25</v>
      </c>
      <c r="BQ34" s="21">
        <f t="shared" si="184"/>
        <v>0</v>
      </c>
      <c r="BR34" s="5">
        <f t="shared" si="185"/>
        <v>2.63</v>
      </c>
      <c r="BS34" s="5">
        <f t="shared" si="186"/>
        <v>7.5142857142857136E-2</v>
      </c>
      <c r="BT34" s="24">
        <f t="shared" si="187"/>
        <v>66.828571428571422</v>
      </c>
      <c r="BU34" s="5">
        <f t="shared" si="188"/>
        <v>38.344262295081968</v>
      </c>
      <c r="BV34" s="5">
        <f t="shared" si="189"/>
        <v>-4.49</v>
      </c>
      <c r="BW34" s="5">
        <f t="shared" si="190"/>
        <v>-4.49</v>
      </c>
      <c r="BX34" s="6">
        <f t="shared" si="191"/>
        <v>52</v>
      </c>
      <c r="BY34" s="5">
        <f t="shared" si="192"/>
        <v>2.0008550662676359</v>
      </c>
      <c r="BZ34" s="6">
        <f t="shared" si="193"/>
        <v>32</v>
      </c>
      <c r="CA34" s="5">
        <f t="shared" si="194"/>
        <v>1.2312954253954682</v>
      </c>
      <c r="CB34" s="6">
        <f t="shared" si="195"/>
        <v>20</v>
      </c>
      <c r="CC34" s="5">
        <f t="shared" si="196"/>
        <v>0.76955964087216766</v>
      </c>
      <c r="CD34" s="5">
        <f t="shared" si="197"/>
        <v>0.76955964087216766</v>
      </c>
      <c r="CE34" s="21">
        <f t="shared" si="198"/>
        <v>0.38461538461538464</v>
      </c>
      <c r="CF34" s="5">
        <f t="shared" si="199"/>
        <v>17.333333333333332</v>
      </c>
      <c r="CG34" s="5">
        <f t="shared" si="200"/>
        <v>6.666666666666667</v>
      </c>
      <c r="CH34" s="21">
        <f t="shared" si="201"/>
        <v>5.7692307692307696E-2</v>
      </c>
      <c r="CI34" s="298">
        <f t="shared" si="202"/>
        <v>2</v>
      </c>
      <c r="CJ34" s="298">
        <f t="shared" si="203"/>
        <v>1</v>
      </c>
      <c r="CK34" s="298">
        <f t="shared" si="204"/>
        <v>0</v>
      </c>
      <c r="CL34" s="21">
        <f t="shared" si="205"/>
        <v>5.4968545776583409E-2</v>
      </c>
      <c r="CM34" s="6">
        <f t="shared" si="206"/>
        <v>16.5</v>
      </c>
      <c r="CN34" s="5">
        <f t="shared" si="207"/>
        <v>0.63488670371953826</v>
      </c>
      <c r="CO34" s="167">
        <f t="shared" si="208"/>
        <v>113</v>
      </c>
      <c r="CP34" s="5">
        <f t="shared" si="209"/>
        <v>4.3480119709277476</v>
      </c>
      <c r="CQ34" s="6">
        <f t="shared" si="210"/>
        <v>72</v>
      </c>
      <c r="CR34" s="5">
        <f t="shared" si="211"/>
        <v>2.7704147071398033</v>
      </c>
      <c r="CS34" s="21">
        <f t="shared" si="212"/>
        <v>0.63716814159292035</v>
      </c>
      <c r="CT34" s="6">
        <f t="shared" si="213"/>
        <v>70.13</v>
      </c>
      <c r="CU34" s="5">
        <f t="shared" si="214"/>
        <v>2.6984608807182555</v>
      </c>
      <c r="CV34" s="6">
        <f t="shared" si="215"/>
        <v>69.88</v>
      </c>
      <c r="CW34" s="5">
        <f t="shared" si="216"/>
        <v>2.6888413852073536</v>
      </c>
      <c r="CX34" s="385">
        <f t="shared" si="217"/>
        <v>9.3731209918768705</v>
      </c>
      <c r="CY34" s="5">
        <f t="shared" si="218"/>
        <v>40.36340316374519</v>
      </c>
      <c r="CZ34" s="5">
        <f t="shared" si="219"/>
        <v>33.01410859341599</v>
      </c>
      <c r="DA34" s="6">
        <f t="shared" si="220"/>
        <v>68</v>
      </c>
      <c r="DB34" s="5">
        <f t="shared" si="221"/>
        <v>2.6165027789653701</v>
      </c>
      <c r="DC34" s="6">
        <f t="shared" si="222"/>
        <v>152</v>
      </c>
      <c r="DD34" s="5">
        <f t="shared" si="223"/>
        <v>5.848653270628474</v>
      </c>
      <c r="DE34" s="6">
        <f t="shared" si="224"/>
        <v>93</v>
      </c>
      <c r="DF34" s="5">
        <f t="shared" si="225"/>
        <v>3.5784523300555797</v>
      </c>
      <c r="DG34" s="6">
        <f t="shared" si="226"/>
        <v>142</v>
      </c>
      <c r="DH34" s="5">
        <f t="shared" si="227"/>
        <v>5.4638734501923905</v>
      </c>
      <c r="DI34" s="5">
        <f t="shared" si="228"/>
        <v>16.5</v>
      </c>
      <c r="DJ34" s="5">
        <f t="shared" si="229"/>
        <v>291.8</v>
      </c>
      <c r="DK34" s="5">
        <f t="shared" si="230"/>
        <v>11.227875160324926</v>
      </c>
      <c r="DL34" s="286">
        <f t="shared" si="231"/>
        <v>202.71333333333331</v>
      </c>
      <c r="DM34" s="287">
        <f t="shared" si="232"/>
        <v>7.8</v>
      </c>
      <c r="DN34" s="60">
        <f t="shared" si="233"/>
        <v>6.69</v>
      </c>
      <c r="DO34"/>
      <c r="DP34" t="s">
        <v>13</v>
      </c>
      <c r="DQ34" t="s">
        <v>1317</v>
      </c>
      <c r="DR34">
        <v>29</v>
      </c>
      <c r="DS34" t="s">
        <v>1318</v>
      </c>
      <c r="DT34" t="s">
        <v>713</v>
      </c>
      <c r="DU34" t="s">
        <v>579</v>
      </c>
      <c r="DV34" t="s">
        <v>624</v>
      </c>
      <c r="DW34" t="s">
        <v>1319</v>
      </c>
      <c r="DX34" s="430">
        <v>46568</v>
      </c>
      <c r="DY34">
        <v>2339</v>
      </c>
      <c r="DZ34" t="s">
        <v>1320</v>
      </c>
      <c r="EA34">
        <v>0</v>
      </c>
      <c r="EB34">
        <v>3</v>
      </c>
      <c r="EC34">
        <v>0</v>
      </c>
      <c r="ED34">
        <v>6</v>
      </c>
      <c r="EE34">
        <v>16.5</v>
      </c>
      <c r="EF34" t="s">
        <v>1321</v>
      </c>
      <c r="EG34" t="s">
        <v>1322</v>
      </c>
      <c r="EH34">
        <v>21</v>
      </c>
      <c r="EI34">
        <v>40</v>
      </c>
      <c r="EJ34">
        <v>885</v>
      </c>
      <c r="EK34">
        <v>784</v>
      </c>
      <c r="EL34">
        <v>35</v>
      </c>
      <c r="EM34">
        <v>33</v>
      </c>
      <c r="EN34">
        <v>13</v>
      </c>
      <c r="EO34">
        <v>52</v>
      </c>
      <c r="EP34">
        <v>20</v>
      </c>
      <c r="EQ34">
        <v>59</v>
      </c>
      <c r="ER34">
        <v>17</v>
      </c>
      <c r="ES34">
        <v>13</v>
      </c>
      <c r="ET34">
        <v>4</v>
      </c>
      <c r="EU34">
        <v>13</v>
      </c>
      <c r="EV34">
        <v>4</v>
      </c>
      <c r="EW34">
        <v>1</v>
      </c>
      <c r="EX34">
        <v>0.7</v>
      </c>
      <c r="EY34">
        <v>0</v>
      </c>
      <c r="EZ34">
        <v>0</v>
      </c>
      <c r="FA34">
        <v>0</v>
      </c>
      <c r="FB34">
        <v>7.8</v>
      </c>
      <c r="FC34" t="s">
        <v>1323</v>
      </c>
      <c r="FD34">
        <v>6.69</v>
      </c>
    </row>
    <row r="35" spans="1:160" ht="24.95" customHeight="1" thickBot="1" x14ac:dyDescent="0.3">
      <c r="A35" s="29" t="str">
        <f t="shared" si="0"/>
        <v>34º</v>
      </c>
      <c r="B35" s="67" t="str">
        <f t="shared" si="118"/>
        <v>Carlos Vinícius</v>
      </c>
      <c r="C35" s="83" t="str">
        <f t="shared" si="119"/>
        <v>BRA</v>
      </c>
      <c r="D35" s="9" t="str">
        <f t="shared" si="120"/>
        <v>Grêmio</v>
      </c>
      <c r="E35" s="91" t="str">
        <f t="shared" si="121"/>
        <v>Pé Esquerdo</v>
      </c>
      <c r="F35" s="155">
        <f t="shared" si="122"/>
        <v>1.92</v>
      </c>
      <c r="G35" s="35">
        <f t="shared" si="123"/>
        <v>47118</v>
      </c>
      <c r="H35" s="7">
        <f t="shared" si="124"/>
        <v>31</v>
      </c>
      <c r="I35" s="299" t="str">
        <f t="shared" si="125"/>
        <v>101m € - 139m € p/m</v>
      </c>
      <c r="J35" s="3" t="str">
        <f t="shared" si="126"/>
        <v>4,4M €</v>
      </c>
      <c r="K35" s="89">
        <f t="shared" si="10"/>
        <v>31.398046398046404</v>
      </c>
      <c r="L35" s="133">
        <f t="shared" si="127"/>
        <v>36.344444444444441</v>
      </c>
      <c r="M35" s="134">
        <f t="shared" si="128"/>
        <v>45</v>
      </c>
      <c r="N35" s="134">
        <f t="shared" si="129"/>
        <v>72.688888888888883</v>
      </c>
      <c r="O35" s="173">
        <f t="shared" si="130"/>
        <v>0.89</v>
      </c>
      <c r="P35" s="402">
        <f t="shared" si="131"/>
        <v>19</v>
      </c>
      <c r="Q35" s="402">
        <f t="shared" si="132"/>
        <v>5</v>
      </c>
      <c r="R35" s="402">
        <f t="shared" si="133"/>
        <v>24</v>
      </c>
      <c r="S35" s="6">
        <f t="shared" si="134"/>
        <v>3</v>
      </c>
      <c r="T35" s="24">
        <f t="shared" si="135"/>
        <v>1090.3333333333333</v>
      </c>
      <c r="U35" s="21">
        <f t="shared" si="136"/>
        <v>8.2543564659125657E-2</v>
      </c>
      <c r="V35" s="298">
        <f t="shared" si="137"/>
        <v>8</v>
      </c>
      <c r="W35" s="300">
        <f t="shared" si="138"/>
        <v>0.22011617242433509</v>
      </c>
      <c r="X35" s="298">
        <f t="shared" si="139"/>
        <v>1</v>
      </c>
      <c r="Y35" s="300">
        <f t="shared" si="140"/>
        <v>2.7514521553041887E-2</v>
      </c>
      <c r="Z35" s="290">
        <f t="shared" si="141"/>
        <v>0.125</v>
      </c>
      <c r="AA35" s="298">
        <f t="shared" si="142"/>
        <v>3</v>
      </c>
      <c r="AB35" s="286">
        <f t="shared" si="143"/>
        <v>2</v>
      </c>
      <c r="AC35" s="286">
        <f t="shared" si="144"/>
        <v>0</v>
      </c>
      <c r="AD35" s="286">
        <f t="shared" si="145"/>
        <v>2</v>
      </c>
      <c r="AE35" s="21">
        <f t="shared" si="146"/>
        <v>0</v>
      </c>
      <c r="AF35" s="421">
        <f t="shared" si="147"/>
        <v>19</v>
      </c>
      <c r="AG35" s="421">
        <f t="shared" si="148"/>
        <v>5</v>
      </c>
      <c r="AH35" s="421">
        <f t="shared" si="149"/>
        <v>24</v>
      </c>
      <c r="AI35" s="421">
        <f t="shared" si="150"/>
        <v>19</v>
      </c>
      <c r="AJ35" s="420">
        <f t="shared" si="151"/>
        <v>0</v>
      </c>
      <c r="AK35" s="422">
        <f t="shared" si="152"/>
        <v>0.52277590950779584</v>
      </c>
      <c r="AL35" s="422">
        <f t="shared" si="153"/>
        <v>0.13757260776520944</v>
      </c>
      <c r="AM35" s="422">
        <f t="shared" si="154"/>
        <v>0.66034851727300525</v>
      </c>
      <c r="AN35" s="5">
        <f t="shared" si="155"/>
        <v>13.95</v>
      </c>
      <c r="AO35" s="5">
        <f t="shared" si="156"/>
        <v>12.37</v>
      </c>
      <c r="AP35" s="5">
        <f t="shared" si="157"/>
        <v>0.34035463161112811</v>
      </c>
      <c r="AQ35" s="5">
        <f t="shared" si="158"/>
        <v>5.24</v>
      </c>
      <c r="AR35" s="5">
        <f t="shared" si="159"/>
        <v>0.14417609293793948</v>
      </c>
      <c r="AS35" s="5">
        <f t="shared" si="160"/>
        <v>17.61</v>
      </c>
      <c r="AT35" s="5">
        <f t="shared" si="161"/>
        <v>0.48453072454906759</v>
      </c>
      <c r="AU35" s="21">
        <f t="shared" si="162"/>
        <v>0.51171875</v>
      </c>
      <c r="AV35" s="21">
        <f t="shared" si="163"/>
        <v>0.57663125948406668</v>
      </c>
      <c r="AW35" s="6">
        <f t="shared" si="164"/>
        <v>22</v>
      </c>
      <c r="AX35" s="6">
        <f t="shared" si="165"/>
        <v>8</v>
      </c>
      <c r="AY35" s="21">
        <f t="shared" si="166"/>
        <v>0.36363636363636365</v>
      </c>
      <c r="AZ35" s="304">
        <f t="shared" si="167"/>
        <v>20</v>
      </c>
      <c r="BA35" s="305">
        <f t="shared" si="168"/>
        <v>0.55029043106083775</v>
      </c>
      <c r="BB35" s="413">
        <f t="shared" si="169"/>
        <v>17.116</v>
      </c>
      <c r="BC35" s="413">
        <f t="shared" si="170"/>
        <v>0.47093855090186493</v>
      </c>
      <c r="BD35" s="6">
        <f t="shared" si="171"/>
        <v>1148</v>
      </c>
      <c r="BE35" s="5">
        <f t="shared" si="172"/>
        <v>31.586670742892085</v>
      </c>
      <c r="BF35" s="6">
        <f t="shared" si="173"/>
        <v>1011</v>
      </c>
      <c r="BG35" s="5">
        <f t="shared" si="174"/>
        <v>27.817181290125347</v>
      </c>
      <c r="BH35" s="21">
        <f t="shared" si="175"/>
        <v>0.88066202090592338</v>
      </c>
      <c r="BI35" s="417">
        <f t="shared" si="176"/>
        <v>137</v>
      </c>
      <c r="BJ35" s="418">
        <f t="shared" si="177"/>
        <v>3.7694894527667384</v>
      </c>
      <c r="BK35" s="195">
        <f t="shared" si="178"/>
        <v>25</v>
      </c>
      <c r="BL35" s="5">
        <f t="shared" si="179"/>
        <v>0.68786303882604716</v>
      </c>
      <c r="BM35" s="21">
        <f t="shared" si="180"/>
        <v>2.1777003484320559E-2</v>
      </c>
      <c r="BN35" s="195">
        <f t="shared" si="181"/>
        <v>46</v>
      </c>
      <c r="BO35" s="185">
        <f t="shared" si="182"/>
        <v>1.2656679914399267</v>
      </c>
      <c r="BP35" s="5">
        <f t="shared" si="183"/>
        <v>9.1999999999999993</v>
      </c>
      <c r="BQ35" s="21">
        <f t="shared" si="184"/>
        <v>0.10869565217391304</v>
      </c>
      <c r="BR35" s="5">
        <f t="shared" si="185"/>
        <v>0.24000000000000021</v>
      </c>
      <c r="BS35" s="5">
        <f t="shared" si="186"/>
        <v>0.11391304347826088</v>
      </c>
      <c r="BT35" s="24">
        <f t="shared" si="187"/>
        <v>71.108695652173907</v>
      </c>
      <c r="BU35" s="5">
        <f t="shared" si="188"/>
        <v>29.468468468468469</v>
      </c>
      <c r="BV35" s="5">
        <f t="shared" si="189"/>
        <v>5.0500000000000007</v>
      </c>
      <c r="BW35" s="5">
        <f t="shared" si="190"/>
        <v>5.0500000000000007</v>
      </c>
      <c r="BX35" s="6">
        <f t="shared" si="191"/>
        <v>93</v>
      </c>
      <c r="BY35" s="5">
        <f t="shared" si="192"/>
        <v>2.5588505044328955</v>
      </c>
      <c r="BZ35" s="6">
        <f t="shared" si="193"/>
        <v>38</v>
      </c>
      <c r="CA35" s="5">
        <f t="shared" si="194"/>
        <v>1.0455518190155917</v>
      </c>
      <c r="CB35" s="6">
        <f t="shared" si="195"/>
        <v>57</v>
      </c>
      <c r="CC35" s="5">
        <f t="shared" si="196"/>
        <v>1.5683277285233874</v>
      </c>
      <c r="CD35" s="5">
        <f t="shared" si="197"/>
        <v>1.5683277285233874</v>
      </c>
      <c r="CE35" s="21">
        <f t="shared" si="198"/>
        <v>0.61290322580645162</v>
      </c>
      <c r="CF35" s="5">
        <f t="shared" si="199"/>
        <v>4.8947368421052628</v>
      </c>
      <c r="CG35" s="5">
        <f t="shared" si="200"/>
        <v>3</v>
      </c>
      <c r="CH35" s="21">
        <f t="shared" si="201"/>
        <v>0.20430107526881722</v>
      </c>
      <c r="CI35" s="298">
        <f t="shared" si="202"/>
        <v>17</v>
      </c>
      <c r="CJ35" s="298">
        <f t="shared" si="203"/>
        <v>0</v>
      </c>
      <c r="CK35" s="298">
        <f t="shared" si="204"/>
        <v>2</v>
      </c>
      <c r="CL35" s="21">
        <f t="shared" si="205"/>
        <v>0</v>
      </c>
      <c r="CM35" s="6">
        <f t="shared" si="206"/>
        <v>13.6</v>
      </c>
      <c r="CN35" s="5">
        <f t="shared" si="207"/>
        <v>0.37419749312136963</v>
      </c>
      <c r="CO35" s="167">
        <f t="shared" si="208"/>
        <v>183</v>
      </c>
      <c r="CP35" s="5">
        <f t="shared" si="209"/>
        <v>5.0351574442066651</v>
      </c>
      <c r="CQ35" s="6">
        <f t="shared" si="210"/>
        <v>131</v>
      </c>
      <c r="CR35" s="5">
        <f t="shared" si="211"/>
        <v>3.604402323448487</v>
      </c>
      <c r="CS35" s="21">
        <f t="shared" si="212"/>
        <v>0.71584699453551914</v>
      </c>
      <c r="CT35" s="6">
        <f t="shared" si="213"/>
        <v>136.24</v>
      </c>
      <c r="CU35" s="5">
        <f t="shared" si="214"/>
        <v>3.7485784163864269</v>
      </c>
      <c r="CV35" s="6">
        <f t="shared" si="215"/>
        <v>142.24</v>
      </c>
      <c r="CW35" s="5">
        <f t="shared" si="216"/>
        <v>3.9136655457046778</v>
      </c>
      <c r="CX35" s="385">
        <f t="shared" si="217"/>
        <v>9.9462243962091108</v>
      </c>
      <c r="CY35" s="5">
        <f t="shared" si="218"/>
        <v>37.942525221644757</v>
      </c>
      <c r="CZ35" s="5">
        <f t="shared" si="219"/>
        <v>30.045857535921741</v>
      </c>
      <c r="DA35" s="6">
        <f t="shared" si="220"/>
        <v>71</v>
      </c>
      <c r="DB35" s="5">
        <f t="shared" si="221"/>
        <v>1.9535310302659739</v>
      </c>
      <c r="DC35" s="6">
        <f t="shared" si="222"/>
        <v>216</v>
      </c>
      <c r="DD35" s="5">
        <f t="shared" si="223"/>
        <v>5.9431366554570468</v>
      </c>
      <c r="DE35" s="6">
        <f t="shared" si="224"/>
        <v>151</v>
      </c>
      <c r="DF35" s="5">
        <f t="shared" si="225"/>
        <v>4.1546927545093251</v>
      </c>
      <c r="DG35" s="6">
        <f t="shared" si="226"/>
        <v>189</v>
      </c>
      <c r="DH35" s="5">
        <f t="shared" si="227"/>
        <v>5.2002445735249161</v>
      </c>
      <c r="DI35" s="5">
        <f t="shared" si="228"/>
        <v>13.6</v>
      </c>
      <c r="DJ35" s="5">
        <f t="shared" si="229"/>
        <v>385.6</v>
      </c>
      <c r="DK35" s="5">
        <f t="shared" si="230"/>
        <v>10.609599510852952</v>
      </c>
      <c r="DL35" s="286">
        <f t="shared" si="231"/>
        <v>225.33555555555554</v>
      </c>
      <c r="DM35" s="287">
        <f t="shared" si="232"/>
        <v>6.2</v>
      </c>
      <c r="DN35" s="60">
        <f t="shared" si="233"/>
        <v>7</v>
      </c>
      <c r="DO35" t="s">
        <v>19</v>
      </c>
      <c r="DP35" t="s">
        <v>13</v>
      </c>
      <c r="DQ35" t="s">
        <v>1324</v>
      </c>
      <c r="DR35">
        <v>31</v>
      </c>
      <c r="DS35" t="s">
        <v>1325</v>
      </c>
      <c r="DT35" t="s">
        <v>523</v>
      </c>
      <c r="DU35" t="s">
        <v>579</v>
      </c>
      <c r="DV35" t="s">
        <v>1326</v>
      </c>
      <c r="DW35" t="s">
        <v>1327</v>
      </c>
      <c r="DX35" s="430">
        <v>47118</v>
      </c>
      <c r="DY35">
        <v>3271</v>
      </c>
      <c r="DZ35" t="s">
        <v>1328</v>
      </c>
      <c r="EA35">
        <v>3</v>
      </c>
      <c r="EB35">
        <v>19</v>
      </c>
      <c r="EC35">
        <v>5</v>
      </c>
      <c r="ED35">
        <v>10</v>
      </c>
      <c r="EE35">
        <v>13.6</v>
      </c>
      <c r="EF35" t="s">
        <v>1329</v>
      </c>
      <c r="EG35" t="s">
        <v>1330</v>
      </c>
      <c r="EH35">
        <v>43</v>
      </c>
      <c r="EI35">
        <v>62</v>
      </c>
      <c r="EJ35">
        <v>1148</v>
      </c>
      <c r="EK35">
        <v>1011</v>
      </c>
      <c r="EL35">
        <v>46</v>
      </c>
      <c r="EM35">
        <v>25</v>
      </c>
      <c r="EN35">
        <v>20</v>
      </c>
      <c r="EO35">
        <v>95</v>
      </c>
      <c r="EP35">
        <v>57</v>
      </c>
      <c r="EQ35">
        <v>51</v>
      </c>
      <c r="ER35">
        <v>15</v>
      </c>
      <c r="ES35">
        <v>22</v>
      </c>
      <c r="ET35">
        <v>8</v>
      </c>
      <c r="EU35">
        <v>30</v>
      </c>
      <c r="EV35">
        <v>9</v>
      </c>
      <c r="EW35">
        <v>0</v>
      </c>
      <c r="EX35">
        <v>0.8</v>
      </c>
      <c r="EY35">
        <v>3</v>
      </c>
      <c r="EZ35">
        <v>2</v>
      </c>
      <c r="FA35">
        <v>0</v>
      </c>
      <c r="FB35">
        <v>6.2</v>
      </c>
      <c r="FC35" t="s">
        <v>1331</v>
      </c>
      <c r="FD35">
        <v>7</v>
      </c>
    </row>
    <row r="36" spans="1:160" ht="24.95" customHeight="1" thickBot="1" x14ac:dyDescent="0.3">
      <c r="A36" s="29" t="str">
        <f t="shared" si="0"/>
        <v>35º</v>
      </c>
      <c r="B36" s="67" t="str">
        <f t="shared" si="118"/>
        <v>Mario Sergio</v>
      </c>
      <c r="C36" s="83" t="str">
        <f t="shared" si="119"/>
        <v>BRA</v>
      </c>
      <c r="D36" s="9" t="str">
        <f t="shared" si="120"/>
        <v>Sapporo</v>
      </c>
      <c r="E36" s="91" t="str">
        <f t="shared" si="121"/>
        <v>Pé Direito</v>
      </c>
      <c r="F36" s="155">
        <f t="shared" si="122"/>
        <v>1.81</v>
      </c>
      <c r="G36" s="35">
        <f t="shared" si="123"/>
        <v>46568</v>
      </c>
      <c r="H36" s="7">
        <f t="shared" si="124"/>
        <v>31</v>
      </c>
      <c r="I36" s="299" t="str">
        <f t="shared" si="125"/>
        <v>19,5m € - 30m € p/m</v>
      </c>
      <c r="J36" s="3" t="str">
        <f t="shared" si="126"/>
        <v>50m € - 500m €</v>
      </c>
      <c r="K36" s="89">
        <f t="shared" si="10"/>
        <v>31.398046398046404</v>
      </c>
      <c r="L36" s="133">
        <f t="shared" si="127"/>
        <v>36.733333333333334</v>
      </c>
      <c r="M36" s="134">
        <f t="shared" si="128"/>
        <v>40</v>
      </c>
      <c r="N36" s="134">
        <f t="shared" si="129"/>
        <v>82.65</v>
      </c>
      <c r="O36" s="173">
        <f t="shared" si="130"/>
        <v>0.98</v>
      </c>
      <c r="P36" s="402">
        <f t="shared" si="131"/>
        <v>11</v>
      </c>
      <c r="Q36" s="402">
        <f t="shared" si="132"/>
        <v>7</v>
      </c>
      <c r="R36" s="402">
        <f t="shared" si="133"/>
        <v>18</v>
      </c>
      <c r="S36" s="6">
        <f t="shared" si="134"/>
        <v>2</v>
      </c>
      <c r="T36" s="24">
        <f t="shared" si="135"/>
        <v>1653</v>
      </c>
      <c r="U36" s="21">
        <f t="shared" si="136"/>
        <v>5.4446460980036297E-2</v>
      </c>
      <c r="V36" s="298">
        <f t="shared" si="137"/>
        <v>0</v>
      </c>
      <c r="W36" s="300">
        <f t="shared" si="138"/>
        <v>0</v>
      </c>
      <c r="X36" s="298">
        <f t="shared" si="139"/>
        <v>0</v>
      </c>
      <c r="Y36" s="300">
        <f t="shared" si="140"/>
        <v>0</v>
      </c>
      <c r="Z36" s="290">
        <f t="shared" si="141"/>
        <v>0</v>
      </c>
      <c r="AA36" s="298">
        <f t="shared" si="142"/>
        <v>0</v>
      </c>
      <c r="AB36" s="286">
        <f t="shared" si="143"/>
        <v>2</v>
      </c>
      <c r="AC36" s="286">
        <f t="shared" si="144"/>
        <v>2</v>
      </c>
      <c r="AD36" s="286">
        <f t="shared" si="145"/>
        <v>0</v>
      </c>
      <c r="AE36" s="21">
        <f t="shared" si="146"/>
        <v>1</v>
      </c>
      <c r="AF36" s="421">
        <f t="shared" si="147"/>
        <v>11</v>
      </c>
      <c r="AG36" s="421">
        <f t="shared" si="148"/>
        <v>7</v>
      </c>
      <c r="AH36" s="421">
        <f t="shared" si="149"/>
        <v>18</v>
      </c>
      <c r="AI36" s="421">
        <f t="shared" si="150"/>
        <v>9</v>
      </c>
      <c r="AJ36" s="420">
        <f t="shared" si="151"/>
        <v>4</v>
      </c>
      <c r="AK36" s="422">
        <f t="shared" si="152"/>
        <v>0.29945553539019965</v>
      </c>
      <c r="AL36" s="422">
        <f t="shared" si="153"/>
        <v>0.19056261343012704</v>
      </c>
      <c r="AM36" s="422">
        <f t="shared" si="154"/>
        <v>0.49001814882032668</v>
      </c>
      <c r="AN36" s="5">
        <f t="shared" si="155"/>
        <v>12.41</v>
      </c>
      <c r="AO36" s="5">
        <f t="shared" si="156"/>
        <v>10.83</v>
      </c>
      <c r="AP36" s="5">
        <f t="shared" si="157"/>
        <v>0.29482758620689653</v>
      </c>
      <c r="AQ36" s="5">
        <f t="shared" si="158"/>
        <v>5.49</v>
      </c>
      <c r="AR36" s="5">
        <f t="shared" si="159"/>
        <v>0.14945553539019965</v>
      </c>
      <c r="AS36" s="5">
        <f t="shared" si="160"/>
        <v>16.32</v>
      </c>
      <c r="AT36" s="5">
        <f t="shared" si="161"/>
        <v>0.44428312159709621</v>
      </c>
      <c r="AU36" s="21">
        <f t="shared" si="162"/>
        <v>0.43955164131305047</v>
      </c>
      <c r="AV36" s="21">
        <f t="shared" si="163"/>
        <v>0.46988466467321655</v>
      </c>
      <c r="AW36" s="6">
        <f t="shared" si="164"/>
        <v>32</v>
      </c>
      <c r="AX36" s="6">
        <f t="shared" si="165"/>
        <v>8</v>
      </c>
      <c r="AY36" s="21">
        <f t="shared" si="166"/>
        <v>0.25</v>
      </c>
      <c r="AZ36" s="304">
        <f t="shared" si="167"/>
        <v>66</v>
      </c>
      <c r="BA36" s="305">
        <f t="shared" si="168"/>
        <v>1.7967332123411979</v>
      </c>
      <c r="BB36" s="413">
        <f t="shared" si="169"/>
        <v>25.188500000000001</v>
      </c>
      <c r="BC36" s="413">
        <f t="shared" si="170"/>
        <v>0.6857123411978221</v>
      </c>
      <c r="BD36" s="6">
        <f t="shared" si="171"/>
        <v>1209</v>
      </c>
      <c r="BE36" s="5">
        <f t="shared" si="172"/>
        <v>32.91288566243194</v>
      </c>
      <c r="BF36" s="6">
        <f t="shared" si="173"/>
        <v>1049</v>
      </c>
      <c r="BG36" s="5">
        <f t="shared" si="174"/>
        <v>28.557168784029038</v>
      </c>
      <c r="BH36" s="21">
        <f t="shared" si="175"/>
        <v>0.86765922249793215</v>
      </c>
      <c r="BI36" s="417">
        <f t="shared" si="176"/>
        <v>160</v>
      </c>
      <c r="BJ36" s="418">
        <f t="shared" si="177"/>
        <v>4.3557168784029034</v>
      </c>
      <c r="BK36" s="195">
        <f t="shared" si="178"/>
        <v>55</v>
      </c>
      <c r="BL36" s="5">
        <f t="shared" si="179"/>
        <v>1.4972776769509981</v>
      </c>
      <c r="BM36" s="21">
        <f t="shared" si="180"/>
        <v>4.5492142266335814E-2</v>
      </c>
      <c r="BN36" s="195">
        <f t="shared" si="181"/>
        <v>36</v>
      </c>
      <c r="BO36" s="185">
        <f t="shared" si="182"/>
        <v>0.98003629764065336</v>
      </c>
      <c r="BP36" s="5">
        <f t="shared" si="183"/>
        <v>5.1428571428571432</v>
      </c>
      <c r="BQ36" s="21">
        <f t="shared" si="184"/>
        <v>0.19444444444444445</v>
      </c>
      <c r="BR36" s="5">
        <f t="shared" si="185"/>
        <v>-1.5099999999999998</v>
      </c>
      <c r="BS36" s="5">
        <f t="shared" si="186"/>
        <v>0.1525</v>
      </c>
      <c r="BT36" s="24">
        <f t="shared" si="187"/>
        <v>91.833333333333329</v>
      </c>
      <c r="BU36" s="5">
        <f t="shared" si="188"/>
        <v>33.734693877551024</v>
      </c>
      <c r="BV36" s="5">
        <f t="shared" si="189"/>
        <v>-1.4100000000000001</v>
      </c>
      <c r="BW36" s="5">
        <f t="shared" si="190"/>
        <v>-2.99</v>
      </c>
      <c r="BX36" s="6">
        <f t="shared" si="191"/>
        <v>117</v>
      </c>
      <c r="BY36" s="5">
        <f t="shared" si="192"/>
        <v>3.1851179673321233</v>
      </c>
      <c r="BZ36" s="6">
        <f t="shared" si="193"/>
        <v>67</v>
      </c>
      <c r="CA36" s="5">
        <f t="shared" si="194"/>
        <v>1.8239564428312158</v>
      </c>
      <c r="CB36" s="6">
        <f t="shared" si="195"/>
        <v>52</v>
      </c>
      <c r="CC36" s="5">
        <f t="shared" si="196"/>
        <v>1.4156079854809438</v>
      </c>
      <c r="CD36" s="5">
        <f t="shared" si="197"/>
        <v>1.3611615245009074</v>
      </c>
      <c r="CE36" s="21">
        <f t="shared" si="198"/>
        <v>0.42735042735042733</v>
      </c>
      <c r="CF36" s="5">
        <f t="shared" si="199"/>
        <v>13</v>
      </c>
      <c r="CG36" s="5">
        <f t="shared" si="200"/>
        <v>4.7272727272727275</v>
      </c>
      <c r="CH36" s="21">
        <f t="shared" si="201"/>
        <v>7.6923076923076927E-2</v>
      </c>
      <c r="CI36" s="298">
        <f t="shared" si="202"/>
        <v>5</v>
      </c>
      <c r="CJ36" s="298">
        <f t="shared" si="203"/>
        <v>4</v>
      </c>
      <c r="CK36" s="298">
        <f t="shared" si="204"/>
        <v>2</v>
      </c>
      <c r="CL36" s="21">
        <f t="shared" si="205"/>
        <v>0.10889292196007259</v>
      </c>
      <c r="CM36" s="6">
        <f t="shared" si="206"/>
        <v>18.3</v>
      </c>
      <c r="CN36" s="5">
        <f t="shared" si="207"/>
        <v>0.49818511796733211</v>
      </c>
      <c r="CO36" s="167">
        <f t="shared" si="208"/>
        <v>253</v>
      </c>
      <c r="CP36" s="5">
        <f t="shared" si="209"/>
        <v>6.8874773139745917</v>
      </c>
      <c r="CQ36" s="6">
        <f t="shared" si="210"/>
        <v>162</v>
      </c>
      <c r="CR36" s="5">
        <f t="shared" si="211"/>
        <v>4.4101633393829403</v>
      </c>
      <c r="CS36" s="21">
        <f t="shared" si="212"/>
        <v>0.64031620553359681</v>
      </c>
      <c r="CT36" s="6">
        <f t="shared" si="213"/>
        <v>124.49000000000001</v>
      </c>
      <c r="CU36" s="5">
        <f t="shared" si="214"/>
        <v>3.3890199637023595</v>
      </c>
      <c r="CV36" s="6">
        <f t="shared" si="215"/>
        <v>124.99000000000001</v>
      </c>
      <c r="CW36" s="5">
        <f t="shared" si="216"/>
        <v>3.4026315789473687</v>
      </c>
      <c r="CX36" s="385">
        <f t="shared" si="217"/>
        <v>10.801170598911073</v>
      </c>
      <c r="CY36" s="5">
        <f t="shared" si="218"/>
        <v>41.978221415607983</v>
      </c>
      <c r="CZ36" s="5">
        <f t="shared" si="219"/>
        <v>31.361161524500908</v>
      </c>
      <c r="DA36" s="6">
        <f t="shared" si="220"/>
        <v>91</v>
      </c>
      <c r="DB36" s="5">
        <f t="shared" si="221"/>
        <v>2.4773139745916515</v>
      </c>
      <c r="DC36" s="6">
        <f t="shared" si="222"/>
        <v>318</v>
      </c>
      <c r="DD36" s="5">
        <f t="shared" si="223"/>
        <v>8.6569872958257719</v>
      </c>
      <c r="DE36" s="6">
        <f t="shared" si="224"/>
        <v>167</v>
      </c>
      <c r="DF36" s="5">
        <f t="shared" si="225"/>
        <v>4.5462794918330305</v>
      </c>
      <c r="DG36" s="6">
        <f t="shared" si="226"/>
        <v>251</v>
      </c>
      <c r="DH36" s="5">
        <f t="shared" si="227"/>
        <v>6.8330308529945549</v>
      </c>
      <c r="DI36" s="5">
        <f t="shared" si="228"/>
        <v>18.3</v>
      </c>
      <c r="DJ36" s="5">
        <f t="shared" si="229"/>
        <v>385.6</v>
      </c>
      <c r="DK36" s="5">
        <f t="shared" si="230"/>
        <v>10.497277676950999</v>
      </c>
      <c r="DL36" s="286">
        <f t="shared" si="231"/>
        <v>301.21333333333331</v>
      </c>
      <c r="DM36" s="287">
        <f t="shared" si="232"/>
        <v>8.1999999999999993</v>
      </c>
      <c r="DN36" s="60">
        <f t="shared" si="233"/>
        <v>6.83</v>
      </c>
      <c r="DO36" t="s">
        <v>19</v>
      </c>
      <c r="DP36" t="s">
        <v>13</v>
      </c>
      <c r="DQ36" t="s">
        <v>1332</v>
      </c>
      <c r="DR36">
        <v>31</v>
      </c>
      <c r="DS36" t="s">
        <v>1333</v>
      </c>
      <c r="DT36" t="s">
        <v>557</v>
      </c>
      <c r="DU36" t="s">
        <v>573</v>
      </c>
      <c r="DV36" t="s">
        <v>1334</v>
      </c>
      <c r="DW36" t="s">
        <v>1335</v>
      </c>
      <c r="DX36" s="430">
        <v>46568</v>
      </c>
      <c r="DY36">
        <v>3306</v>
      </c>
      <c r="DZ36" t="s">
        <v>1336</v>
      </c>
      <c r="EA36">
        <v>2</v>
      </c>
      <c r="EB36">
        <v>11</v>
      </c>
      <c r="EC36">
        <v>7</v>
      </c>
      <c r="ED36">
        <v>12</v>
      </c>
      <c r="EE36">
        <v>18.3</v>
      </c>
      <c r="EF36" t="s">
        <v>1337</v>
      </c>
      <c r="EG36" t="s">
        <v>1338</v>
      </c>
      <c r="EH36">
        <v>43</v>
      </c>
      <c r="EI36">
        <v>72</v>
      </c>
      <c r="EJ36">
        <v>1209</v>
      </c>
      <c r="EK36">
        <v>1049</v>
      </c>
      <c r="EL36">
        <v>36</v>
      </c>
      <c r="EM36">
        <v>55</v>
      </c>
      <c r="EN36">
        <v>66</v>
      </c>
      <c r="EO36">
        <v>119</v>
      </c>
      <c r="EP36">
        <v>52</v>
      </c>
      <c r="EQ36">
        <v>142</v>
      </c>
      <c r="ER36">
        <v>27</v>
      </c>
      <c r="ES36">
        <v>32</v>
      </c>
      <c r="ET36">
        <v>8</v>
      </c>
      <c r="EU36">
        <v>32</v>
      </c>
      <c r="EV36">
        <v>8</v>
      </c>
      <c r="EW36">
        <v>4</v>
      </c>
      <c r="EX36">
        <v>1</v>
      </c>
      <c r="EY36">
        <v>0</v>
      </c>
      <c r="EZ36">
        <v>2</v>
      </c>
      <c r="FA36">
        <v>2</v>
      </c>
      <c r="FB36">
        <v>8.1999999999999993</v>
      </c>
      <c r="FC36" t="s">
        <v>1331</v>
      </c>
      <c r="FD36">
        <v>6.83</v>
      </c>
    </row>
    <row r="37" spans="1:160" ht="24.95" customHeight="1" thickBot="1" x14ac:dyDescent="0.3">
      <c r="A37" s="29" t="str">
        <f t="shared" si="0"/>
        <v>36º</v>
      </c>
      <c r="B37" s="67" t="str">
        <f t="shared" si="118"/>
        <v>João Klauss</v>
      </c>
      <c r="C37" s="83" t="str">
        <f t="shared" si="119"/>
        <v>BRA</v>
      </c>
      <c r="D37" s="9" t="str">
        <f t="shared" si="120"/>
        <v>LA Galaxy</v>
      </c>
      <c r="E37" s="91" t="str">
        <f t="shared" si="121"/>
        <v>Pé Preferido Desconhecido</v>
      </c>
      <c r="F37" s="155">
        <f t="shared" si="122"/>
        <v>1.9</v>
      </c>
      <c r="G37" s="35">
        <f t="shared" si="123"/>
        <v>47483</v>
      </c>
      <c r="H37" s="7">
        <f t="shared" si="124"/>
        <v>29</v>
      </c>
      <c r="I37" s="299" t="str">
        <f t="shared" si="125"/>
        <v>51m € - 83m € p/m</v>
      </c>
      <c r="J37" s="3" t="str">
        <f t="shared" si="126"/>
        <v>Desconhecido</v>
      </c>
      <c r="K37" s="89">
        <f t="shared" si="10"/>
        <v>31.398046398046404</v>
      </c>
      <c r="L37" s="133">
        <f t="shared" si="127"/>
        <v>53.9</v>
      </c>
      <c r="M37" s="134">
        <f t="shared" si="128"/>
        <v>58</v>
      </c>
      <c r="N37" s="134">
        <f t="shared" si="129"/>
        <v>83.637931034482762</v>
      </c>
      <c r="O37" s="173">
        <f t="shared" si="130"/>
        <v>0.91</v>
      </c>
      <c r="P37" s="402">
        <f t="shared" si="131"/>
        <v>27</v>
      </c>
      <c r="Q37" s="402">
        <f t="shared" si="132"/>
        <v>2</v>
      </c>
      <c r="R37" s="402">
        <f t="shared" si="133"/>
        <v>29</v>
      </c>
      <c r="S37" s="6">
        <f t="shared" si="134"/>
        <v>1</v>
      </c>
      <c r="T37" s="24">
        <f t="shared" si="135"/>
        <v>4851</v>
      </c>
      <c r="U37" s="21">
        <f t="shared" si="136"/>
        <v>1.8552875695732839E-2</v>
      </c>
      <c r="V37" s="298">
        <f t="shared" si="137"/>
        <v>0</v>
      </c>
      <c r="W37" s="300">
        <f t="shared" si="138"/>
        <v>0</v>
      </c>
      <c r="X37" s="298">
        <f t="shared" si="139"/>
        <v>0</v>
      </c>
      <c r="Y37" s="300">
        <f t="shared" si="140"/>
        <v>0</v>
      </c>
      <c r="Z37" s="290">
        <f t="shared" si="141"/>
        <v>0</v>
      </c>
      <c r="AA37" s="298">
        <f t="shared" si="142"/>
        <v>0</v>
      </c>
      <c r="AB37" s="286">
        <f t="shared" si="143"/>
        <v>6</v>
      </c>
      <c r="AC37" s="286">
        <f t="shared" si="144"/>
        <v>4</v>
      </c>
      <c r="AD37" s="286">
        <f t="shared" si="145"/>
        <v>2</v>
      </c>
      <c r="AE37" s="21">
        <f t="shared" si="146"/>
        <v>0.66666666666666663</v>
      </c>
      <c r="AF37" s="421">
        <f t="shared" si="147"/>
        <v>27</v>
      </c>
      <c r="AG37" s="421">
        <f t="shared" si="148"/>
        <v>2</v>
      </c>
      <c r="AH37" s="421">
        <f t="shared" si="149"/>
        <v>29</v>
      </c>
      <c r="AI37" s="421">
        <f t="shared" si="150"/>
        <v>23</v>
      </c>
      <c r="AJ37" s="420">
        <f t="shared" si="151"/>
        <v>4</v>
      </c>
      <c r="AK37" s="422">
        <f t="shared" si="152"/>
        <v>0.5009276437847866</v>
      </c>
      <c r="AL37" s="422">
        <f t="shared" si="153"/>
        <v>3.7105751391465679E-2</v>
      </c>
      <c r="AM37" s="422">
        <f t="shared" si="154"/>
        <v>0.53803339517625237</v>
      </c>
      <c r="AN37" s="5">
        <f t="shared" si="155"/>
        <v>22.74</v>
      </c>
      <c r="AO37" s="5">
        <f t="shared" si="156"/>
        <v>18</v>
      </c>
      <c r="AP37" s="5">
        <f t="shared" si="157"/>
        <v>0.33395176252319109</v>
      </c>
      <c r="AQ37" s="5">
        <f t="shared" si="158"/>
        <v>3.93</v>
      </c>
      <c r="AR37" s="5">
        <f t="shared" si="159"/>
        <v>7.2912801484230058E-2</v>
      </c>
      <c r="AS37" s="5">
        <f t="shared" si="160"/>
        <v>21.93</v>
      </c>
      <c r="AT37" s="5">
        <f t="shared" si="161"/>
        <v>0.40686456400742116</v>
      </c>
      <c r="AU37" s="21">
        <f t="shared" si="162"/>
        <v>0.66273187183811133</v>
      </c>
      <c r="AV37" s="21">
        <f t="shared" si="163"/>
        <v>0.54282267792521111</v>
      </c>
      <c r="AW37" s="6">
        <f t="shared" si="164"/>
        <v>12</v>
      </c>
      <c r="AX37" s="6">
        <f t="shared" si="165"/>
        <v>2</v>
      </c>
      <c r="AY37" s="21">
        <f t="shared" si="166"/>
        <v>0.16666666666666666</v>
      </c>
      <c r="AZ37" s="304">
        <f t="shared" si="167"/>
        <v>10</v>
      </c>
      <c r="BA37" s="305">
        <f t="shared" si="168"/>
        <v>0.1855287569573284</v>
      </c>
      <c r="BB37" s="413">
        <f t="shared" si="169"/>
        <v>14.9495</v>
      </c>
      <c r="BC37" s="413">
        <f t="shared" si="170"/>
        <v>0.27735621521335801</v>
      </c>
      <c r="BD37" s="6">
        <f t="shared" si="171"/>
        <v>1354</v>
      </c>
      <c r="BE37" s="5">
        <f t="shared" si="172"/>
        <v>25.120593692022265</v>
      </c>
      <c r="BF37" s="6">
        <f t="shared" si="173"/>
        <v>1104</v>
      </c>
      <c r="BG37" s="5">
        <f t="shared" si="174"/>
        <v>20.482374768089056</v>
      </c>
      <c r="BH37" s="21">
        <f t="shared" si="175"/>
        <v>0.81536189069423926</v>
      </c>
      <c r="BI37" s="417">
        <f t="shared" si="176"/>
        <v>250</v>
      </c>
      <c r="BJ37" s="418">
        <f t="shared" si="177"/>
        <v>4.6382189239332101</v>
      </c>
      <c r="BK37" s="195">
        <f t="shared" si="178"/>
        <v>34</v>
      </c>
      <c r="BL37" s="5">
        <f t="shared" si="179"/>
        <v>0.63079777365491652</v>
      </c>
      <c r="BM37" s="21">
        <f t="shared" si="180"/>
        <v>2.5110782865583457E-2</v>
      </c>
      <c r="BN37" s="195">
        <f t="shared" si="181"/>
        <v>38</v>
      </c>
      <c r="BO37" s="185">
        <f t="shared" si="182"/>
        <v>0.70500927643784783</v>
      </c>
      <c r="BP37" s="5">
        <f t="shared" si="183"/>
        <v>19</v>
      </c>
      <c r="BQ37" s="21">
        <f t="shared" si="184"/>
        <v>5.2631578947368418E-2</v>
      </c>
      <c r="BR37" s="5">
        <f t="shared" si="185"/>
        <v>1.9300000000000002</v>
      </c>
      <c r="BS37" s="5">
        <f t="shared" si="186"/>
        <v>0.10342105263157896</v>
      </c>
      <c r="BT37" s="24">
        <f t="shared" si="187"/>
        <v>127.65789473684211</v>
      </c>
      <c r="BU37" s="5">
        <f t="shared" si="188"/>
        <v>36.201492537313435</v>
      </c>
      <c r="BV37" s="5">
        <f t="shared" si="189"/>
        <v>4.2600000000000016</v>
      </c>
      <c r="BW37" s="5">
        <f t="shared" si="190"/>
        <v>1.1000000000000014</v>
      </c>
      <c r="BX37" s="6">
        <f t="shared" si="191"/>
        <v>167</v>
      </c>
      <c r="BY37" s="5">
        <f t="shared" si="192"/>
        <v>3.0983302411873841</v>
      </c>
      <c r="BZ37" s="6">
        <f t="shared" si="193"/>
        <v>82</v>
      </c>
      <c r="CA37" s="5">
        <f t="shared" si="194"/>
        <v>1.5213358070500929</v>
      </c>
      <c r="CB37" s="6">
        <f t="shared" si="195"/>
        <v>91</v>
      </c>
      <c r="CC37" s="5">
        <f t="shared" si="196"/>
        <v>1.6883116883116884</v>
      </c>
      <c r="CD37" s="5">
        <f t="shared" si="197"/>
        <v>1.6141001855287569</v>
      </c>
      <c r="CE37" s="21">
        <f t="shared" si="198"/>
        <v>0.52095808383233533</v>
      </c>
      <c r="CF37" s="5">
        <f t="shared" si="199"/>
        <v>7.2608695652173916</v>
      </c>
      <c r="CG37" s="5">
        <f t="shared" si="200"/>
        <v>3.3703703703703702</v>
      </c>
      <c r="CH37" s="21">
        <f t="shared" si="201"/>
        <v>0.1377245508982036</v>
      </c>
      <c r="CI37" s="298">
        <f t="shared" si="202"/>
        <v>17</v>
      </c>
      <c r="CJ37" s="298">
        <f t="shared" si="203"/>
        <v>4</v>
      </c>
      <c r="CK37" s="298">
        <f t="shared" si="204"/>
        <v>6</v>
      </c>
      <c r="CL37" s="21">
        <f t="shared" si="205"/>
        <v>0.12368583797155226</v>
      </c>
      <c r="CM37" s="6">
        <f t="shared" si="206"/>
        <v>10.199999999999999</v>
      </c>
      <c r="CN37" s="5">
        <f t="shared" si="207"/>
        <v>0.18923933209647495</v>
      </c>
      <c r="CO37" s="167">
        <f t="shared" si="208"/>
        <v>233</v>
      </c>
      <c r="CP37" s="5">
        <f t="shared" si="209"/>
        <v>4.3228200371057515</v>
      </c>
      <c r="CQ37" s="6">
        <f t="shared" si="210"/>
        <v>141</v>
      </c>
      <c r="CR37" s="5">
        <f t="shared" si="211"/>
        <v>2.6159554730983303</v>
      </c>
      <c r="CS37" s="21">
        <f t="shared" si="212"/>
        <v>0.60515021459227469</v>
      </c>
      <c r="CT37" s="6">
        <f t="shared" si="213"/>
        <v>158.43</v>
      </c>
      <c r="CU37" s="5">
        <f t="shared" si="214"/>
        <v>2.9393320964749536</v>
      </c>
      <c r="CV37" s="6">
        <f t="shared" si="215"/>
        <v>161.68</v>
      </c>
      <c r="CW37" s="5">
        <f t="shared" si="216"/>
        <v>2.9996289424860856</v>
      </c>
      <c r="CX37" s="385">
        <f t="shared" si="217"/>
        <v>7.2633951762523186</v>
      </c>
      <c r="CY37" s="5">
        <f t="shared" si="218"/>
        <v>30.463821892393323</v>
      </c>
      <c r="CZ37" s="5">
        <f t="shared" si="219"/>
        <v>22.022263450834881</v>
      </c>
      <c r="DA37" s="6">
        <f t="shared" si="220"/>
        <v>72</v>
      </c>
      <c r="DB37" s="5">
        <f t="shared" si="221"/>
        <v>1.3358070500927643</v>
      </c>
      <c r="DC37" s="6">
        <f t="shared" si="222"/>
        <v>272</v>
      </c>
      <c r="DD37" s="5">
        <f t="shared" si="223"/>
        <v>5.0463821892393321</v>
      </c>
      <c r="DE37" s="6">
        <f t="shared" si="224"/>
        <v>222</v>
      </c>
      <c r="DF37" s="5">
        <f t="shared" si="225"/>
        <v>4.1187384044526905</v>
      </c>
      <c r="DG37" s="6">
        <f t="shared" si="226"/>
        <v>342</v>
      </c>
      <c r="DH37" s="5">
        <f t="shared" si="227"/>
        <v>6.3450834879406308</v>
      </c>
      <c r="DI37" s="5">
        <f t="shared" si="228"/>
        <v>10.199999999999999</v>
      </c>
      <c r="DJ37" s="5">
        <f t="shared" si="229"/>
        <v>342</v>
      </c>
      <c r="DK37" s="5">
        <f t="shared" si="230"/>
        <v>6.3450834879406308</v>
      </c>
      <c r="DL37" s="286">
        <f t="shared" si="231"/>
        <v>258.71999999999997</v>
      </c>
      <c r="DM37" s="287">
        <f t="shared" si="232"/>
        <v>4.8</v>
      </c>
      <c r="DN37" s="60">
        <f t="shared" si="233"/>
        <v>7.13</v>
      </c>
      <c r="DO37"/>
      <c r="DP37" t="s">
        <v>13</v>
      </c>
      <c r="DQ37" t="s">
        <v>1339</v>
      </c>
      <c r="DR37">
        <v>29</v>
      </c>
      <c r="DS37" t="s">
        <v>1340</v>
      </c>
      <c r="DT37" t="s">
        <v>798</v>
      </c>
      <c r="DU37" t="s">
        <v>1201</v>
      </c>
      <c r="DV37" t="s">
        <v>1202</v>
      </c>
      <c r="DW37" t="s">
        <v>1341</v>
      </c>
      <c r="DX37" s="430">
        <v>47483</v>
      </c>
      <c r="DY37">
        <v>4851</v>
      </c>
      <c r="DZ37" t="s">
        <v>1342</v>
      </c>
      <c r="EA37">
        <v>1</v>
      </c>
      <c r="EB37">
        <v>27</v>
      </c>
      <c r="EC37">
        <v>2</v>
      </c>
      <c r="ED37">
        <v>11</v>
      </c>
      <c r="EE37">
        <v>10.199999999999999</v>
      </c>
      <c r="EF37" t="s">
        <v>1343</v>
      </c>
      <c r="EG37" t="s">
        <v>1344</v>
      </c>
      <c r="EH37">
        <v>44</v>
      </c>
      <c r="EI37">
        <v>78</v>
      </c>
      <c r="EJ37">
        <v>1354</v>
      </c>
      <c r="EK37">
        <v>1104</v>
      </c>
      <c r="EL37">
        <v>38</v>
      </c>
      <c r="EM37">
        <v>34</v>
      </c>
      <c r="EN37">
        <v>10</v>
      </c>
      <c r="EO37">
        <v>173</v>
      </c>
      <c r="EP37">
        <v>91</v>
      </c>
      <c r="EQ37">
        <v>54</v>
      </c>
      <c r="ER37">
        <v>14</v>
      </c>
      <c r="ES37">
        <v>12</v>
      </c>
      <c r="ET37">
        <v>2</v>
      </c>
      <c r="EU37">
        <v>12</v>
      </c>
      <c r="EV37">
        <v>2</v>
      </c>
      <c r="EW37">
        <v>4</v>
      </c>
      <c r="EX37">
        <v>0.6</v>
      </c>
      <c r="EY37">
        <v>0</v>
      </c>
      <c r="EZ37">
        <v>6</v>
      </c>
      <c r="FA37">
        <v>4</v>
      </c>
      <c r="FB37">
        <v>4.8</v>
      </c>
      <c r="FC37" t="s">
        <v>1345</v>
      </c>
      <c r="FD37">
        <v>7.13</v>
      </c>
    </row>
    <row r="38" spans="1:160" ht="24.95" customHeight="1" thickBot="1" x14ac:dyDescent="0.3">
      <c r="A38" s="29" t="str">
        <f t="shared" si="0"/>
        <v>37º</v>
      </c>
      <c r="B38" s="67" t="str">
        <f t="shared" si="118"/>
        <v>Matheus Peixoto</v>
      </c>
      <c r="C38" s="83" t="str">
        <f t="shared" si="119"/>
        <v>BRA</v>
      </c>
      <c r="D38" s="9" t="str">
        <f t="shared" si="120"/>
        <v>Iwata</v>
      </c>
      <c r="E38" s="91" t="str">
        <f t="shared" si="121"/>
        <v>Pé Direito</v>
      </c>
      <c r="F38" s="155">
        <f t="shared" si="122"/>
        <v>1.9</v>
      </c>
      <c r="G38" s="35">
        <f t="shared" si="123"/>
        <v>46568</v>
      </c>
      <c r="H38" s="7">
        <f t="shared" si="124"/>
        <v>31</v>
      </c>
      <c r="I38" s="299" t="str">
        <f t="shared" si="125"/>
        <v>21m € - 30m € p/m</v>
      </c>
      <c r="J38" s="3" t="str">
        <f t="shared" si="126"/>
        <v>100m € - 1M €</v>
      </c>
      <c r="K38" s="89">
        <f t="shared" si="10"/>
        <v>31.398046398046404</v>
      </c>
      <c r="L38" s="133">
        <f t="shared" si="127"/>
        <v>35.299999999999997</v>
      </c>
      <c r="M38" s="134">
        <f t="shared" si="128"/>
        <v>46</v>
      </c>
      <c r="N38" s="134">
        <f t="shared" si="129"/>
        <v>69.065217391304344</v>
      </c>
      <c r="O38" s="173">
        <f t="shared" si="130"/>
        <v>0.67</v>
      </c>
      <c r="P38" s="402">
        <f t="shared" si="131"/>
        <v>17</v>
      </c>
      <c r="Q38" s="402">
        <f t="shared" si="132"/>
        <v>2</v>
      </c>
      <c r="R38" s="402">
        <f t="shared" si="133"/>
        <v>19</v>
      </c>
      <c r="S38" s="6">
        <f t="shared" si="134"/>
        <v>0</v>
      </c>
      <c r="T38" s="24">
        <f t="shared" si="135"/>
        <v>5000</v>
      </c>
      <c r="U38" s="21">
        <f t="shared" si="136"/>
        <v>0</v>
      </c>
      <c r="V38" s="298">
        <f t="shared" si="137"/>
        <v>226</v>
      </c>
      <c r="W38" s="300">
        <f t="shared" si="138"/>
        <v>6.402266288951842</v>
      </c>
      <c r="X38" s="298">
        <f t="shared" si="139"/>
        <v>32</v>
      </c>
      <c r="Y38" s="300">
        <f t="shared" si="140"/>
        <v>0.90651558073654404</v>
      </c>
      <c r="Z38" s="290">
        <f t="shared" si="141"/>
        <v>0.1415929203539823</v>
      </c>
      <c r="AA38" s="298">
        <f t="shared" si="142"/>
        <v>5</v>
      </c>
      <c r="AB38" s="286">
        <f t="shared" si="143"/>
        <v>0</v>
      </c>
      <c r="AC38" s="286">
        <f t="shared" si="144"/>
        <v>0</v>
      </c>
      <c r="AD38" s="286">
        <f t="shared" si="145"/>
        <v>0</v>
      </c>
      <c r="AE38" s="21">
        <f t="shared" si="146"/>
        <v>9.9999999999999995E-8</v>
      </c>
      <c r="AF38" s="421">
        <f t="shared" si="147"/>
        <v>17</v>
      </c>
      <c r="AG38" s="421">
        <f t="shared" si="148"/>
        <v>2</v>
      </c>
      <c r="AH38" s="421">
        <f t="shared" si="149"/>
        <v>19</v>
      </c>
      <c r="AI38" s="421">
        <f t="shared" si="150"/>
        <v>17</v>
      </c>
      <c r="AJ38" s="420">
        <f t="shared" si="151"/>
        <v>3</v>
      </c>
      <c r="AK38" s="422">
        <f t="shared" si="152"/>
        <v>0.48158640226628902</v>
      </c>
      <c r="AL38" s="422">
        <f t="shared" si="153"/>
        <v>5.6657223796034002E-2</v>
      </c>
      <c r="AM38" s="422">
        <f t="shared" si="154"/>
        <v>0.53824362606232301</v>
      </c>
      <c r="AN38" s="5">
        <f t="shared" si="155"/>
        <v>8.76</v>
      </c>
      <c r="AO38" s="5">
        <f t="shared" si="156"/>
        <v>8.76</v>
      </c>
      <c r="AP38" s="5">
        <f t="shared" si="157"/>
        <v>0.2481586402266289</v>
      </c>
      <c r="AQ38" s="5">
        <f t="shared" si="158"/>
        <v>3.19</v>
      </c>
      <c r="AR38" s="5">
        <f t="shared" si="159"/>
        <v>9.0368271954674229E-2</v>
      </c>
      <c r="AS38" s="5">
        <f t="shared" si="160"/>
        <v>11.95</v>
      </c>
      <c r="AT38" s="5">
        <f t="shared" si="161"/>
        <v>0.3385269121813031</v>
      </c>
      <c r="AU38" s="21">
        <f t="shared" si="162"/>
        <v>0.61464354527938347</v>
      </c>
      <c r="AV38" s="21">
        <f t="shared" si="163"/>
        <v>0.65993788819875776</v>
      </c>
      <c r="AW38" s="6">
        <f t="shared" si="164"/>
        <v>20</v>
      </c>
      <c r="AX38" s="6">
        <f t="shared" si="165"/>
        <v>8</v>
      </c>
      <c r="AY38" s="21">
        <f t="shared" si="166"/>
        <v>0.4</v>
      </c>
      <c r="AZ38" s="304">
        <f t="shared" si="167"/>
        <v>14</v>
      </c>
      <c r="BA38" s="305">
        <f t="shared" si="168"/>
        <v>0.39660056657223797</v>
      </c>
      <c r="BB38" s="413">
        <f t="shared" si="169"/>
        <v>17.8735</v>
      </c>
      <c r="BC38" s="413">
        <f t="shared" si="170"/>
        <v>0.50633144475920677</v>
      </c>
      <c r="BD38" s="6">
        <f t="shared" si="171"/>
        <v>950</v>
      </c>
      <c r="BE38" s="5">
        <f t="shared" si="172"/>
        <v>26.912181303116149</v>
      </c>
      <c r="BF38" s="6">
        <f t="shared" si="173"/>
        <v>837</v>
      </c>
      <c r="BG38" s="5">
        <f t="shared" si="174"/>
        <v>23.711048158640228</v>
      </c>
      <c r="BH38" s="21">
        <f t="shared" si="175"/>
        <v>0.88105263157894742</v>
      </c>
      <c r="BI38" s="417">
        <f t="shared" si="176"/>
        <v>113</v>
      </c>
      <c r="BJ38" s="418">
        <f t="shared" si="177"/>
        <v>3.201133144475921</v>
      </c>
      <c r="BK38" s="195">
        <f t="shared" si="178"/>
        <v>30</v>
      </c>
      <c r="BL38" s="5">
        <f t="shared" si="179"/>
        <v>0.84985835694050993</v>
      </c>
      <c r="BM38" s="21">
        <f t="shared" si="180"/>
        <v>3.1578947368421054E-2</v>
      </c>
      <c r="BN38" s="195">
        <f t="shared" si="181"/>
        <v>59</v>
      </c>
      <c r="BO38" s="185">
        <f t="shared" si="182"/>
        <v>1.671388101983003</v>
      </c>
      <c r="BP38" s="5">
        <f t="shared" si="183"/>
        <v>29.5</v>
      </c>
      <c r="BQ38" s="21">
        <f t="shared" si="184"/>
        <v>3.3898305084745763E-2</v>
      </c>
      <c r="BR38" s="5">
        <f t="shared" si="185"/>
        <v>1.19</v>
      </c>
      <c r="BS38" s="5">
        <f t="shared" si="186"/>
        <v>5.4067796610169493E-2</v>
      </c>
      <c r="BT38" s="24">
        <f t="shared" si="187"/>
        <v>53.847457627118644</v>
      </c>
      <c r="BU38" s="5">
        <f t="shared" si="188"/>
        <v>26.69747899159664</v>
      </c>
      <c r="BV38" s="5">
        <f t="shared" si="189"/>
        <v>8.24</v>
      </c>
      <c r="BW38" s="5">
        <f t="shared" si="190"/>
        <v>8.24</v>
      </c>
      <c r="BX38" s="6">
        <f t="shared" si="191"/>
        <v>88</v>
      </c>
      <c r="BY38" s="5">
        <f t="shared" si="192"/>
        <v>2.4929178470254958</v>
      </c>
      <c r="BZ38" s="6">
        <f t="shared" si="193"/>
        <v>37</v>
      </c>
      <c r="CA38" s="5">
        <f t="shared" si="194"/>
        <v>1.048158640226629</v>
      </c>
      <c r="CB38" s="6">
        <f t="shared" si="195"/>
        <v>51</v>
      </c>
      <c r="CC38" s="5">
        <f t="shared" si="196"/>
        <v>1.444759206798867</v>
      </c>
      <c r="CD38" s="5">
        <f t="shared" si="197"/>
        <v>1.444759206798867</v>
      </c>
      <c r="CE38" s="21">
        <f t="shared" si="198"/>
        <v>0.57954545454545459</v>
      </c>
      <c r="CF38" s="5">
        <f t="shared" si="199"/>
        <v>5.1764705882352944</v>
      </c>
      <c r="CG38" s="5">
        <f t="shared" si="200"/>
        <v>3</v>
      </c>
      <c r="CH38" s="21">
        <f t="shared" si="201"/>
        <v>0.19318181818181818</v>
      </c>
      <c r="CI38" s="298">
        <f t="shared" si="202"/>
        <v>14</v>
      </c>
      <c r="CJ38" s="298">
        <f t="shared" si="203"/>
        <v>3</v>
      </c>
      <c r="CK38" s="298">
        <f t="shared" si="204"/>
        <v>0</v>
      </c>
      <c r="CL38" s="21">
        <f t="shared" si="205"/>
        <v>0.10623229461756374</v>
      </c>
      <c r="CM38" s="6">
        <f t="shared" si="206"/>
        <v>17.899999999999999</v>
      </c>
      <c r="CN38" s="5">
        <f t="shared" si="207"/>
        <v>0.50708215297450421</v>
      </c>
      <c r="CO38" s="167">
        <f t="shared" si="208"/>
        <v>181</v>
      </c>
      <c r="CP38" s="5">
        <f t="shared" si="209"/>
        <v>5.1274787535410766</v>
      </c>
      <c r="CQ38" s="6">
        <f t="shared" si="210"/>
        <v>132</v>
      </c>
      <c r="CR38" s="5">
        <f t="shared" si="211"/>
        <v>3.7393767705382439</v>
      </c>
      <c r="CS38" s="21">
        <f t="shared" si="212"/>
        <v>0.72928176795580113</v>
      </c>
      <c r="CT38" s="6">
        <f t="shared" si="213"/>
        <v>142.69</v>
      </c>
      <c r="CU38" s="5">
        <f t="shared" si="214"/>
        <v>4.0422096317280456</v>
      </c>
      <c r="CV38" s="6">
        <f t="shared" si="215"/>
        <v>144.44</v>
      </c>
      <c r="CW38" s="5">
        <f t="shared" si="216"/>
        <v>4.0917847025495755</v>
      </c>
      <c r="CX38" s="385">
        <f t="shared" si="217"/>
        <v>10.185354107648724</v>
      </c>
      <c r="CY38" s="5">
        <f t="shared" si="218"/>
        <v>34.61756373937677</v>
      </c>
      <c r="CZ38" s="5">
        <f t="shared" si="219"/>
        <v>26.487252124645895</v>
      </c>
      <c r="DA38" s="6">
        <f t="shared" si="220"/>
        <v>89</v>
      </c>
      <c r="DB38" s="5">
        <f t="shared" si="221"/>
        <v>2.5212464589235131</v>
      </c>
      <c r="DC38" s="6">
        <f t="shared" si="222"/>
        <v>220</v>
      </c>
      <c r="DD38" s="5">
        <f t="shared" si="223"/>
        <v>6.2322946175637401</v>
      </c>
      <c r="DE38" s="6">
        <f t="shared" si="224"/>
        <v>156</v>
      </c>
      <c r="DF38" s="5">
        <f t="shared" si="225"/>
        <v>4.4192634560906523</v>
      </c>
      <c r="DG38" s="6">
        <f t="shared" si="226"/>
        <v>162</v>
      </c>
      <c r="DH38" s="5">
        <f t="shared" si="227"/>
        <v>4.5892351274787542</v>
      </c>
      <c r="DI38" s="5">
        <f t="shared" si="228"/>
        <v>17.899999999999999</v>
      </c>
      <c r="DJ38" s="5">
        <f t="shared" si="229"/>
        <v>350.9</v>
      </c>
      <c r="DK38" s="5">
        <f t="shared" si="230"/>
        <v>9.9405099150141645</v>
      </c>
      <c r="DL38" s="286">
        <f t="shared" si="231"/>
        <v>183.56</v>
      </c>
      <c r="DM38" s="287">
        <f t="shared" si="232"/>
        <v>5.2</v>
      </c>
      <c r="DN38" s="60">
        <f t="shared" si="233"/>
        <v>6.83</v>
      </c>
      <c r="DO38"/>
      <c r="DP38" t="s">
        <v>13</v>
      </c>
      <c r="DQ38" t="s">
        <v>1346</v>
      </c>
      <c r="DR38">
        <v>31</v>
      </c>
      <c r="DS38" t="s">
        <v>1347</v>
      </c>
      <c r="DT38" t="s">
        <v>798</v>
      </c>
      <c r="DU38" t="s">
        <v>573</v>
      </c>
      <c r="DV38" t="s">
        <v>1348</v>
      </c>
      <c r="DW38" t="s">
        <v>1349</v>
      </c>
      <c r="DX38" s="430">
        <v>46568</v>
      </c>
      <c r="DY38">
        <v>3177</v>
      </c>
      <c r="DZ38" t="s">
        <v>1350</v>
      </c>
      <c r="EA38">
        <v>0</v>
      </c>
      <c r="EB38">
        <v>17</v>
      </c>
      <c r="EC38">
        <v>2</v>
      </c>
      <c r="ED38">
        <v>9</v>
      </c>
      <c r="EE38">
        <v>17.899999999999999</v>
      </c>
      <c r="EF38" t="s">
        <v>1351</v>
      </c>
      <c r="EG38" t="s">
        <v>1352</v>
      </c>
      <c r="EH38">
        <v>37</v>
      </c>
      <c r="EI38">
        <v>52</v>
      </c>
      <c r="EJ38">
        <v>950</v>
      </c>
      <c r="EK38">
        <v>837</v>
      </c>
      <c r="EL38">
        <v>59</v>
      </c>
      <c r="EM38">
        <v>30</v>
      </c>
      <c r="EN38">
        <v>14</v>
      </c>
      <c r="EO38">
        <v>88</v>
      </c>
      <c r="EP38">
        <v>51</v>
      </c>
      <c r="EQ38">
        <v>47</v>
      </c>
      <c r="ER38">
        <v>19</v>
      </c>
      <c r="ES38">
        <v>20</v>
      </c>
      <c r="ET38">
        <v>8</v>
      </c>
      <c r="EU38">
        <v>246</v>
      </c>
      <c r="EV38">
        <v>40</v>
      </c>
      <c r="EW38">
        <v>3</v>
      </c>
      <c r="EX38">
        <v>0.8</v>
      </c>
      <c r="EY38">
        <v>5</v>
      </c>
      <c r="EZ38">
        <v>0</v>
      </c>
      <c r="FA38">
        <v>0</v>
      </c>
      <c r="FB38">
        <v>5.2</v>
      </c>
      <c r="FC38" t="s">
        <v>1353</v>
      </c>
      <c r="FD38">
        <v>6.83</v>
      </c>
    </row>
    <row r="39" spans="1:160" ht="24.95" customHeight="1" thickBot="1" x14ac:dyDescent="0.3">
      <c r="A39" s="29" t="str">
        <f t="shared" si="0"/>
        <v>38º</v>
      </c>
      <c r="B39" s="67" t="str">
        <f t="shared" si="118"/>
        <v>Juninho Piauiense</v>
      </c>
      <c r="C39" s="83" t="str">
        <f t="shared" si="119"/>
        <v>BRA</v>
      </c>
      <c r="D39" s="9" t="str">
        <f t="shared" si="120"/>
        <v>Muharraq</v>
      </c>
      <c r="E39" s="91" t="str">
        <f t="shared" si="121"/>
        <v>Pé Preferido Desconhecido</v>
      </c>
      <c r="F39" s="155">
        <f t="shared" si="122"/>
        <v>1.79</v>
      </c>
      <c r="G39" s="35">
        <f t="shared" si="123"/>
        <v>47299</v>
      </c>
      <c r="H39" s="7">
        <f t="shared" si="124"/>
        <v>27</v>
      </c>
      <c r="I39" s="299" t="str">
        <f t="shared" si="125"/>
        <v>9,75m € - 15,5m € p/m</v>
      </c>
      <c r="J39" s="3" t="str">
        <f t="shared" si="126"/>
        <v>Desconhecido</v>
      </c>
      <c r="K39" s="89">
        <f t="shared" si="10"/>
        <v>31.398046398046404</v>
      </c>
      <c r="L39" s="133">
        <f t="shared" si="127"/>
        <v>28.666666666666668</v>
      </c>
      <c r="M39" s="134">
        <f t="shared" si="128"/>
        <v>39</v>
      </c>
      <c r="N39" s="134">
        <f t="shared" si="129"/>
        <v>66.15384615384616</v>
      </c>
      <c r="O39" s="173">
        <f t="shared" si="130"/>
        <v>1</v>
      </c>
      <c r="P39" s="402">
        <f t="shared" si="131"/>
        <v>9</v>
      </c>
      <c r="Q39" s="402">
        <f t="shared" si="132"/>
        <v>2</v>
      </c>
      <c r="R39" s="402">
        <f t="shared" si="133"/>
        <v>11</v>
      </c>
      <c r="S39" s="6">
        <f t="shared" si="134"/>
        <v>1</v>
      </c>
      <c r="T39" s="24">
        <f t="shared" si="135"/>
        <v>2580</v>
      </c>
      <c r="U39" s="21">
        <f t="shared" si="136"/>
        <v>3.4883720930232558E-2</v>
      </c>
      <c r="V39" s="298">
        <f t="shared" si="137"/>
        <v>0</v>
      </c>
      <c r="W39" s="300">
        <f t="shared" si="138"/>
        <v>0</v>
      </c>
      <c r="X39" s="298">
        <f t="shared" si="139"/>
        <v>0</v>
      </c>
      <c r="Y39" s="300">
        <f t="shared" si="140"/>
        <v>0</v>
      </c>
      <c r="Z39" s="290">
        <f t="shared" si="141"/>
        <v>0</v>
      </c>
      <c r="AA39" s="298">
        <f t="shared" si="142"/>
        <v>0</v>
      </c>
      <c r="AB39" s="286">
        <f t="shared" si="143"/>
        <v>3</v>
      </c>
      <c r="AC39" s="286">
        <f t="shared" si="144"/>
        <v>2</v>
      </c>
      <c r="AD39" s="286">
        <f t="shared" si="145"/>
        <v>1</v>
      </c>
      <c r="AE39" s="21">
        <f t="shared" si="146"/>
        <v>0.66666666666666663</v>
      </c>
      <c r="AF39" s="421">
        <f t="shared" si="147"/>
        <v>9</v>
      </c>
      <c r="AG39" s="421">
        <f t="shared" si="148"/>
        <v>2</v>
      </c>
      <c r="AH39" s="421">
        <f t="shared" si="149"/>
        <v>11</v>
      </c>
      <c r="AI39" s="421">
        <f t="shared" si="150"/>
        <v>7</v>
      </c>
      <c r="AJ39" s="420">
        <f t="shared" si="151"/>
        <v>2</v>
      </c>
      <c r="AK39" s="422">
        <f t="shared" si="152"/>
        <v>0.31395348837209303</v>
      </c>
      <c r="AL39" s="422">
        <f t="shared" si="153"/>
        <v>6.9767441860465115E-2</v>
      </c>
      <c r="AM39" s="422">
        <f t="shared" si="154"/>
        <v>0.3837209302325581</v>
      </c>
      <c r="AN39" s="5">
        <f t="shared" si="155"/>
        <v>10.220000000000001</v>
      </c>
      <c r="AO39" s="5">
        <f t="shared" si="156"/>
        <v>7.8500000000000005</v>
      </c>
      <c r="AP39" s="5">
        <f t="shared" si="157"/>
        <v>0.27383720930232558</v>
      </c>
      <c r="AQ39" s="5">
        <f t="shared" si="158"/>
        <v>2.65</v>
      </c>
      <c r="AR39" s="5">
        <f t="shared" si="159"/>
        <v>9.2441860465116266E-2</v>
      </c>
      <c r="AS39" s="5">
        <f t="shared" si="160"/>
        <v>10.5</v>
      </c>
      <c r="AT39" s="5">
        <f t="shared" si="161"/>
        <v>0.36627906976744184</v>
      </c>
      <c r="AU39" s="21">
        <f t="shared" si="162"/>
        <v>0.56989247311827951</v>
      </c>
      <c r="AV39" s="21">
        <f t="shared" si="163"/>
        <v>0.46826222684703439</v>
      </c>
      <c r="AW39" s="6">
        <f t="shared" si="164"/>
        <v>24</v>
      </c>
      <c r="AX39" s="6">
        <f t="shared" si="165"/>
        <v>4</v>
      </c>
      <c r="AY39" s="21">
        <f t="shared" si="166"/>
        <v>0.16666666666666666</v>
      </c>
      <c r="AZ39" s="304">
        <f t="shared" si="167"/>
        <v>29</v>
      </c>
      <c r="BA39" s="305">
        <f t="shared" si="168"/>
        <v>1.0116279069767442</v>
      </c>
      <c r="BB39" s="413">
        <f t="shared" si="169"/>
        <v>15.307500000000001</v>
      </c>
      <c r="BC39" s="413">
        <f t="shared" si="170"/>
        <v>0.53398255813953488</v>
      </c>
      <c r="BD39" s="6">
        <f t="shared" si="171"/>
        <v>743</v>
      </c>
      <c r="BE39" s="5">
        <f t="shared" si="172"/>
        <v>25.918604651162788</v>
      </c>
      <c r="BF39" s="6">
        <f t="shared" si="173"/>
        <v>664</v>
      </c>
      <c r="BG39" s="5">
        <f t="shared" si="174"/>
        <v>23.162790697674417</v>
      </c>
      <c r="BH39" s="21">
        <f t="shared" si="175"/>
        <v>0.89367429340511439</v>
      </c>
      <c r="BI39" s="417">
        <f t="shared" si="176"/>
        <v>79</v>
      </c>
      <c r="BJ39" s="418">
        <f t="shared" si="177"/>
        <v>2.7558139534883721</v>
      </c>
      <c r="BK39" s="195">
        <f t="shared" si="178"/>
        <v>37</v>
      </c>
      <c r="BL39" s="5">
        <f t="shared" si="179"/>
        <v>1.2906976744186045</v>
      </c>
      <c r="BM39" s="21">
        <f t="shared" si="180"/>
        <v>4.9798115746971738E-2</v>
      </c>
      <c r="BN39" s="195">
        <f t="shared" si="181"/>
        <v>34</v>
      </c>
      <c r="BO39" s="185">
        <f t="shared" si="182"/>
        <v>1.1860465116279069</v>
      </c>
      <c r="BP39" s="5">
        <f t="shared" si="183"/>
        <v>17</v>
      </c>
      <c r="BQ39" s="21">
        <f t="shared" si="184"/>
        <v>5.8823529411764705E-2</v>
      </c>
      <c r="BR39" s="5">
        <f t="shared" si="185"/>
        <v>0.64999999999999991</v>
      </c>
      <c r="BS39" s="5">
        <f t="shared" si="186"/>
        <v>7.7941176470588236E-2</v>
      </c>
      <c r="BT39" s="24">
        <f t="shared" si="187"/>
        <v>75.882352941176464</v>
      </c>
      <c r="BU39" s="5">
        <f t="shared" si="188"/>
        <v>34.4</v>
      </c>
      <c r="BV39" s="5">
        <f t="shared" si="189"/>
        <v>-1.2200000000000006</v>
      </c>
      <c r="BW39" s="5">
        <f t="shared" si="190"/>
        <v>-2.8000000000000007</v>
      </c>
      <c r="BX39" s="6">
        <f t="shared" si="191"/>
        <v>78</v>
      </c>
      <c r="BY39" s="5">
        <f t="shared" si="192"/>
        <v>2.7209302325581395</v>
      </c>
      <c r="BZ39" s="6">
        <f t="shared" si="193"/>
        <v>43</v>
      </c>
      <c r="CA39" s="5">
        <f t="shared" si="194"/>
        <v>1.5</v>
      </c>
      <c r="CB39" s="6">
        <f t="shared" si="195"/>
        <v>38</v>
      </c>
      <c r="CC39" s="5">
        <f t="shared" si="196"/>
        <v>1.3255813953488371</v>
      </c>
      <c r="CD39" s="5">
        <f t="shared" si="197"/>
        <v>1.2558139534883721</v>
      </c>
      <c r="CE39" s="21">
        <f t="shared" si="198"/>
        <v>0.46153846153846156</v>
      </c>
      <c r="CF39" s="5">
        <f t="shared" si="199"/>
        <v>11.142857142857142</v>
      </c>
      <c r="CG39" s="5">
        <f t="shared" si="200"/>
        <v>4.2222222222222223</v>
      </c>
      <c r="CH39" s="21">
        <f t="shared" si="201"/>
        <v>8.9743589743589744E-2</v>
      </c>
      <c r="CI39" s="298">
        <f t="shared" si="202"/>
        <v>4</v>
      </c>
      <c r="CJ39" s="298">
        <f t="shared" si="203"/>
        <v>2</v>
      </c>
      <c r="CK39" s="298">
        <f t="shared" si="204"/>
        <v>3</v>
      </c>
      <c r="CL39" s="21">
        <f t="shared" si="205"/>
        <v>7.7519379844961239E-2</v>
      </c>
      <c r="CM39" s="6">
        <f t="shared" si="206"/>
        <v>18.2</v>
      </c>
      <c r="CN39" s="5">
        <f t="shared" si="207"/>
        <v>0.63488372093023249</v>
      </c>
      <c r="CO39" s="167">
        <f t="shared" si="208"/>
        <v>168</v>
      </c>
      <c r="CP39" s="5">
        <f t="shared" si="209"/>
        <v>5.8604651162790695</v>
      </c>
      <c r="CQ39" s="6">
        <f t="shared" si="210"/>
        <v>105</v>
      </c>
      <c r="CR39" s="5">
        <f t="shared" si="211"/>
        <v>3.6627906976744184</v>
      </c>
      <c r="CS39" s="21">
        <f t="shared" si="212"/>
        <v>0.625</v>
      </c>
      <c r="CT39" s="6">
        <f t="shared" si="213"/>
        <v>89.15</v>
      </c>
      <c r="CU39" s="5">
        <f t="shared" si="214"/>
        <v>3.1098837209302328</v>
      </c>
      <c r="CV39" s="6">
        <f t="shared" si="215"/>
        <v>89.9</v>
      </c>
      <c r="CW39" s="5">
        <f t="shared" si="216"/>
        <v>3.136046511627907</v>
      </c>
      <c r="CX39" s="385">
        <f t="shared" si="217"/>
        <v>9.6753837209302311</v>
      </c>
      <c r="CY39" s="5">
        <f t="shared" si="218"/>
        <v>33.732558139534881</v>
      </c>
      <c r="CZ39" s="5">
        <f t="shared" si="219"/>
        <v>25.848837209302324</v>
      </c>
      <c r="DA39" s="6">
        <f t="shared" si="220"/>
        <v>71</v>
      </c>
      <c r="DB39" s="5">
        <f t="shared" si="221"/>
        <v>2.4767441860465116</v>
      </c>
      <c r="DC39" s="6">
        <f t="shared" si="222"/>
        <v>208</v>
      </c>
      <c r="DD39" s="5">
        <f t="shared" si="223"/>
        <v>7.2558139534883717</v>
      </c>
      <c r="DE39" s="6">
        <f t="shared" si="224"/>
        <v>121</v>
      </c>
      <c r="DF39" s="5">
        <f t="shared" si="225"/>
        <v>4.220930232558139</v>
      </c>
      <c r="DG39" s="6">
        <f t="shared" si="226"/>
        <v>142</v>
      </c>
      <c r="DH39" s="5">
        <f t="shared" si="227"/>
        <v>4.9534883720930232</v>
      </c>
      <c r="DI39" s="5">
        <f t="shared" si="228"/>
        <v>18.2</v>
      </c>
      <c r="DJ39" s="5">
        <f t="shared" si="229"/>
        <v>302.7</v>
      </c>
      <c r="DK39" s="5">
        <f t="shared" si="230"/>
        <v>10.559302325581395</v>
      </c>
      <c r="DL39" s="286">
        <f t="shared" si="231"/>
        <v>177.73333333333335</v>
      </c>
      <c r="DM39" s="287">
        <f t="shared" si="232"/>
        <v>6.2</v>
      </c>
      <c r="DN39" s="60">
        <f t="shared" si="233"/>
        <v>6.7</v>
      </c>
      <c r="DO39"/>
      <c r="DP39" t="s">
        <v>13</v>
      </c>
      <c r="DQ39" t="s">
        <v>1354</v>
      </c>
      <c r="DR39">
        <v>27</v>
      </c>
      <c r="DS39" t="s">
        <v>1355</v>
      </c>
      <c r="DT39" t="s">
        <v>565</v>
      </c>
      <c r="DU39" t="s">
        <v>1201</v>
      </c>
      <c r="DV39" t="s">
        <v>1202</v>
      </c>
      <c r="DW39" t="s">
        <v>1356</v>
      </c>
      <c r="DX39" s="430">
        <v>47299</v>
      </c>
      <c r="DY39">
        <v>2580</v>
      </c>
      <c r="DZ39">
        <v>39</v>
      </c>
      <c r="EA39">
        <v>1</v>
      </c>
      <c r="EB39">
        <v>9</v>
      </c>
      <c r="EC39">
        <v>2</v>
      </c>
      <c r="ED39">
        <v>6</v>
      </c>
      <c r="EE39">
        <v>18.2</v>
      </c>
      <c r="EF39" t="s">
        <v>1357</v>
      </c>
      <c r="EG39" t="s">
        <v>1358</v>
      </c>
      <c r="EH39">
        <v>33</v>
      </c>
      <c r="EI39">
        <v>58</v>
      </c>
      <c r="EJ39">
        <v>743</v>
      </c>
      <c r="EK39">
        <v>664</v>
      </c>
      <c r="EL39">
        <v>34</v>
      </c>
      <c r="EM39">
        <v>37</v>
      </c>
      <c r="EN39">
        <v>29</v>
      </c>
      <c r="EO39">
        <v>81</v>
      </c>
      <c r="EP39">
        <v>38</v>
      </c>
      <c r="EQ39">
        <v>75</v>
      </c>
      <c r="ER39">
        <v>27</v>
      </c>
      <c r="ES39">
        <v>24</v>
      </c>
      <c r="ET39">
        <v>4</v>
      </c>
      <c r="EU39">
        <v>24</v>
      </c>
      <c r="EV39">
        <v>4</v>
      </c>
      <c r="EW39">
        <v>2</v>
      </c>
      <c r="EX39">
        <v>0.9</v>
      </c>
      <c r="EY39">
        <v>0</v>
      </c>
      <c r="EZ39">
        <v>3</v>
      </c>
      <c r="FA39">
        <v>2</v>
      </c>
      <c r="FB39">
        <v>6.2</v>
      </c>
      <c r="FC39" t="s">
        <v>1359</v>
      </c>
      <c r="FD39">
        <v>6.7</v>
      </c>
    </row>
    <row r="40" spans="1:160" ht="24.95" customHeight="1" thickBot="1" x14ac:dyDescent="0.3">
      <c r="A40" s="29" t="str">
        <f t="shared" si="0"/>
        <v>39º</v>
      </c>
      <c r="B40" s="67" t="str">
        <f t="shared" si="118"/>
        <v>Alisson Safira</v>
      </c>
      <c r="C40" s="83" t="str">
        <f t="shared" si="119"/>
        <v>BRA</v>
      </c>
      <c r="D40" s="9" t="str">
        <f t="shared" si="120"/>
        <v>Juventude</v>
      </c>
      <c r="E40" s="91" t="str">
        <f t="shared" si="121"/>
        <v>Pé Direito</v>
      </c>
      <c r="F40" s="155">
        <f t="shared" si="122"/>
        <v>1.85</v>
      </c>
      <c r="G40" s="35">
        <f t="shared" si="123"/>
        <v>46752</v>
      </c>
      <c r="H40" s="7">
        <f t="shared" si="124"/>
        <v>31</v>
      </c>
      <c r="I40" s="299" t="str">
        <f t="shared" si="125"/>
        <v>15,25m € - 21,5m € p/m</v>
      </c>
      <c r="J40" s="3" t="str">
        <f t="shared" si="126"/>
        <v>350m € - 3,6M €</v>
      </c>
      <c r="K40" s="89">
        <f t="shared" si="10"/>
        <v>31.398046398046404</v>
      </c>
      <c r="L40" s="133">
        <f t="shared" si="127"/>
        <v>38.788888888888891</v>
      </c>
      <c r="M40" s="134">
        <f t="shared" si="128"/>
        <v>52</v>
      </c>
      <c r="N40" s="134">
        <f t="shared" si="129"/>
        <v>67.134615384615387</v>
      </c>
      <c r="O40" s="173">
        <f t="shared" si="130"/>
        <v>0.88</v>
      </c>
      <c r="P40" s="402">
        <f t="shared" si="131"/>
        <v>20</v>
      </c>
      <c r="Q40" s="402">
        <f t="shared" si="132"/>
        <v>1</v>
      </c>
      <c r="R40" s="402">
        <f t="shared" si="133"/>
        <v>21</v>
      </c>
      <c r="S40" s="6">
        <f t="shared" si="134"/>
        <v>4</v>
      </c>
      <c r="T40" s="24">
        <f t="shared" si="135"/>
        <v>872.75</v>
      </c>
      <c r="U40" s="21">
        <f t="shared" si="136"/>
        <v>0.10312231452305928</v>
      </c>
      <c r="V40" s="298">
        <f t="shared" si="137"/>
        <v>0</v>
      </c>
      <c r="W40" s="300">
        <f t="shared" si="138"/>
        <v>0</v>
      </c>
      <c r="X40" s="298">
        <f t="shared" si="139"/>
        <v>0</v>
      </c>
      <c r="Y40" s="300">
        <f t="shared" si="140"/>
        <v>0</v>
      </c>
      <c r="Z40" s="290">
        <f t="shared" si="141"/>
        <v>0</v>
      </c>
      <c r="AA40" s="298">
        <f t="shared" si="142"/>
        <v>8</v>
      </c>
      <c r="AB40" s="286">
        <f t="shared" si="143"/>
        <v>2</v>
      </c>
      <c r="AC40" s="286">
        <f t="shared" si="144"/>
        <v>2</v>
      </c>
      <c r="AD40" s="286">
        <f t="shared" si="145"/>
        <v>0</v>
      </c>
      <c r="AE40" s="21">
        <f t="shared" si="146"/>
        <v>1</v>
      </c>
      <c r="AF40" s="421">
        <f t="shared" si="147"/>
        <v>20</v>
      </c>
      <c r="AG40" s="421">
        <f t="shared" si="148"/>
        <v>1</v>
      </c>
      <c r="AH40" s="421">
        <f t="shared" si="149"/>
        <v>21</v>
      </c>
      <c r="AI40" s="421">
        <f t="shared" si="150"/>
        <v>18</v>
      </c>
      <c r="AJ40" s="420">
        <f t="shared" si="151"/>
        <v>0</v>
      </c>
      <c r="AK40" s="422">
        <f t="shared" si="152"/>
        <v>0.51561157261529644</v>
      </c>
      <c r="AL40" s="422">
        <f t="shared" si="153"/>
        <v>2.5780578630764821E-2</v>
      </c>
      <c r="AM40" s="422">
        <f t="shared" si="154"/>
        <v>0.54139215124606122</v>
      </c>
      <c r="AN40" s="5">
        <f t="shared" si="155"/>
        <v>11.8</v>
      </c>
      <c r="AO40" s="5">
        <f t="shared" si="156"/>
        <v>10.220000000000001</v>
      </c>
      <c r="AP40" s="5">
        <f t="shared" si="157"/>
        <v>0.26347751360641652</v>
      </c>
      <c r="AQ40" s="5">
        <f t="shared" si="158"/>
        <v>3.8</v>
      </c>
      <c r="AR40" s="5">
        <f t="shared" si="159"/>
        <v>9.7966198796906323E-2</v>
      </c>
      <c r="AS40" s="5">
        <f t="shared" si="160"/>
        <v>14.02</v>
      </c>
      <c r="AT40" s="5">
        <f t="shared" si="161"/>
        <v>0.36144371240332279</v>
      </c>
      <c r="AU40" s="21">
        <f t="shared" si="162"/>
        <v>0.79166666666666663</v>
      </c>
      <c r="AV40" s="21">
        <f t="shared" si="163"/>
        <v>0.62893081761006286</v>
      </c>
      <c r="AW40" s="6">
        <f t="shared" si="164"/>
        <v>15</v>
      </c>
      <c r="AX40" s="6">
        <f t="shared" si="165"/>
        <v>7</v>
      </c>
      <c r="AY40" s="21">
        <f t="shared" si="166"/>
        <v>0.46666666666666667</v>
      </c>
      <c r="AZ40" s="304">
        <f t="shared" si="167"/>
        <v>19</v>
      </c>
      <c r="BA40" s="305">
        <f t="shared" si="168"/>
        <v>0.48983099398453162</v>
      </c>
      <c r="BB40" s="413">
        <f t="shared" si="169"/>
        <v>16.649999999999999</v>
      </c>
      <c r="BC40" s="413">
        <f t="shared" si="170"/>
        <v>0.42924663420223436</v>
      </c>
      <c r="BD40" s="6">
        <f t="shared" si="171"/>
        <v>1191</v>
      </c>
      <c r="BE40" s="5">
        <f t="shared" si="172"/>
        <v>30.704669149240903</v>
      </c>
      <c r="BF40" s="6">
        <f t="shared" si="173"/>
        <v>1047</v>
      </c>
      <c r="BG40" s="5">
        <f t="shared" si="174"/>
        <v>26.992265826410769</v>
      </c>
      <c r="BH40" s="21">
        <f t="shared" si="175"/>
        <v>0.87909319899244331</v>
      </c>
      <c r="BI40" s="417">
        <f t="shared" si="176"/>
        <v>144</v>
      </c>
      <c r="BJ40" s="418">
        <f t="shared" si="177"/>
        <v>3.7124033228301343</v>
      </c>
      <c r="BK40" s="195">
        <f t="shared" si="178"/>
        <v>34</v>
      </c>
      <c r="BL40" s="5">
        <f t="shared" si="179"/>
        <v>0.87653967344600392</v>
      </c>
      <c r="BM40" s="21">
        <f t="shared" si="180"/>
        <v>2.8547439126784216E-2</v>
      </c>
      <c r="BN40" s="195">
        <f t="shared" si="181"/>
        <v>57</v>
      </c>
      <c r="BO40" s="185">
        <f t="shared" si="182"/>
        <v>1.4694929819535949</v>
      </c>
      <c r="BP40" s="5">
        <f t="shared" si="183"/>
        <v>57</v>
      </c>
      <c r="BQ40" s="21">
        <f t="shared" si="184"/>
        <v>1.7543859649122806E-2</v>
      </c>
      <c r="BR40" s="5">
        <f t="shared" si="185"/>
        <v>2.8</v>
      </c>
      <c r="BS40" s="5">
        <f t="shared" si="186"/>
        <v>6.6666666666666666E-2</v>
      </c>
      <c r="BT40" s="24">
        <f t="shared" si="187"/>
        <v>61.245614035087719</v>
      </c>
      <c r="BU40" s="5">
        <f t="shared" si="188"/>
        <v>29.584745762711865</v>
      </c>
      <c r="BV40" s="5">
        <f t="shared" si="189"/>
        <v>8.1999999999999993</v>
      </c>
      <c r="BW40" s="5">
        <f t="shared" si="190"/>
        <v>6.6199999999999992</v>
      </c>
      <c r="BX40" s="6">
        <f t="shared" si="191"/>
        <v>95</v>
      </c>
      <c r="BY40" s="5">
        <f t="shared" si="192"/>
        <v>2.4491549699226582</v>
      </c>
      <c r="BZ40" s="6">
        <f t="shared" si="193"/>
        <v>39</v>
      </c>
      <c r="CA40" s="5">
        <f t="shared" si="194"/>
        <v>1.0054425665998281</v>
      </c>
      <c r="CB40" s="6">
        <f t="shared" si="195"/>
        <v>58</v>
      </c>
      <c r="CC40" s="5">
        <f t="shared" si="196"/>
        <v>1.4952735605843597</v>
      </c>
      <c r="CD40" s="5">
        <f t="shared" si="197"/>
        <v>1.4437124033228301</v>
      </c>
      <c r="CE40" s="21">
        <f t="shared" si="198"/>
        <v>0.58947368421052626</v>
      </c>
      <c r="CF40" s="5">
        <f t="shared" si="199"/>
        <v>5.2777777777777777</v>
      </c>
      <c r="CG40" s="5">
        <f t="shared" si="200"/>
        <v>2.9</v>
      </c>
      <c r="CH40" s="21">
        <f t="shared" si="201"/>
        <v>0.18947368421052632</v>
      </c>
      <c r="CI40" s="298">
        <f t="shared" si="202"/>
        <v>18</v>
      </c>
      <c r="CJ40" s="298">
        <f t="shared" si="203"/>
        <v>0</v>
      </c>
      <c r="CK40" s="298">
        <f t="shared" si="204"/>
        <v>2</v>
      </c>
      <c r="CL40" s="21">
        <f t="shared" si="205"/>
        <v>0</v>
      </c>
      <c r="CM40" s="6">
        <f t="shared" si="206"/>
        <v>14.6</v>
      </c>
      <c r="CN40" s="5">
        <f t="shared" si="207"/>
        <v>0.37639644800916638</v>
      </c>
      <c r="CO40" s="167">
        <f t="shared" si="208"/>
        <v>188</v>
      </c>
      <c r="CP40" s="5">
        <f t="shared" si="209"/>
        <v>4.8467487825837869</v>
      </c>
      <c r="CQ40" s="6">
        <f t="shared" si="210"/>
        <v>141</v>
      </c>
      <c r="CR40" s="5">
        <f t="shared" si="211"/>
        <v>3.63506158693784</v>
      </c>
      <c r="CS40" s="21">
        <f t="shared" si="212"/>
        <v>0.75</v>
      </c>
      <c r="CT40" s="6">
        <f t="shared" si="213"/>
        <v>139.30000000000001</v>
      </c>
      <c r="CU40" s="5">
        <f t="shared" si="214"/>
        <v>3.5912346032655402</v>
      </c>
      <c r="CV40" s="6">
        <f t="shared" si="215"/>
        <v>144.55000000000001</v>
      </c>
      <c r="CW40" s="5">
        <f t="shared" si="216"/>
        <v>3.7265826410770555</v>
      </c>
      <c r="CX40" s="385">
        <f t="shared" si="217"/>
        <v>9.2639931251790326</v>
      </c>
      <c r="CY40" s="5">
        <f t="shared" si="218"/>
        <v>37.484961329132048</v>
      </c>
      <c r="CZ40" s="5">
        <f t="shared" si="219"/>
        <v>29.467201374964191</v>
      </c>
      <c r="DA40" s="6">
        <f t="shared" si="220"/>
        <v>91</v>
      </c>
      <c r="DB40" s="5">
        <f t="shared" si="221"/>
        <v>2.3460326553995987</v>
      </c>
      <c r="DC40" s="6">
        <f t="shared" si="222"/>
        <v>225</v>
      </c>
      <c r="DD40" s="5">
        <f t="shared" si="223"/>
        <v>5.8006301919220853</v>
      </c>
      <c r="DE40" s="6">
        <f t="shared" si="224"/>
        <v>159</v>
      </c>
      <c r="DF40" s="5">
        <f t="shared" si="225"/>
        <v>4.0991120022916068</v>
      </c>
      <c r="DG40" s="6">
        <f t="shared" si="226"/>
        <v>191</v>
      </c>
      <c r="DH40" s="5">
        <f t="shared" si="227"/>
        <v>4.9240905184760813</v>
      </c>
      <c r="DI40" s="5">
        <f t="shared" si="228"/>
        <v>14.6</v>
      </c>
      <c r="DJ40" s="5">
        <f t="shared" si="229"/>
        <v>397.5</v>
      </c>
      <c r="DK40" s="5">
        <f t="shared" si="230"/>
        <v>10.247780005729016</v>
      </c>
      <c r="DL40" s="286">
        <f t="shared" si="231"/>
        <v>298.67444444444448</v>
      </c>
      <c r="DM40" s="287">
        <f t="shared" si="232"/>
        <v>7.7</v>
      </c>
      <c r="DN40" s="60">
        <f t="shared" si="233"/>
        <v>6.94</v>
      </c>
      <c r="DO40" t="s">
        <v>19</v>
      </c>
      <c r="DP40" t="s">
        <v>13</v>
      </c>
      <c r="DQ40" t="s">
        <v>1360</v>
      </c>
      <c r="DR40">
        <v>31</v>
      </c>
      <c r="DS40" t="s">
        <v>1012</v>
      </c>
      <c r="DT40" t="s">
        <v>751</v>
      </c>
      <c r="DU40" t="s">
        <v>573</v>
      </c>
      <c r="DV40" t="s">
        <v>1361</v>
      </c>
      <c r="DW40" t="s">
        <v>1362</v>
      </c>
      <c r="DX40" s="430">
        <v>46752</v>
      </c>
      <c r="DY40">
        <v>3491</v>
      </c>
      <c r="DZ40" t="s">
        <v>1363</v>
      </c>
      <c r="EA40">
        <v>4</v>
      </c>
      <c r="EB40">
        <v>20</v>
      </c>
      <c r="EC40">
        <v>1</v>
      </c>
      <c r="ED40">
        <v>5</v>
      </c>
      <c r="EE40">
        <v>14.6</v>
      </c>
      <c r="EF40" t="s">
        <v>1364</v>
      </c>
      <c r="EG40" t="s">
        <v>1365</v>
      </c>
      <c r="EH40">
        <v>32</v>
      </c>
      <c r="EI40">
        <v>90</v>
      </c>
      <c r="EJ40">
        <v>1191</v>
      </c>
      <c r="EK40">
        <v>1047</v>
      </c>
      <c r="EL40">
        <v>57</v>
      </c>
      <c r="EM40">
        <v>34</v>
      </c>
      <c r="EN40">
        <v>19</v>
      </c>
      <c r="EO40">
        <v>97</v>
      </c>
      <c r="EP40">
        <v>58</v>
      </c>
      <c r="EQ40">
        <v>78</v>
      </c>
      <c r="ER40">
        <v>27</v>
      </c>
      <c r="ES40">
        <v>15</v>
      </c>
      <c r="ET40">
        <v>7</v>
      </c>
      <c r="EU40">
        <v>15</v>
      </c>
      <c r="EV40">
        <v>7</v>
      </c>
      <c r="EW40">
        <v>0</v>
      </c>
      <c r="EX40">
        <v>0.6</v>
      </c>
      <c r="EY40">
        <v>8</v>
      </c>
      <c r="EZ40">
        <v>2</v>
      </c>
      <c r="FA40">
        <v>2</v>
      </c>
      <c r="FB40">
        <v>7.7</v>
      </c>
      <c r="FC40" t="s">
        <v>1366</v>
      </c>
      <c r="FD40">
        <v>6.94</v>
      </c>
    </row>
    <row r="41" spans="1:160" ht="24.95" customHeight="1" thickBot="1" x14ac:dyDescent="0.3">
      <c r="A41" s="29" t="str">
        <f t="shared" si="0"/>
        <v>40º</v>
      </c>
      <c r="B41" s="67" t="str">
        <f t="shared" si="118"/>
        <v>Rafael Navarro</v>
      </c>
      <c r="C41" s="83" t="str">
        <f t="shared" si="119"/>
        <v>BRA</v>
      </c>
      <c r="D41" s="9" t="str">
        <f t="shared" si="120"/>
        <v>Colorado</v>
      </c>
      <c r="E41" s="91" t="str">
        <f t="shared" si="121"/>
        <v>Pé Preferido Desconhecido</v>
      </c>
      <c r="F41" s="155">
        <f t="shared" si="122"/>
        <v>1.83</v>
      </c>
      <c r="G41" s="35">
        <f t="shared" si="123"/>
        <v>47483</v>
      </c>
      <c r="H41" s="7">
        <f t="shared" si="124"/>
        <v>26</v>
      </c>
      <c r="I41" s="299" t="str">
        <f t="shared" si="125"/>
        <v>74,5m € - 108m € p/m</v>
      </c>
      <c r="J41" s="3" t="str">
        <f t="shared" si="126"/>
        <v>Desconhecido</v>
      </c>
      <c r="K41" s="89">
        <f t="shared" si="10"/>
        <v>31.398046398046404</v>
      </c>
      <c r="L41" s="133">
        <f t="shared" si="127"/>
        <v>48.744444444444447</v>
      </c>
      <c r="M41" s="134">
        <f t="shared" si="128"/>
        <v>49</v>
      </c>
      <c r="N41" s="134">
        <f t="shared" si="129"/>
        <v>89.530612244897952</v>
      </c>
      <c r="O41" s="173">
        <f t="shared" si="130"/>
        <v>1</v>
      </c>
      <c r="P41" s="402">
        <f t="shared" si="131"/>
        <v>21</v>
      </c>
      <c r="Q41" s="402">
        <f t="shared" si="132"/>
        <v>11</v>
      </c>
      <c r="R41" s="402">
        <f t="shared" si="133"/>
        <v>32</v>
      </c>
      <c r="S41" s="6">
        <f t="shared" si="134"/>
        <v>0</v>
      </c>
      <c r="T41" s="24">
        <f t="shared" si="135"/>
        <v>5000</v>
      </c>
      <c r="U41" s="21">
        <f t="shared" si="136"/>
        <v>0</v>
      </c>
      <c r="V41" s="298">
        <f t="shared" si="137"/>
        <v>0</v>
      </c>
      <c r="W41" s="300">
        <f t="shared" si="138"/>
        <v>0</v>
      </c>
      <c r="X41" s="298">
        <f t="shared" si="139"/>
        <v>0</v>
      </c>
      <c r="Y41" s="300">
        <f t="shared" si="140"/>
        <v>0</v>
      </c>
      <c r="Z41" s="290">
        <f t="shared" si="141"/>
        <v>0</v>
      </c>
      <c r="AA41" s="298">
        <f t="shared" si="142"/>
        <v>0</v>
      </c>
      <c r="AB41" s="286">
        <f t="shared" si="143"/>
        <v>1</v>
      </c>
      <c r="AC41" s="286">
        <f t="shared" si="144"/>
        <v>1</v>
      </c>
      <c r="AD41" s="286">
        <f t="shared" si="145"/>
        <v>0</v>
      </c>
      <c r="AE41" s="21">
        <f t="shared" si="146"/>
        <v>1</v>
      </c>
      <c r="AF41" s="421">
        <f t="shared" si="147"/>
        <v>21</v>
      </c>
      <c r="AG41" s="421">
        <f t="shared" si="148"/>
        <v>11</v>
      </c>
      <c r="AH41" s="421">
        <f t="shared" si="149"/>
        <v>32</v>
      </c>
      <c r="AI41" s="421">
        <f t="shared" si="150"/>
        <v>20</v>
      </c>
      <c r="AJ41" s="420">
        <f t="shared" si="151"/>
        <v>0</v>
      </c>
      <c r="AK41" s="422">
        <f t="shared" si="152"/>
        <v>0.43081832687485749</v>
      </c>
      <c r="AL41" s="422">
        <f t="shared" si="153"/>
        <v>0.22566674264873487</v>
      </c>
      <c r="AM41" s="422">
        <f t="shared" si="154"/>
        <v>0.65648506952359242</v>
      </c>
      <c r="AN41" s="5">
        <f t="shared" si="155"/>
        <v>15.24</v>
      </c>
      <c r="AO41" s="5">
        <f t="shared" si="156"/>
        <v>14.45</v>
      </c>
      <c r="AP41" s="5">
        <f t="shared" si="157"/>
        <v>0.29644403920674717</v>
      </c>
      <c r="AQ41" s="5">
        <f t="shared" si="158"/>
        <v>5.04</v>
      </c>
      <c r="AR41" s="5">
        <f t="shared" si="159"/>
        <v>0.1033963984499658</v>
      </c>
      <c r="AS41" s="5">
        <f t="shared" si="160"/>
        <v>19.489999999999998</v>
      </c>
      <c r="AT41" s="5">
        <f t="shared" si="161"/>
        <v>0.39984043765671295</v>
      </c>
      <c r="AU41" s="21">
        <f t="shared" si="162"/>
        <v>0.31421446384039903</v>
      </c>
      <c r="AV41" s="21">
        <f t="shared" si="163"/>
        <v>0.57947019867549665</v>
      </c>
      <c r="AW41" s="6">
        <f t="shared" si="164"/>
        <v>2</v>
      </c>
      <c r="AX41" s="6">
        <f t="shared" si="165"/>
        <v>1</v>
      </c>
      <c r="AY41" s="21">
        <f t="shared" si="166"/>
        <v>0.5</v>
      </c>
      <c r="AZ41" s="304">
        <f t="shared" si="167"/>
        <v>0</v>
      </c>
      <c r="BA41" s="305">
        <f t="shared" si="168"/>
        <v>0</v>
      </c>
      <c r="BB41" s="413">
        <f t="shared" si="169"/>
        <v>2.6160000000000001</v>
      </c>
      <c r="BC41" s="413">
        <f t="shared" si="170"/>
        <v>5.3667654433553681E-2</v>
      </c>
      <c r="BD41" s="6">
        <f t="shared" si="171"/>
        <v>989</v>
      </c>
      <c r="BE41" s="5">
        <f t="shared" si="172"/>
        <v>20.289491679963529</v>
      </c>
      <c r="BF41" s="6">
        <f t="shared" si="173"/>
        <v>615</v>
      </c>
      <c r="BG41" s="5">
        <f t="shared" si="174"/>
        <v>12.616822429906541</v>
      </c>
      <c r="BH41" s="21">
        <f t="shared" si="175"/>
        <v>0.621840242669363</v>
      </c>
      <c r="BI41" s="417">
        <f t="shared" si="176"/>
        <v>374</v>
      </c>
      <c r="BJ41" s="418">
        <f t="shared" si="177"/>
        <v>7.6726692500569857</v>
      </c>
      <c r="BK41" s="195">
        <f t="shared" si="178"/>
        <v>3</v>
      </c>
      <c r="BL41" s="5">
        <f t="shared" si="179"/>
        <v>6.154547526783679E-2</v>
      </c>
      <c r="BM41" s="21">
        <f t="shared" si="180"/>
        <v>3.0333670374115269E-3</v>
      </c>
      <c r="BN41" s="195">
        <f t="shared" si="181"/>
        <v>5</v>
      </c>
      <c r="BO41" s="185">
        <f t="shared" si="182"/>
        <v>0.10257579211306131</v>
      </c>
      <c r="BP41" s="5">
        <f t="shared" si="183"/>
        <v>0.45454545454545453</v>
      </c>
      <c r="BQ41" s="21">
        <f t="shared" si="184"/>
        <v>2.2000000000000002</v>
      </c>
      <c r="BR41" s="5">
        <f t="shared" si="185"/>
        <v>-5.96</v>
      </c>
      <c r="BS41" s="5">
        <f t="shared" si="186"/>
        <v>1.008</v>
      </c>
      <c r="BT41" s="24">
        <f t="shared" si="187"/>
        <v>877.4</v>
      </c>
      <c r="BU41" s="5">
        <f t="shared" si="188"/>
        <v>64.514705882352942</v>
      </c>
      <c r="BV41" s="5">
        <f t="shared" si="189"/>
        <v>5.76</v>
      </c>
      <c r="BW41" s="5">
        <f t="shared" si="190"/>
        <v>4.97</v>
      </c>
      <c r="BX41" s="6">
        <f t="shared" si="191"/>
        <v>134</v>
      </c>
      <c r="BY41" s="5">
        <f t="shared" si="192"/>
        <v>2.7490312286300433</v>
      </c>
      <c r="BZ41" s="6">
        <f t="shared" si="193"/>
        <v>73</v>
      </c>
      <c r="CA41" s="5">
        <f t="shared" si="194"/>
        <v>1.4976065648506951</v>
      </c>
      <c r="CB41" s="6">
        <f t="shared" si="195"/>
        <v>62</v>
      </c>
      <c r="CC41" s="5">
        <f t="shared" si="196"/>
        <v>1.2719398222019602</v>
      </c>
      <c r="CD41" s="5">
        <f t="shared" si="197"/>
        <v>1.251424663779348</v>
      </c>
      <c r="CE41" s="21">
        <f t="shared" si="198"/>
        <v>0.45522388059701491</v>
      </c>
      <c r="CF41" s="5">
        <f t="shared" si="199"/>
        <v>6.7</v>
      </c>
      <c r="CG41" s="5">
        <f t="shared" si="200"/>
        <v>2.9523809523809526</v>
      </c>
      <c r="CH41" s="21">
        <f t="shared" si="201"/>
        <v>0.14925373134328357</v>
      </c>
      <c r="CI41" s="298">
        <f t="shared" si="202"/>
        <v>20</v>
      </c>
      <c r="CJ41" s="298">
        <f t="shared" si="203"/>
        <v>0</v>
      </c>
      <c r="CK41" s="298">
        <f t="shared" si="204"/>
        <v>1</v>
      </c>
      <c r="CL41" s="21">
        <f t="shared" si="205"/>
        <v>0</v>
      </c>
      <c r="CM41" s="6">
        <f t="shared" si="206"/>
        <v>1.2</v>
      </c>
      <c r="CN41" s="5">
        <f t="shared" si="207"/>
        <v>2.4618190107134712E-2</v>
      </c>
      <c r="CO41" s="167">
        <f t="shared" si="208"/>
        <v>142</v>
      </c>
      <c r="CP41" s="5">
        <f t="shared" si="209"/>
        <v>2.9131524960109414</v>
      </c>
      <c r="CQ41" s="6">
        <f t="shared" si="210"/>
        <v>68</v>
      </c>
      <c r="CR41" s="5">
        <f t="shared" si="211"/>
        <v>1.3950307727376339</v>
      </c>
      <c r="CS41" s="21">
        <f t="shared" si="212"/>
        <v>0.47887323943661969</v>
      </c>
      <c r="CT41" s="6">
        <f t="shared" si="213"/>
        <v>90.04</v>
      </c>
      <c r="CU41" s="5">
        <f t="shared" si="214"/>
        <v>1.8471848643720081</v>
      </c>
      <c r="CV41" s="6">
        <f t="shared" si="215"/>
        <v>98.039999999999992</v>
      </c>
      <c r="CW41" s="5">
        <f t="shared" si="216"/>
        <v>2.0113061317529062</v>
      </c>
      <c r="CX41" s="385">
        <f t="shared" si="217"/>
        <v>3.7130795532254384</v>
      </c>
      <c r="CY41" s="5">
        <f t="shared" si="218"/>
        <v>23.387280601777981</v>
      </c>
      <c r="CZ41" s="5">
        <f t="shared" si="219"/>
        <v>12.821974014132664</v>
      </c>
      <c r="DA41" s="6">
        <f t="shared" si="220"/>
        <v>8</v>
      </c>
      <c r="DB41" s="5">
        <f t="shared" si="221"/>
        <v>0.16412126738089811</v>
      </c>
      <c r="DC41" s="6">
        <f t="shared" si="222"/>
        <v>146</v>
      </c>
      <c r="DD41" s="5">
        <f t="shared" si="223"/>
        <v>2.9952131297013902</v>
      </c>
      <c r="DE41" s="6">
        <f t="shared" si="224"/>
        <v>142</v>
      </c>
      <c r="DF41" s="5">
        <f t="shared" si="225"/>
        <v>2.9131524960109414</v>
      </c>
      <c r="DG41" s="6">
        <f t="shared" si="226"/>
        <v>448</v>
      </c>
      <c r="DH41" s="5">
        <f t="shared" si="227"/>
        <v>9.1907909733302944</v>
      </c>
      <c r="DI41" s="5">
        <f t="shared" si="228"/>
        <v>1.2</v>
      </c>
      <c r="DJ41" s="5">
        <f t="shared" si="229"/>
        <v>29.3</v>
      </c>
      <c r="DK41" s="5">
        <f t="shared" si="230"/>
        <v>0.60109414178253928</v>
      </c>
      <c r="DL41" s="286">
        <f t="shared" si="231"/>
        <v>19.497777777777781</v>
      </c>
      <c r="DM41" s="287">
        <f t="shared" si="232"/>
        <v>0.4</v>
      </c>
      <c r="DN41" s="60">
        <f t="shared" si="233"/>
        <v>7.17</v>
      </c>
      <c r="DO41" t="s">
        <v>19</v>
      </c>
      <c r="DP41" t="s">
        <v>13</v>
      </c>
      <c r="DQ41" t="s">
        <v>1367</v>
      </c>
      <c r="DR41">
        <v>26</v>
      </c>
      <c r="DS41" t="s">
        <v>1368</v>
      </c>
      <c r="DT41" t="s">
        <v>696</v>
      </c>
      <c r="DU41" t="s">
        <v>1201</v>
      </c>
      <c r="DV41" t="s">
        <v>1202</v>
      </c>
      <c r="DW41" t="s">
        <v>1369</v>
      </c>
      <c r="DX41" s="430">
        <v>47483</v>
      </c>
      <c r="DY41">
        <v>4387</v>
      </c>
      <c r="DZ41">
        <v>49</v>
      </c>
      <c r="EA41">
        <v>0</v>
      </c>
      <c r="EB41">
        <v>21</v>
      </c>
      <c r="EC41">
        <v>11</v>
      </c>
      <c r="ED41">
        <v>2</v>
      </c>
      <c r="EE41">
        <v>1.2</v>
      </c>
      <c r="EF41" t="s">
        <v>1370</v>
      </c>
      <c r="EG41" t="s">
        <v>1371</v>
      </c>
      <c r="EH41">
        <v>31</v>
      </c>
      <c r="EI41">
        <v>63</v>
      </c>
      <c r="EJ41">
        <v>989</v>
      </c>
      <c r="EK41">
        <v>615</v>
      </c>
      <c r="EL41">
        <v>5</v>
      </c>
      <c r="EM41">
        <v>3</v>
      </c>
      <c r="EN41">
        <v>0</v>
      </c>
      <c r="EO41">
        <v>135</v>
      </c>
      <c r="EP41">
        <v>62</v>
      </c>
      <c r="EQ41">
        <v>9</v>
      </c>
      <c r="ER41">
        <v>3</v>
      </c>
      <c r="ES41">
        <v>2</v>
      </c>
      <c r="ET41">
        <v>1</v>
      </c>
      <c r="EU41">
        <v>2</v>
      </c>
      <c r="EV41">
        <v>1</v>
      </c>
      <c r="EW41">
        <v>0</v>
      </c>
      <c r="EX41">
        <v>0</v>
      </c>
      <c r="EY41">
        <v>0</v>
      </c>
      <c r="EZ41">
        <v>1</v>
      </c>
      <c r="FA41">
        <v>1</v>
      </c>
      <c r="FB41">
        <v>0.4</v>
      </c>
      <c r="FC41" t="s">
        <v>1372</v>
      </c>
      <c r="FD41">
        <v>7.17</v>
      </c>
    </row>
    <row r="42" spans="1:160" ht="24.95" customHeight="1" thickBot="1" x14ac:dyDescent="0.3">
      <c r="A42" s="29" t="str">
        <f t="shared" si="0"/>
        <v>41º</v>
      </c>
      <c r="B42" s="67" t="str">
        <f t="shared" si="118"/>
        <v>Marcelo Ryan</v>
      </c>
      <c r="C42" s="83" t="str">
        <f t="shared" si="119"/>
        <v>BRA</v>
      </c>
      <c r="D42" s="9" t="str">
        <f t="shared" si="120"/>
        <v>FC Tokyo</v>
      </c>
      <c r="E42" s="91" t="str">
        <f t="shared" si="121"/>
        <v>Pé Direito</v>
      </c>
      <c r="F42" s="155">
        <f t="shared" si="122"/>
        <v>1.88</v>
      </c>
      <c r="G42" s="35">
        <f t="shared" si="123"/>
        <v>47664</v>
      </c>
      <c r="H42" s="7">
        <f t="shared" si="124"/>
        <v>24</v>
      </c>
      <c r="I42" s="299" t="str">
        <f t="shared" si="125"/>
        <v>29,5m € - 46,5m € p/m</v>
      </c>
      <c r="J42" s="3" t="str">
        <f t="shared" si="126"/>
        <v>350m € - 3,6M €</v>
      </c>
      <c r="K42" s="89">
        <f t="shared" si="10"/>
        <v>31.398046398046404</v>
      </c>
      <c r="L42" s="133">
        <f t="shared" si="127"/>
        <v>29.966666666666665</v>
      </c>
      <c r="M42" s="134">
        <f t="shared" si="128"/>
        <v>45</v>
      </c>
      <c r="N42" s="134">
        <f t="shared" si="129"/>
        <v>59.93333333333333</v>
      </c>
      <c r="O42" s="173">
        <f t="shared" si="130"/>
        <v>0.91</v>
      </c>
      <c r="P42" s="402">
        <f t="shared" si="131"/>
        <v>20</v>
      </c>
      <c r="Q42" s="402">
        <f t="shared" si="132"/>
        <v>4</v>
      </c>
      <c r="R42" s="402">
        <f t="shared" si="133"/>
        <v>24</v>
      </c>
      <c r="S42" s="6">
        <f t="shared" si="134"/>
        <v>5</v>
      </c>
      <c r="T42" s="24">
        <f t="shared" si="135"/>
        <v>539.4</v>
      </c>
      <c r="U42" s="21">
        <f t="shared" si="136"/>
        <v>0.16685205784204674</v>
      </c>
      <c r="V42" s="298">
        <f t="shared" si="137"/>
        <v>8</v>
      </c>
      <c r="W42" s="300">
        <f t="shared" si="138"/>
        <v>0.26696329254727474</v>
      </c>
      <c r="X42" s="298">
        <f t="shared" si="139"/>
        <v>1</v>
      </c>
      <c r="Y42" s="300">
        <f t="shared" si="140"/>
        <v>3.3370411568409343E-2</v>
      </c>
      <c r="Z42" s="290">
        <f t="shared" si="141"/>
        <v>0.125</v>
      </c>
      <c r="AA42" s="298">
        <f t="shared" si="142"/>
        <v>3</v>
      </c>
      <c r="AB42" s="286">
        <f t="shared" si="143"/>
        <v>6</v>
      </c>
      <c r="AC42" s="286">
        <f t="shared" si="144"/>
        <v>6</v>
      </c>
      <c r="AD42" s="286">
        <f t="shared" si="145"/>
        <v>0</v>
      </c>
      <c r="AE42" s="21">
        <f t="shared" si="146"/>
        <v>1</v>
      </c>
      <c r="AF42" s="421">
        <f t="shared" si="147"/>
        <v>20</v>
      </c>
      <c r="AG42" s="421">
        <f t="shared" si="148"/>
        <v>4</v>
      </c>
      <c r="AH42" s="421">
        <f t="shared" si="149"/>
        <v>24</v>
      </c>
      <c r="AI42" s="421">
        <f t="shared" si="150"/>
        <v>14</v>
      </c>
      <c r="AJ42" s="420">
        <f t="shared" si="151"/>
        <v>3</v>
      </c>
      <c r="AK42" s="422">
        <f t="shared" si="152"/>
        <v>0.66740823136818694</v>
      </c>
      <c r="AL42" s="422">
        <f t="shared" si="153"/>
        <v>0.13348164627363737</v>
      </c>
      <c r="AM42" s="422">
        <f t="shared" si="154"/>
        <v>0.80088987764182429</v>
      </c>
      <c r="AN42" s="5">
        <f t="shared" si="155"/>
        <v>16.78</v>
      </c>
      <c r="AO42" s="5">
        <f t="shared" si="156"/>
        <v>12.040000000000001</v>
      </c>
      <c r="AP42" s="5">
        <f t="shared" si="157"/>
        <v>0.40177975528364857</v>
      </c>
      <c r="AQ42" s="5">
        <f t="shared" si="158"/>
        <v>4.84</v>
      </c>
      <c r="AR42" s="5">
        <f t="shared" si="159"/>
        <v>0.16151279199110122</v>
      </c>
      <c r="AS42" s="5">
        <f t="shared" si="160"/>
        <v>16.880000000000003</v>
      </c>
      <c r="AT42" s="5">
        <f t="shared" si="161"/>
        <v>0.56329254727474987</v>
      </c>
      <c r="AU42" s="21">
        <f t="shared" si="162"/>
        <v>0.54751131221719451</v>
      </c>
      <c r="AV42" s="21">
        <f t="shared" si="163"/>
        <v>0.54377379010331706</v>
      </c>
      <c r="AW42" s="6">
        <f t="shared" si="164"/>
        <v>4</v>
      </c>
      <c r="AX42" s="6">
        <f t="shared" si="165"/>
        <v>0</v>
      </c>
      <c r="AY42" s="21">
        <f t="shared" si="166"/>
        <v>0</v>
      </c>
      <c r="AZ42" s="304">
        <f t="shared" si="167"/>
        <v>26</v>
      </c>
      <c r="BA42" s="305">
        <f t="shared" si="168"/>
        <v>0.86763070077864302</v>
      </c>
      <c r="BB42" s="413">
        <f t="shared" si="169"/>
        <v>11.941000000000001</v>
      </c>
      <c r="BC42" s="413">
        <f t="shared" si="170"/>
        <v>0.39847608453837602</v>
      </c>
      <c r="BD42" s="6">
        <f t="shared" si="171"/>
        <v>716</v>
      </c>
      <c r="BE42" s="5">
        <f t="shared" si="172"/>
        <v>23.893214682981093</v>
      </c>
      <c r="BF42" s="6">
        <f t="shared" si="173"/>
        <v>631</v>
      </c>
      <c r="BG42" s="5">
        <f t="shared" si="174"/>
        <v>21.056729699666295</v>
      </c>
      <c r="BH42" s="21">
        <f t="shared" si="175"/>
        <v>0.88128491620111726</v>
      </c>
      <c r="BI42" s="417">
        <f t="shared" si="176"/>
        <v>85</v>
      </c>
      <c r="BJ42" s="418">
        <f t="shared" si="177"/>
        <v>2.8364849833147945</v>
      </c>
      <c r="BK42" s="195">
        <f t="shared" si="178"/>
        <v>21</v>
      </c>
      <c r="BL42" s="5">
        <f t="shared" si="179"/>
        <v>0.70077864293659631</v>
      </c>
      <c r="BM42" s="21">
        <f t="shared" si="180"/>
        <v>2.9329608938547486E-2</v>
      </c>
      <c r="BN42" s="195">
        <f t="shared" si="181"/>
        <v>30</v>
      </c>
      <c r="BO42" s="185">
        <f t="shared" si="182"/>
        <v>1.0011123470522805</v>
      </c>
      <c r="BP42" s="5">
        <f t="shared" si="183"/>
        <v>7.5</v>
      </c>
      <c r="BQ42" s="21">
        <f t="shared" si="184"/>
        <v>0.13333333333333333</v>
      </c>
      <c r="BR42" s="5">
        <f t="shared" si="185"/>
        <v>0.83999999999999986</v>
      </c>
      <c r="BS42" s="5">
        <f t="shared" si="186"/>
        <v>0.16133333333333333</v>
      </c>
      <c r="BT42" s="24">
        <f t="shared" si="187"/>
        <v>89.9</v>
      </c>
      <c r="BU42" s="5">
        <f t="shared" si="188"/>
        <v>26.702970297029704</v>
      </c>
      <c r="BV42" s="5">
        <f t="shared" si="189"/>
        <v>3.2199999999999989</v>
      </c>
      <c r="BW42" s="5">
        <f t="shared" si="190"/>
        <v>-1.5200000000000014</v>
      </c>
      <c r="BX42" s="6">
        <f t="shared" si="191"/>
        <v>149</v>
      </c>
      <c r="BY42" s="5">
        <f t="shared" si="192"/>
        <v>4.9721913236929929</v>
      </c>
      <c r="BZ42" s="6">
        <f t="shared" si="193"/>
        <v>80</v>
      </c>
      <c r="CA42" s="5">
        <f t="shared" si="194"/>
        <v>2.6696329254727478</v>
      </c>
      <c r="CB42" s="6">
        <f t="shared" si="195"/>
        <v>75</v>
      </c>
      <c r="CC42" s="5">
        <f t="shared" si="196"/>
        <v>2.5027808676307011</v>
      </c>
      <c r="CD42" s="5">
        <f t="shared" si="197"/>
        <v>2.3025583982202447</v>
      </c>
      <c r="CE42" s="21">
        <f t="shared" si="198"/>
        <v>0.46308724832214765</v>
      </c>
      <c r="CF42" s="5">
        <f t="shared" si="199"/>
        <v>10.642857142857142</v>
      </c>
      <c r="CG42" s="5">
        <f t="shared" si="200"/>
        <v>3.75</v>
      </c>
      <c r="CH42" s="21">
        <f t="shared" si="201"/>
        <v>9.3959731543624164E-2</v>
      </c>
      <c r="CI42" s="298">
        <f t="shared" si="202"/>
        <v>11</v>
      </c>
      <c r="CJ42" s="298">
        <f t="shared" si="203"/>
        <v>3</v>
      </c>
      <c r="CK42" s="298">
        <f t="shared" si="204"/>
        <v>6</v>
      </c>
      <c r="CL42" s="21">
        <f t="shared" si="205"/>
        <v>5.5617352614015576E-2</v>
      </c>
      <c r="CM42" s="6">
        <f t="shared" si="206"/>
        <v>17.3</v>
      </c>
      <c r="CN42" s="5">
        <f t="shared" si="207"/>
        <v>0.57730812013348165</v>
      </c>
      <c r="CO42" s="167">
        <f t="shared" si="208"/>
        <v>215</v>
      </c>
      <c r="CP42" s="5">
        <f t="shared" si="209"/>
        <v>7.1746384872080089</v>
      </c>
      <c r="CQ42" s="6">
        <f t="shared" si="210"/>
        <v>131</v>
      </c>
      <c r="CR42" s="5">
        <f t="shared" si="211"/>
        <v>4.3715239154616246</v>
      </c>
      <c r="CS42" s="21">
        <f t="shared" si="212"/>
        <v>0.6093023255813953</v>
      </c>
      <c r="CT42" s="6">
        <f t="shared" si="213"/>
        <v>120.84</v>
      </c>
      <c r="CU42" s="5">
        <f t="shared" si="214"/>
        <v>4.0324805339265852</v>
      </c>
      <c r="CV42" s="6">
        <f t="shared" si="215"/>
        <v>123.84</v>
      </c>
      <c r="CW42" s="5">
        <f t="shared" si="216"/>
        <v>4.1325917686318139</v>
      </c>
      <c r="CX42" s="385">
        <f t="shared" si="217"/>
        <v>8.9013570634037826</v>
      </c>
      <c r="CY42" s="5">
        <f t="shared" si="218"/>
        <v>32.335928809788655</v>
      </c>
      <c r="CZ42" s="5">
        <f t="shared" si="219"/>
        <v>22.825361512791993</v>
      </c>
      <c r="DA42" s="6">
        <f t="shared" si="220"/>
        <v>51</v>
      </c>
      <c r="DB42" s="5">
        <f t="shared" si="221"/>
        <v>1.7018909899888766</v>
      </c>
      <c r="DC42" s="6">
        <f t="shared" si="222"/>
        <v>232</v>
      </c>
      <c r="DD42" s="5">
        <f t="shared" si="223"/>
        <v>7.741935483870968</v>
      </c>
      <c r="DE42" s="6">
        <f t="shared" si="224"/>
        <v>187</v>
      </c>
      <c r="DF42" s="5">
        <f t="shared" si="225"/>
        <v>6.240266963292548</v>
      </c>
      <c r="DG42" s="6">
        <f t="shared" si="226"/>
        <v>169</v>
      </c>
      <c r="DH42" s="5">
        <f t="shared" si="227"/>
        <v>5.6395995550611797</v>
      </c>
      <c r="DI42" s="5">
        <f t="shared" si="228"/>
        <v>17.3</v>
      </c>
      <c r="DJ42" s="5">
        <f t="shared" si="229"/>
        <v>313.8</v>
      </c>
      <c r="DK42" s="5">
        <f t="shared" si="230"/>
        <v>10.471635150166852</v>
      </c>
      <c r="DL42" s="286">
        <f t="shared" si="231"/>
        <v>170.81</v>
      </c>
      <c r="DM42" s="287">
        <f t="shared" si="232"/>
        <v>5.7</v>
      </c>
      <c r="DN42" s="60">
        <f t="shared" si="233"/>
        <v>7.02</v>
      </c>
      <c r="DO42"/>
      <c r="DP42" t="s">
        <v>13</v>
      </c>
      <c r="DQ42" t="s">
        <v>1373</v>
      </c>
      <c r="DR42">
        <v>24</v>
      </c>
      <c r="DS42" t="s">
        <v>1374</v>
      </c>
      <c r="DT42" t="s">
        <v>623</v>
      </c>
      <c r="DU42" t="s">
        <v>573</v>
      </c>
      <c r="DV42" t="s">
        <v>1361</v>
      </c>
      <c r="DW42" t="s">
        <v>1375</v>
      </c>
      <c r="DX42" s="430">
        <v>47664</v>
      </c>
      <c r="DY42">
        <v>2697</v>
      </c>
      <c r="DZ42" t="s">
        <v>1376</v>
      </c>
      <c r="EA42">
        <v>5</v>
      </c>
      <c r="EB42">
        <v>20</v>
      </c>
      <c r="EC42">
        <v>4</v>
      </c>
      <c r="ED42">
        <v>2</v>
      </c>
      <c r="EE42">
        <v>17.3</v>
      </c>
      <c r="EF42" t="s">
        <v>1377</v>
      </c>
      <c r="EG42" t="s">
        <v>1378</v>
      </c>
      <c r="EH42">
        <v>26</v>
      </c>
      <c r="EI42">
        <v>41</v>
      </c>
      <c r="EJ42">
        <v>716</v>
      </c>
      <c r="EK42">
        <v>631</v>
      </c>
      <c r="EL42">
        <v>30</v>
      </c>
      <c r="EM42">
        <v>21</v>
      </c>
      <c r="EN42">
        <v>26</v>
      </c>
      <c r="EO42">
        <v>155</v>
      </c>
      <c r="EP42">
        <v>75</v>
      </c>
      <c r="EQ42">
        <v>37</v>
      </c>
      <c r="ER42">
        <v>9</v>
      </c>
      <c r="ES42">
        <v>4</v>
      </c>
      <c r="ET42">
        <v>0</v>
      </c>
      <c r="EU42">
        <v>12</v>
      </c>
      <c r="EV42">
        <v>1</v>
      </c>
      <c r="EW42">
        <v>3</v>
      </c>
      <c r="EX42">
        <v>1.8</v>
      </c>
      <c r="EY42">
        <v>3</v>
      </c>
      <c r="EZ42">
        <v>6</v>
      </c>
      <c r="FA42">
        <v>6</v>
      </c>
      <c r="FB42">
        <v>5.7</v>
      </c>
      <c r="FC42" t="s">
        <v>1379</v>
      </c>
      <c r="FD42">
        <v>7.02</v>
      </c>
    </row>
    <row r="43" spans="1:160" ht="24.95" customHeight="1" thickBot="1" x14ac:dyDescent="0.3">
      <c r="A43" s="29" t="str">
        <f t="shared" si="0"/>
        <v>42º</v>
      </c>
      <c r="B43" s="67" t="str">
        <f t="shared" si="118"/>
        <v>Matheus Babi</v>
      </c>
      <c r="C43" s="83" t="str">
        <f t="shared" si="119"/>
        <v>BRA</v>
      </c>
      <c r="D43" s="9" t="str">
        <f t="shared" si="120"/>
        <v>Suwon FC</v>
      </c>
      <c r="E43" s="91" t="str">
        <f t="shared" si="121"/>
        <v>Pé Preferido Desconhecido</v>
      </c>
      <c r="F43" s="155">
        <f t="shared" si="122"/>
        <v>1.91</v>
      </c>
      <c r="G43" s="35">
        <f t="shared" si="123"/>
        <v>46387</v>
      </c>
      <c r="H43" s="7">
        <f t="shared" si="124"/>
        <v>29</v>
      </c>
      <c r="I43" s="299" t="str">
        <f t="shared" si="125"/>
        <v>13m € - 19,75m € p/m</v>
      </c>
      <c r="J43" s="3" t="str">
        <f t="shared" si="126"/>
        <v>Desconhecido</v>
      </c>
      <c r="K43" s="89">
        <f t="shared" si="10"/>
        <v>31.398046398046404</v>
      </c>
      <c r="L43" s="133">
        <f t="shared" si="127"/>
        <v>30.966666666666665</v>
      </c>
      <c r="M43" s="134">
        <f t="shared" si="128"/>
        <v>32</v>
      </c>
      <c r="N43" s="134">
        <f t="shared" si="129"/>
        <v>87.09375</v>
      </c>
      <c r="O43" s="173">
        <f t="shared" si="130"/>
        <v>1</v>
      </c>
      <c r="P43" s="402">
        <f t="shared" si="131"/>
        <v>17</v>
      </c>
      <c r="Q43" s="402">
        <f t="shared" si="132"/>
        <v>4</v>
      </c>
      <c r="R43" s="402">
        <f t="shared" si="133"/>
        <v>21</v>
      </c>
      <c r="S43" s="6">
        <f t="shared" si="134"/>
        <v>3</v>
      </c>
      <c r="T43" s="24">
        <f t="shared" si="135"/>
        <v>929</v>
      </c>
      <c r="U43" s="21">
        <f t="shared" si="136"/>
        <v>9.6878363832077513E-2</v>
      </c>
      <c r="V43" s="298">
        <f t="shared" si="137"/>
        <v>39</v>
      </c>
      <c r="W43" s="300">
        <f t="shared" si="138"/>
        <v>1.2594187298170076</v>
      </c>
      <c r="X43" s="298">
        <f t="shared" si="139"/>
        <v>3</v>
      </c>
      <c r="Y43" s="300">
        <f t="shared" si="140"/>
        <v>9.6878363832077513E-2</v>
      </c>
      <c r="Z43" s="290">
        <f t="shared" si="141"/>
        <v>7.6923076923076927E-2</v>
      </c>
      <c r="AA43" s="298">
        <f t="shared" si="142"/>
        <v>1</v>
      </c>
      <c r="AB43" s="286">
        <f t="shared" si="143"/>
        <v>4</v>
      </c>
      <c r="AC43" s="286">
        <f t="shared" si="144"/>
        <v>3</v>
      </c>
      <c r="AD43" s="286">
        <f t="shared" si="145"/>
        <v>1</v>
      </c>
      <c r="AE43" s="21">
        <f t="shared" si="146"/>
        <v>0.75</v>
      </c>
      <c r="AF43" s="421">
        <f t="shared" si="147"/>
        <v>17</v>
      </c>
      <c r="AG43" s="421">
        <f t="shared" si="148"/>
        <v>4</v>
      </c>
      <c r="AH43" s="421">
        <f t="shared" si="149"/>
        <v>21</v>
      </c>
      <c r="AI43" s="421">
        <f t="shared" si="150"/>
        <v>14</v>
      </c>
      <c r="AJ43" s="420">
        <f t="shared" si="151"/>
        <v>5</v>
      </c>
      <c r="AK43" s="422">
        <f t="shared" si="152"/>
        <v>0.54897739504843923</v>
      </c>
      <c r="AL43" s="422">
        <f t="shared" si="153"/>
        <v>0.12917115177610333</v>
      </c>
      <c r="AM43" s="422">
        <f t="shared" si="154"/>
        <v>0.67814854682454251</v>
      </c>
      <c r="AN43" s="5">
        <f t="shared" si="155"/>
        <v>15.46</v>
      </c>
      <c r="AO43" s="5">
        <f t="shared" si="156"/>
        <v>12.3</v>
      </c>
      <c r="AP43" s="5">
        <f t="shared" si="157"/>
        <v>0.3972012917115178</v>
      </c>
      <c r="AQ43" s="5">
        <f t="shared" si="158"/>
        <v>1.17</v>
      </c>
      <c r="AR43" s="5">
        <f t="shared" si="159"/>
        <v>3.7782561894510229E-2</v>
      </c>
      <c r="AS43" s="5">
        <f t="shared" si="160"/>
        <v>13.47</v>
      </c>
      <c r="AT43" s="5">
        <f t="shared" si="161"/>
        <v>0.43498385360602804</v>
      </c>
      <c r="AU43" s="21">
        <f t="shared" si="162"/>
        <v>0.22630560928433269</v>
      </c>
      <c r="AV43" s="21">
        <f t="shared" si="163"/>
        <v>0.5237215033887862</v>
      </c>
      <c r="AW43" s="6">
        <f t="shared" si="164"/>
        <v>13</v>
      </c>
      <c r="AX43" s="6">
        <f t="shared" si="165"/>
        <v>1</v>
      </c>
      <c r="AY43" s="21">
        <f t="shared" si="166"/>
        <v>7.6923076923076927E-2</v>
      </c>
      <c r="AZ43" s="304">
        <f t="shared" si="167"/>
        <v>8</v>
      </c>
      <c r="BA43" s="305">
        <f t="shared" si="168"/>
        <v>0.25834230355220666</v>
      </c>
      <c r="BB43" s="413">
        <f t="shared" si="169"/>
        <v>7.4504999999999999</v>
      </c>
      <c r="BC43" s="413">
        <f t="shared" si="170"/>
        <v>0.24059741657696448</v>
      </c>
      <c r="BD43" s="6">
        <f t="shared" si="171"/>
        <v>745</v>
      </c>
      <c r="BE43" s="5">
        <f t="shared" si="172"/>
        <v>24.058127018299249</v>
      </c>
      <c r="BF43" s="6">
        <f t="shared" si="173"/>
        <v>583</v>
      </c>
      <c r="BG43" s="5">
        <f t="shared" si="174"/>
        <v>18.826695371367062</v>
      </c>
      <c r="BH43" s="21">
        <f t="shared" si="175"/>
        <v>0.78255033557046982</v>
      </c>
      <c r="BI43" s="417">
        <f t="shared" si="176"/>
        <v>162</v>
      </c>
      <c r="BJ43" s="418">
        <f t="shared" si="177"/>
        <v>5.2314316469321858</v>
      </c>
      <c r="BK43" s="195">
        <f t="shared" si="178"/>
        <v>16</v>
      </c>
      <c r="BL43" s="5">
        <f t="shared" si="179"/>
        <v>0.51668460710441333</v>
      </c>
      <c r="BM43" s="21">
        <f t="shared" si="180"/>
        <v>2.1476510067114093E-2</v>
      </c>
      <c r="BN43" s="195">
        <f t="shared" si="181"/>
        <v>19</v>
      </c>
      <c r="BO43" s="185">
        <f t="shared" si="182"/>
        <v>0.61356297093649093</v>
      </c>
      <c r="BP43" s="5">
        <f t="shared" si="183"/>
        <v>4.75</v>
      </c>
      <c r="BQ43" s="21">
        <f t="shared" si="184"/>
        <v>0.21052631578947367</v>
      </c>
      <c r="BR43" s="5">
        <f t="shared" si="185"/>
        <v>-2.83</v>
      </c>
      <c r="BS43" s="5">
        <f t="shared" si="186"/>
        <v>6.1578947368421046E-2</v>
      </c>
      <c r="BT43" s="24">
        <f t="shared" si="187"/>
        <v>146.68421052631578</v>
      </c>
      <c r="BU43" s="5">
        <f t="shared" si="188"/>
        <v>37.159999999999997</v>
      </c>
      <c r="BV43" s="5">
        <f t="shared" si="189"/>
        <v>1.5399999999999991</v>
      </c>
      <c r="BW43" s="5">
        <f t="shared" si="190"/>
        <v>-0.83000000000000096</v>
      </c>
      <c r="BX43" s="6">
        <f t="shared" si="191"/>
        <v>107</v>
      </c>
      <c r="BY43" s="5">
        <f t="shared" si="192"/>
        <v>3.4553283100107643</v>
      </c>
      <c r="BZ43" s="6">
        <f t="shared" si="193"/>
        <v>55</v>
      </c>
      <c r="CA43" s="5">
        <f t="shared" si="194"/>
        <v>1.776103336921421</v>
      </c>
      <c r="CB43" s="6">
        <f t="shared" si="195"/>
        <v>56</v>
      </c>
      <c r="CC43" s="5">
        <f t="shared" si="196"/>
        <v>1.8083961248654468</v>
      </c>
      <c r="CD43" s="5">
        <f t="shared" si="197"/>
        <v>1.7115177610333694</v>
      </c>
      <c r="CE43" s="21">
        <f t="shared" si="198"/>
        <v>0.49532710280373832</v>
      </c>
      <c r="CF43" s="5">
        <f t="shared" si="199"/>
        <v>7.6428571428571432</v>
      </c>
      <c r="CG43" s="5">
        <f t="shared" si="200"/>
        <v>3.2941176470588234</v>
      </c>
      <c r="CH43" s="21">
        <f t="shared" si="201"/>
        <v>0.13084112149532709</v>
      </c>
      <c r="CI43" s="298">
        <f t="shared" si="202"/>
        <v>8</v>
      </c>
      <c r="CJ43" s="298">
        <f t="shared" si="203"/>
        <v>5</v>
      </c>
      <c r="CK43" s="298">
        <f t="shared" si="204"/>
        <v>4</v>
      </c>
      <c r="CL43" s="21">
        <f t="shared" si="205"/>
        <v>0.23066277102875599</v>
      </c>
      <c r="CM43" s="6">
        <f t="shared" si="206"/>
        <v>12.5</v>
      </c>
      <c r="CN43" s="5">
        <f t="shared" si="207"/>
        <v>0.40365984930032295</v>
      </c>
      <c r="CO43" s="167">
        <f t="shared" si="208"/>
        <v>151</v>
      </c>
      <c r="CP43" s="5">
        <f t="shared" si="209"/>
        <v>4.8762109795479009</v>
      </c>
      <c r="CQ43" s="6">
        <f t="shared" si="210"/>
        <v>84</v>
      </c>
      <c r="CR43" s="5">
        <f t="shared" si="211"/>
        <v>2.71259418729817</v>
      </c>
      <c r="CS43" s="21">
        <f t="shared" si="212"/>
        <v>0.55629139072847678</v>
      </c>
      <c r="CT43" s="6">
        <f t="shared" si="213"/>
        <v>92.67</v>
      </c>
      <c r="CU43" s="5">
        <f t="shared" si="214"/>
        <v>2.9925726587728745</v>
      </c>
      <c r="CV43" s="6">
        <f t="shared" si="215"/>
        <v>92.92</v>
      </c>
      <c r="CW43" s="5">
        <f t="shared" si="216"/>
        <v>3.0006458557588807</v>
      </c>
      <c r="CX43" s="385">
        <f t="shared" si="217"/>
        <v>6.862637244348762</v>
      </c>
      <c r="CY43" s="5">
        <f t="shared" si="218"/>
        <v>29.935414424111951</v>
      </c>
      <c r="CZ43" s="5">
        <f t="shared" si="219"/>
        <v>20.086114101184069</v>
      </c>
      <c r="DA43" s="6">
        <f t="shared" si="220"/>
        <v>35</v>
      </c>
      <c r="DB43" s="5">
        <f t="shared" si="221"/>
        <v>1.1302475780409043</v>
      </c>
      <c r="DC43" s="6">
        <f t="shared" si="222"/>
        <v>167</v>
      </c>
      <c r="DD43" s="5">
        <f t="shared" si="223"/>
        <v>5.3928955866523145</v>
      </c>
      <c r="DE43" s="6">
        <f t="shared" si="224"/>
        <v>134</v>
      </c>
      <c r="DF43" s="5">
        <f t="shared" si="225"/>
        <v>4.3272335844994618</v>
      </c>
      <c r="DG43" s="6">
        <f t="shared" si="226"/>
        <v>229</v>
      </c>
      <c r="DH43" s="5">
        <f t="shared" si="227"/>
        <v>7.3950484391819167</v>
      </c>
      <c r="DI43" s="5">
        <f t="shared" si="228"/>
        <v>12.5</v>
      </c>
      <c r="DJ43" s="5">
        <f t="shared" si="229"/>
        <v>203.3</v>
      </c>
      <c r="DK43" s="5">
        <f t="shared" si="230"/>
        <v>6.5651237890204532</v>
      </c>
      <c r="DL43" s="286">
        <f t="shared" si="231"/>
        <v>170.31666666666666</v>
      </c>
      <c r="DM43" s="287">
        <f t="shared" si="232"/>
        <v>5.5</v>
      </c>
      <c r="DN43" s="60">
        <f t="shared" si="233"/>
        <v>7.09</v>
      </c>
      <c r="DO43" t="s">
        <v>19</v>
      </c>
      <c r="DP43" t="s">
        <v>13</v>
      </c>
      <c r="DQ43" t="s">
        <v>1380</v>
      </c>
      <c r="DR43">
        <v>29</v>
      </c>
      <c r="DS43" t="s">
        <v>1381</v>
      </c>
      <c r="DT43" t="s">
        <v>744</v>
      </c>
      <c r="DU43" t="s">
        <v>1201</v>
      </c>
      <c r="DV43" t="s">
        <v>1202</v>
      </c>
      <c r="DW43" t="s">
        <v>1382</v>
      </c>
      <c r="DX43" s="430">
        <v>46387</v>
      </c>
      <c r="DY43">
        <v>2787</v>
      </c>
      <c r="DZ43">
        <v>32</v>
      </c>
      <c r="EA43">
        <v>3</v>
      </c>
      <c r="EB43">
        <v>17</v>
      </c>
      <c r="EC43">
        <v>4</v>
      </c>
      <c r="ED43">
        <v>4</v>
      </c>
      <c r="EE43">
        <v>12.5</v>
      </c>
      <c r="EF43" t="s">
        <v>1383</v>
      </c>
      <c r="EG43" t="s">
        <v>1384</v>
      </c>
      <c r="EH43">
        <v>29</v>
      </c>
      <c r="EI43">
        <v>43</v>
      </c>
      <c r="EJ43">
        <v>745</v>
      </c>
      <c r="EK43">
        <v>583</v>
      </c>
      <c r="EL43">
        <v>19</v>
      </c>
      <c r="EM43">
        <v>16</v>
      </c>
      <c r="EN43">
        <v>8</v>
      </c>
      <c r="EO43">
        <v>111</v>
      </c>
      <c r="EP43">
        <v>56</v>
      </c>
      <c r="EQ43">
        <v>24</v>
      </c>
      <c r="ER43">
        <v>15</v>
      </c>
      <c r="ES43">
        <v>13</v>
      </c>
      <c r="ET43">
        <v>1</v>
      </c>
      <c r="EU43">
        <v>52</v>
      </c>
      <c r="EV43">
        <v>4</v>
      </c>
      <c r="EW43">
        <v>5</v>
      </c>
      <c r="EX43">
        <v>0.7</v>
      </c>
      <c r="EY43">
        <v>1</v>
      </c>
      <c r="EZ43">
        <v>4</v>
      </c>
      <c r="FA43">
        <v>3</v>
      </c>
      <c r="FB43">
        <v>5.5</v>
      </c>
      <c r="FC43" t="s">
        <v>1385</v>
      </c>
      <c r="FD43">
        <v>7.09</v>
      </c>
    </row>
    <row r="44" spans="1:160" ht="24.95" customHeight="1" thickBot="1" x14ac:dyDescent="0.3">
      <c r="A44" s="29" t="str">
        <f t="shared" si="0"/>
        <v>43º</v>
      </c>
      <c r="B44" s="67" t="str">
        <f t="shared" si="118"/>
        <v>Dominic Vinícius</v>
      </c>
      <c r="C44" s="83" t="str">
        <f t="shared" si="119"/>
        <v>BRA</v>
      </c>
      <c r="D44" s="9" t="str">
        <f t="shared" si="120"/>
        <v>SJZ Gongfu</v>
      </c>
      <c r="E44" s="91" t="str">
        <f t="shared" si="121"/>
        <v>Pé Preferido Desconhecido</v>
      </c>
      <c r="F44" s="155">
        <f t="shared" si="122"/>
        <v>1.94</v>
      </c>
      <c r="G44" s="35">
        <f t="shared" si="123"/>
        <v>46752</v>
      </c>
      <c r="H44" s="7">
        <f t="shared" si="124"/>
        <v>31</v>
      </c>
      <c r="I44" s="299" t="str">
        <f t="shared" si="125"/>
        <v>18,25m € - 28,5m € p/m</v>
      </c>
      <c r="J44" s="3" t="str">
        <f t="shared" si="126"/>
        <v>Desconhecido</v>
      </c>
      <c r="K44" s="89">
        <f t="shared" si="10"/>
        <v>31.398046398046404</v>
      </c>
      <c r="L44" s="133">
        <f t="shared" si="127"/>
        <v>29.411111111111111</v>
      </c>
      <c r="M44" s="134">
        <f t="shared" si="128"/>
        <v>30</v>
      </c>
      <c r="N44" s="134">
        <f t="shared" si="129"/>
        <v>88.233333333333334</v>
      </c>
      <c r="O44" s="173">
        <f t="shared" si="130"/>
        <v>0.97</v>
      </c>
      <c r="P44" s="402">
        <f t="shared" si="131"/>
        <v>11</v>
      </c>
      <c r="Q44" s="402">
        <f t="shared" si="132"/>
        <v>9</v>
      </c>
      <c r="R44" s="402">
        <f t="shared" si="133"/>
        <v>20</v>
      </c>
      <c r="S44" s="6">
        <f t="shared" si="134"/>
        <v>0</v>
      </c>
      <c r="T44" s="24">
        <f t="shared" si="135"/>
        <v>5000</v>
      </c>
      <c r="U44" s="21">
        <f t="shared" si="136"/>
        <v>0</v>
      </c>
      <c r="V44" s="298">
        <f t="shared" si="137"/>
        <v>0</v>
      </c>
      <c r="W44" s="300">
        <f t="shared" si="138"/>
        <v>0</v>
      </c>
      <c r="X44" s="298">
        <f t="shared" si="139"/>
        <v>0</v>
      </c>
      <c r="Y44" s="300">
        <f t="shared" si="140"/>
        <v>0</v>
      </c>
      <c r="Z44" s="290">
        <f t="shared" si="141"/>
        <v>0</v>
      </c>
      <c r="AA44" s="298">
        <f t="shared" si="142"/>
        <v>0</v>
      </c>
      <c r="AB44" s="286">
        <f t="shared" si="143"/>
        <v>3</v>
      </c>
      <c r="AC44" s="286">
        <f t="shared" si="144"/>
        <v>3</v>
      </c>
      <c r="AD44" s="286">
        <f t="shared" si="145"/>
        <v>0</v>
      </c>
      <c r="AE44" s="21">
        <f t="shared" si="146"/>
        <v>1</v>
      </c>
      <c r="AF44" s="421">
        <f t="shared" si="147"/>
        <v>11</v>
      </c>
      <c r="AG44" s="421">
        <f t="shared" si="148"/>
        <v>9</v>
      </c>
      <c r="AH44" s="421">
        <f t="shared" si="149"/>
        <v>20</v>
      </c>
      <c r="AI44" s="421">
        <f t="shared" si="150"/>
        <v>8</v>
      </c>
      <c r="AJ44" s="420">
        <f t="shared" si="151"/>
        <v>0</v>
      </c>
      <c r="AK44" s="422">
        <f t="shared" si="152"/>
        <v>0.37400831129580658</v>
      </c>
      <c r="AL44" s="422">
        <f t="shared" si="153"/>
        <v>0.30600680015111448</v>
      </c>
      <c r="AM44" s="422">
        <f t="shared" si="154"/>
        <v>0.68001511144692106</v>
      </c>
      <c r="AN44" s="5">
        <f t="shared" si="155"/>
        <v>10.6</v>
      </c>
      <c r="AO44" s="5">
        <f t="shared" si="156"/>
        <v>8.23</v>
      </c>
      <c r="AP44" s="5">
        <f t="shared" si="157"/>
        <v>0.279826218360408</v>
      </c>
      <c r="AQ44" s="5">
        <f t="shared" si="158"/>
        <v>1.83</v>
      </c>
      <c r="AR44" s="5">
        <f t="shared" si="159"/>
        <v>6.2221382697393274E-2</v>
      </c>
      <c r="AS44" s="5">
        <f t="shared" si="160"/>
        <v>10.06</v>
      </c>
      <c r="AT44" s="5">
        <f t="shared" si="161"/>
        <v>0.3420476010578013</v>
      </c>
      <c r="AU44" s="21">
        <f t="shared" si="162"/>
        <v>0.16897506925207756</v>
      </c>
      <c r="AV44" s="21">
        <f t="shared" si="163"/>
        <v>0.50925925925925919</v>
      </c>
      <c r="AW44" s="6">
        <f t="shared" si="164"/>
        <v>0</v>
      </c>
      <c r="AX44" s="6">
        <f t="shared" si="165"/>
        <v>0</v>
      </c>
      <c r="AY44" s="21">
        <f t="shared" si="166"/>
        <v>0</v>
      </c>
      <c r="AZ44" s="304">
        <f t="shared" si="167"/>
        <v>0</v>
      </c>
      <c r="BA44" s="305">
        <f t="shared" si="168"/>
        <v>0</v>
      </c>
      <c r="BB44" s="413">
        <f t="shared" si="169"/>
        <v>0.27450000000000002</v>
      </c>
      <c r="BC44" s="413">
        <f t="shared" si="170"/>
        <v>9.33320740460899E-3</v>
      </c>
      <c r="BD44" s="6">
        <f t="shared" si="171"/>
        <v>600</v>
      </c>
      <c r="BE44" s="5">
        <f t="shared" si="172"/>
        <v>20.40045334340763</v>
      </c>
      <c r="BF44" s="6">
        <f t="shared" si="173"/>
        <v>354</v>
      </c>
      <c r="BG44" s="5">
        <f t="shared" si="174"/>
        <v>12.036267472610502</v>
      </c>
      <c r="BH44" s="21">
        <f t="shared" si="175"/>
        <v>0.59</v>
      </c>
      <c r="BI44" s="417">
        <f t="shared" si="176"/>
        <v>246</v>
      </c>
      <c r="BJ44" s="418">
        <f t="shared" si="177"/>
        <v>8.3641858707971295</v>
      </c>
      <c r="BK44" s="195">
        <f t="shared" si="178"/>
        <v>0</v>
      </c>
      <c r="BL44" s="5">
        <f t="shared" si="179"/>
        <v>0</v>
      </c>
      <c r="BM44" s="21">
        <f t="shared" si="180"/>
        <v>0</v>
      </c>
      <c r="BN44" s="195">
        <f t="shared" si="181"/>
        <v>0</v>
      </c>
      <c r="BO44" s="185">
        <f t="shared" si="182"/>
        <v>0</v>
      </c>
      <c r="BP44" s="5">
        <f t="shared" si="183"/>
        <v>0</v>
      </c>
      <c r="BQ44" s="21">
        <f t="shared" si="184"/>
        <v>0</v>
      </c>
      <c r="BR44" s="5">
        <f t="shared" si="185"/>
        <v>-7.17</v>
      </c>
      <c r="BS44" s="5">
        <f t="shared" si="186"/>
        <v>0</v>
      </c>
      <c r="BT44" s="24">
        <f t="shared" si="187"/>
        <v>0</v>
      </c>
      <c r="BU44" s="5">
        <f t="shared" si="188"/>
        <v>85.387096774193552</v>
      </c>
      <c r="BV44" s="5">
        <f t="shared" si="189"/>
        <v>0.40000000000000036</v>
      </c>
      <c r="BW44" s="5">
        <f t="shared" si="190"/>
        <v>-1.9699999999999998</v>
      </c>
      <c r="BX44" s="6">
        <f t="shared" si="191"/>
        <v>66</v>
      </c>
      <c r="BY44" s="5">
        <f t="shared" si="192"/>
        <v>2.2440498677748395</v>
      </c>
      <c r="BZ44" s="6">
        <f t="shared" si="193"/>
        <v>35</v>
      </c>
      <c r="CA44" s="5">
        <f t="shared" si="194"/>
        <v>1.1900264450321119</v>
      </c>
      <c r="CB44" s="6">
        <f t="shared" si="195"/>
        <v>34</v>
      </c>
      <c r="CC44" s="5">
        <f t="shared" si="196"/>
        <v>1.1560256894597658</v>
      </c>
      <c r="CD44" s="5">
        <f t="shared" si="197"/>
        <v>1.0540234227427276</v>
      </c>
      <c r="CE44" s="21">
        <f t="shared" si="198"/>
        <v>0.46969696969696972</v>
      </c>
      <c r="CF44" s="5">
        <f t="shared" si="199"/>
        <v>8.25</v>
      </c>
      <c r="CG44" s="5">
        <f t="shared" si="200"/>
        <v>3.0909090909090908</v>
      </c>
      <c r="CH44" s="21">
        <f t="shared" si="201"/>
        <v>0.12121212121212122</v>
      </c>
      <c r="CI44" s="298">
        <f t="shared" si="202"/>
        <v>8</v>
      </c>
      <c r="CJ44" s="298">
        <f t="shared" si="203"/>
        <v>0</v>
      </c>
      <c r="CK44" s="298">
        <f t="shared" si="204"/>
        <v>3</v>
      </c>
      <c r="CL44" s="21">
        <f t="shared" si="205"/>
        <v>0</v>
      </c>
      <c r="CM44" s="6">
        <f t="shared" si="206"/>
        <v>0</v>
      </c>
      <c r="CN44" s="5">
        <f t="shared" si="207"/>
        <v>0</v>
      </c>
      <c r="CO44" s="167">
        <f t="shared" si="208"/>
        <v>69</v>
      </c>
      <c r="CP44" s="5">
        <f t="shared" si="209"/>
        <v>2.3460521344918774</v>
      </c>
      <c r="CQ44" s="6">
        <f t="shared" si="210"/>
        <v>34</v>
      </c>
      <c r="CR44" s="5">
        <f t="shared" si="211"/>
        <v>1.1560256894597658</v>
      </c>
      <c r="CS44" s="21">
        <f t="shared" si="212"/>
        <v>0.49275362318840582</v>
      </c>
      <c r="CT44" s="6">
        <f t="shared" si="213"/>
        <v>42.83</v>
      </c>
      <c r="CU44" s="5">
        <f t="shared" si="214"/>
        <v>1.4562523611635814</v>
      </c>
      <c r="CV44" s="6">
        <f t="shared" si="215"/>
        <v>47.83</v>
      </c>
      <c r="CW44" s="5">
        <f t="shared" si="216"/>
        <v>1.6262561390253116</v>
      </c>
      <c r="CX44" s="385">
        <f t="shared" si="217"/>
        <v>3.1625802795617677</v>
      </c>
      <c r="CY44" s="5">
        <f t="shared" si="218"/>
        <v>22.848507744616548</v>
      </c>
      <c r="CZ44" s="5">
        <f t="shared" si="219"/>
        <v>12.036267472610502</v>
      </c>
      <c r="DA44" s="6">
        <f t="shared" si="220"/>
        <v>0</v>
      </c>
      <c r="DB44" s="5">
        <f t="shared" si="221"/>
        <v>0</v>
      </c>
      <c r="DC44" s="6">
        <f t="shared" si="222"/>
        <v>66</v>
      </c>
      <c r="DD44" s="5">
        <f t="shared" si="223"/>
        <v>2.2440498677748395</v>
      </c>
      <c r="DE44" s="6">
        <f t="shared" si="224"/>
        <v>69</v>
      </c>
      <c r="DF44" s="5">
        <f t="shared" si="225"/>
        <v>2.3460521344918774</v>
      </c>
      <c r="DG44" s="6">
        <f t="shared" si="226"/>
        <v>281</v>
      </c>
      <c r="DH44" s="5">
        <f t="shared" si="227"/>
        <v>9.5542123158292398</v>
      </c>
      <c r="DI44" s="5">
        <f t="shared" si="228"/>
        <v>0</v>
      </c>
      <c r="DJ44" s="5">
        <f t="shared" si="229"/>
        <v>0</v>
      </c>
      <c r="DK44" s="5">
        <f t="shared" si="230"/>
        <v>0</v>
      </c>
      <c r="DL44" s="286">
        <f t="shared" si="231"/>
        <v>0</v>
      </c>
      <c r="DM44" s="287">
        <f t="shared" si="232"/>
        <v>0</v>
      </c>
      <c r="DN44" s="60">
        <f t="shared" si="233"/>
        <v>7.14</v>
      </c>
      <c r="DO44"/>
      <c r="DP44" t="s">
        <v>13</v>
      </c>
      <c r="DQ44" t="s">
        <v>1386</v>
      </c>
      <c r="DR44">
        <v>31</v>
      </c>
      <c r="DS44" t="s">
        <v>1387</v>
      </c>
      <c r="DT44" t="s">
        <v>715</v>
      </c>
      <c r="DU44" t="s">
        <v>1201</v>
      </c>
      <c r="DV44" t="s">
        <v>1202</v>
      </c>
      <c r="DW44" t="s">
        <v>1388</v>
      </c>
      <c r="DX44" s="430">
        <v>46752</v>
      </c>
      <c r="DY44">
        <v>2647</v>
      </c>
      <c r="DZ44" t="s">
        <v>1389</v>
      </c>
      <c r="EA44">
        <v>0</v>
      </c>
      <c r="EB44">
        <v>11</v>
      </c>
      <c r="EC44">
        <v>9</v>
      </c>
      <c r="ED44">
        <v>0</v>
      </c>
      <c r="EE44">
        <v>0</v>
      </c>
      <c r="EF44" t="s">
        <v>1390</v>
      </c>
      <c r="EG44" t="s">
        <v>1391</v>
      </c>
      <c r="EH44">
        <v>38</v>
      </c>
      <c r="EI44">
        <v>25</v>
      </c>
      <c r="EJ44">
        <v>600</v>
      </c>
      <c r="EK44">
        <v>354</v>
      </c>
      <c r="EL44">
        <v>0</v>
      </c>
      <c r="EM44">
        <v>0</v>
      </c>
      <c r="EN44">
        <v>0</v>
      </c>
      <c r="EO44">
        <v>69</v>
      </c>
      <c r="EP44">
        <v>34</v>
      </c>
      <c r="EQ44">
        <v>0</v>
      </c>
      <c r="ER44">
        <v>0</v>
      </c>
      <c r="ES44">
        <v>0</v>
      </c>
      <c r="ET44">
        <v>0</v>
      </c>
      <c r="EU44">
        <v>0</v>
      </c>
      <c r="EV44">
        <v>0</v>
      </c>
      <c r="EW44">
        <v>0</v>
      </c>
      <c r="EX44">
        <v>0</v>
      </c>
      <c r="EY44">
        <v>0</v>
      </c>
      <c r="EZ44">
        <v>3</v>
      </c>
      <c r="FA44">
        <v>3</v>
      </c>
      <c r="FB44">
        <v>0</v>
      </c>
      <c r="FC44" t="s">
        <v>1270</v>
      </c>
      <c r="FD44">
        <v>7.14</v>
      </c>
    </row>
    <row r="45" spans="1:160" ht="24.95" customHeight="1" thickBot="1" x14ac:dyDescent="0.3">
      <c r="A45" s="29" t="str">
        <f t="shared" si="0"/>
        <v>44º</v>
      </c>
      <c r="B45" s="67" t="str">
        <f t="shared" si="118"/>
        <v>Gabriel Barbosa</v>
      </c>
      <c r="C45" s="83" t="str">
        <f t="shared" si="119"/>
        <v>BRA</v>
      </c>
      <c r="D45" s="9" t="str">
        <f t="shared" si="120"/>
        <v>Santos</v>
      </c>
      <c r="E45" s="91" t="str">
        <f t="shared" si="121"/>
        <v>Somente Pé Esquerdo</v>
      </c>
      <c r="F45" s="155">
        <f t="shared" si="122"/>
        <v>1.78</v>
      </c>
      <c r="G45" s="35">
        <f t="shared" si="123"/>
        <v>47118</v>
      </c>
      <c r="H45" s="7">
        <f t="shared" si="124"/>
        <v>30</v>
      </c>
      <c r="I45" s="299" t="str">
        <f t="shared" si="125"/>
        <v>302m € - 424m € p/m</v>
      </c>
      <c r="J45" s="3" t="str">
        <f t="shared" si="126"/>
        <v>35m € - 9,2M €</v>
      </c>
      <c r="K45" s="89">
        <f t="shared" si="10"/>
        <v>31.398046398046404</v>
      </c>
      <c r="L45" s="133">
        <f t="shared" si="127"/>
        <v>42.7</v>
      </c>
      <c r="M45" s="134">
        <f t="shared" si="128"/>
        <v>46</v>
      </c>
      <c r="N45" s="134">
        <f t="shared" si="129"/>
        <v>83.543478260869563</v>
      </c>
      <c r="O45" s="173">
        <f t="shared" si="130"/>
        <v>1</v>
      </c>
      <c r="P45" s="402">
        <f t="shared" si="131"/>
        <v>21</v>
      </c>
      <c r="Q45" s="402">
        <f t="shared" si="132"/>
        <v>9</v>
      </c>
      <c r="R45" s="402">
        <f t="shared" si="133"/>
        <v>30</v>
      </c>
      <c r="S45" s="6">
        <f t="shared" si="134"/>
        <v>5</v>
      </c>
      <c r="T45" s="24">
        <f t="shared" si="135"/>
        <v>768.6</v>
      </c>
      <c r="U45" s="21">
        <f t="shared" si="136"/>
        <v>0.11709601873536299</v>
      </c>
      <c r="V45" s="298">
        <f t="shared" si="137"/>
        <v>1</v>
      </c>
      <c r="W45" s="300">
        <f t="shared" si="138"/>
        <v>2.3419203747072598E-2</v>
      </c>
      <c r="X45" s="298">
        <f t="shared" si="139"/>
        <v>0</v>
      </c>
      <c r="Y45" s="300">
        <f t="shared" si="140"/>
        <v>0</v>
      </c>
      <c r="Z45" s="290">
        <f t="shared" si="141"/>
        <v>0</v>
      </c>
      <c r="AA45" s="298">
        <f t="shared" si="142"/>
        <v>0</v>
      </c>
      <c r="AB45" s="286">
        <f t="shared" si="143"/>
        <v>3</v>
      </c>
      <c r="AC45" s="286">
        <f t="shared" si="144"/>
        <v>3</v>
      </c>
      <c r="AD45" s="286">
        <f t="shared" si="145"/>
        <v>0</v>
      </c>
      <c r="AE45" s="21">
        <f t="shared" si="146"/>
        <v>1</v>
      </c>
      <c r="AF45" s="421">
        <f t="shared" si="147"/>
        <v>21</v>
      </c>
      <c r="AG45" s="421">
        <f t="shared" si="148"/>
        <v>9</v>
      </c>
      <c r="AH45" s="421">
        <f t="shared" si="149"/>
        <v>30</v>
      </c>
      <c r="AI45" s="421">
        <f t="shared" si="150"/>
        <v>18</v>
      </c>
      <c r="AJ45" s="420">
        <f t="shared" si="151"/>
        <v>3</v>
      </c>
      <c r="AK45" s="422">
        <f t="shared" si="152"/>
        <v>0.49180327868852458</v>
      </c>
      <c r="AL45" s="422">
        <f t="shared" si="153"/>
        <v>0.21077283372365338</v>
      </c>
      <c r="AM45" s="422">
        <f t="shared" si="154"/>
        <v>0.70257611241217799</v>
      </c>
      <c r="AN45" s="5">
        <f t="shared" si="155"/>
        <v>18.260000000000002</v>
      </c>
      <c r="AO45" s="5">
        <f t="shared" si="156"/>
        <v>15.89</v>
      </c>
      <c r="AP45" s="5">
        <f t="shared" si="157"/>
        <v>0.37213114754098359</v>
      </c>
      <c r="AQ45" s="5">
        <f t="shared" si="158"/>
        <v>7.24</v>
      </c>
      <c r="AR45" s="5">
        <f t="shared" si="159"/>
        <v>0.16955503512880563</v>
      </c>
      <c r="AS45" s="5">
        <f t="shared" si="160"/>
        <v>23.130000000000003</v>
      </c>
      <c r="AT45" s="5">
        <f t="shared" si="161"/>
        <v>0.5416861826697893</v>
      </c>
      <c r="AU45" s="21">
        <f t="shared" si="162"/>
        <v>0.44581280788177335</v>
      </c>
      <c r="AV45" s="21">
        <f t="shared" si="163"/>
        <v>0.53489556800815075</v>
      </c>
      <c r="AW45" s="6">
        <f t="shared" si="164"/>
        <v>29</v>
      </c>
      <c r="AX45" s="6">
        <f t="shared" si="165"/>
        <v>9</v>
      </c>
      <c r="AY45" s="21">
        <f t="shared" si="166"/>
        <v>0.31034482758620691</v>
      </c>
      <c r="AZ45" s="304">
        <f t="shared" si="167"/>
        <v>39</v>
      </c>
      <c r="BA45" s="305">
        <f t="shared" si="168"/>
        <v>0.91334894613583129</v>
      </c>
      <c r="BB45" s="413">
        <f t="shared" si="169"/>
        <v>24.366</v>
      </c>
      <c r="BC45" s="413">
        <f t="shared" si="170"/>
        <v>0.57063231850117102</v>
      </c>
      <c r="BD45" s="6">
        <f t="shared" si="171"/>
        <v>1424</v>
      </c>
      <c r="BE45" s="5">
        <f t="shared" si="172"/>
        <v>33.348946135831376</v>
      </c>
      <c r="BF45" s="6">
        <f t="shared" si="173"/>
        <v>1259</v>
      </c>
      <c r="BG45" s="5">
        <f t="shared" si="174"/>
        <v>29.4847775175644</v>
      </c>
      <c r="BH45" s="21">
        <f t="shared" si="175"/>
        <v>0.8841292134831461</v>
      </c>
      <c r="BI45" s="417">
        <f t="shared" si="176"/>
        <v>165</v>
      </c>
      <c r="BJ45" s="418">
        <f t="shared" si="177"/>
        <v>3.8641686182669788</v>
      </c>
      <c r="BK45" s="195">
        <f t="shared" si="178"/>
        <v>44</v>
      </c>
      <c r="BL45" s="5">
        <f t="shared" si="179"/>
        <v>1.0304449648711944</v>
      </c>
      <c r="BM45" s="21">
        <f t="shared" si="180"/>
        <v>3.0898876404494381E-2</v>
      </c>
      <c r="BN45" s="195">
        <f t="shared" si="181"/>
        <v>52</v>
      </c>
      <c r="BO45" s="185">
        <f t="shared" si="182"/>
        <v>1.2177985948477752</v>
      </c>
      <c r="BP45" s="5">
        <f t="shared" si="183"/>
        <v>5.7777777777777777</v>
      </c>
      <c r="BQ45" s="21">
        <f t="shared" si="184"/>
        <v>0.17307692307692307</v>
      </c>
      <c r="BR45" s="5">
        <f t="shared" si="185"/>
        <v>-1.7599999999999998</v>
      </c>
      <c r="BS45" s="5">
        <f t="shared" si="186"/>
        <v>0.13923076923076924</v>
      </c>
      <c r="BT45" s="24">
        <f t="shared" si="187"/>
        <v>73.90384615384616</v>
      </c>
      <c r="BU45" s="5">
        <f t="shared" si="188"/>
        <v>31.243902439024389</v>
      </c>
      <c r="BV45" s="5">
        <f t="shared" si="189"/>
        <v>2.7399999999999984</v>
      </c>
      <c r="BW45" s="5">
        <f t="shared" si="190"/>
        <v>0.36999999999999833</v>
      </c>
      <c r="BX45" s="6">
        <f t="shared" si="191"/>
        <v>128</v>
      </c>
      <c r="BY45" s="5">
        <f t="shared" si="192"/>
        <v>2.9976580796252925</v>
      </c>
      <c r="BZ45" s="6">
        <f t="shared" si="193"/>
        <v>72</v>
      </c>
      <c r="CA45" s="5">
        <f t="shared" si="194"/>
        <v>1.686182669789227</v>
      </c>
      <c r="CB45" s="6">
        <f t="shared" si="195"/>
        <v>59</v>
      </c>
      <c r="CC45" s="5">
        <f t="shared" si="196"/>
        <v>1.3817330210772834</v>
      </c>
      <c r="CD45" s="5">
        <f t="shared" si="197"/>
        <v>1.3114754098360655</v>
      </c>
      <c r="CE45" s="21">
        <f t="shared" si="198"/>
        <v>0.4375</v>
      </c>
      <c r="CF45" s="5">
        <f t="shared" si="199"/>
        <v>7.1111111111111107</v>
      </c>
      <c r="CG45" s="5">
        <f t="shared" si="200"/>
        <v>2.8095238095238093</v>
      </c>
      <c r="CH45" s="21">
        <f t="shared" si="201"/>
        <v>0.140625</v>
      </c>
      <c r="CI45" s="298">
        <f t="shared" si="202"/>
        <v>15</v>
      </c>
      <c r="CJ45" s="298">
        <f t="shared" si="203"/>
        <v>3</v>
      </c>
      <c r="CK45" s="298">
        <f t="shared" si="204"/>
        <v>3</v>
      </c>
      <c r="CL45" s="21">
        <f t="shared" si="205"/>
        <v>7.8064012490241988E-2</v>
      </c>
      <c r="CM45" s="6">
        <f t="shared" si="206"/>
        <v>13.6</v>
      </c>
      <c r="CN45" s="5">
        <f t="shared" si="207"/>
        <v>0.31850117096018732</v>
      </c>
      <c r="CO45" s="167">
        <f t="shared" si="208"/>
        <v>251</v>
      </c>
      <c r="CP45" s="5">
        <f t="shared" si="209"/>
        <v>5.8782201405152223</v>
      </c>
      <c r="CQ45" s="6">
        <f t="shared" si="210"/>
        <v>159</v>
      </c>
      <c r="CR45" s="5">
        <f t="shared" si="211"/>
        <v>3.723653395784543</v>
      </c>
      <c r="CS45" s="21">
        <f t="shared" si="212"/>
        <v>0.63346613545816732</v>
      </c>
      <c r="CT45" s="6">
        <f t="shared" si="213"/>
        <v>157.24</v>
      </c>
      <c r="CU45" s="5">
        <f t="shared" si="214"/>
        <v>3.6824355971896954</v>
      </c>
      <c r="CV45" s="6">
        <f t="shared" si="215"/>
        <v>161.74</v>
      </c>
      <c r="CW45" s="5">
        <f t="shared" si="216"/>
        <v>3.7878220140515224</v>
      </c>
      <c r="CX45" s="385">
        <f t="shared" si="217"/>
        <v>11.345854800936769</v>
      </c>
      <c r="CY45" s="5">
        <f t="shared" si="218"/>
        <v>40.983606557377044</v>
      </c>
      <c r="CZ45" s="5">
        <f t="shared" si="219"/>
        <v>32.084309133489462</v>
      </c>
      <c r="DA45" s="6">
        <f t="shared" si="220"/>
        <v>96</v>
      </c>
      <c r="DB45" s="5">
        <f t="shared" si="221"/>
        <v>2.2482435597189694</v>
      </c>
      <c r="DC45" s="6">
        <f t="shared" si="222"/>
        <v>307</v>
      </c>
      <c r="DD45" s="5">
        <f t="shared" si="223"/>
        <v>7.1896955503512876</v>
      </c>
      <c r="DE45" s="6">
        <f t="shared" si="224"/>
        <v>198</v>
      </c>
      <c r="DF45" s="5">
        <f t="shared" si="225"/>
        <v>4.6370023419203745</v>
      </c>
      <c r="DG45" s="6">
        <f t="shared" si="226"/>
        <v>257</v>
      </c>
      <c r="DH45" s="5">
        <f t="shared" si="227"/>
        <v>6.0187353629976581</v>
      </c>
      <c r="DI45" s="5">
        <f t="shared" si="228"/>
        <v>13.6</v>
      </c>
      <c r="DJ45" s="5">
        <f t="shared" si="229"/>
        <v>443.8</v>
      </c>
      <c r="DK45" s="5">
        <f t="shared" si="230"/>
        <v>10.39344262295082</v>
      </c>
      <c r="DL45" s="286">
        <f t="shared" si="231"/>
        <v>341.6</v>
      </c>
      <c r="DM45" s="287">
        <f t="shared" si="232"/>
        <v>8</v>
      </c>
      <c r="DN45" s="60">
        <f t="shared" si="233"/>
        <v>6.98</v>
      </c>
      <c r="DO45"/>
      <c r="DP45" t="s">
        <v>13</v>
      </c>
      <c r="DQ45" t="s">
        <v>1392</v>
      </c>
      <c r="DR45">
        <v>30</v>
      </c>
      <c r="DS45" t="s">
        <v>1393</v>
      </c>
      <c r="DT45" t="s">
        <v>524</v>
      </c>
      <c r="DU45" t="s">
        <v>695</v>
      </c>
      <c r="DV45" t="s">
        <v>1394</v>
      </c>
      <c r="DW45" t="s">
        <v>1395</v>
      </c>
      <c r="DX45" s="430">
        <v>47118</v>
      </c>
      <c r="DY45">
        <v>3843</v>
      </c>
      <c r="DZ45">
        <v>46</v>
      </c>
      <c r="EA45">
        <v>5</v>
      </c>
      <c r="EB45">
        <v>21</v>
      </c>
      <c r="EC45">
        <v>9</v>
      </c>
      <c r="ED45">
        <v>15</v>
      </c>
      <c r="EE45">
        <v>13.6</v>
      </c>
      <c r="EF45" t="s">
        <v>1396</v>
      </c>
      <c r="EG45" t="s">
        <v>1397</v>
      </c>
      <c r="EH45">
        <v>36</v>
      </c>
      <c r="EI45">
        <v>65</v>
      </c>
      <c r="EJ45">
        <v>1424</v>
      </c>
      <c r="EK45">
        <v>1259</v>
      </c>
      <c r="EL45">
        <v>52</v>
      </c>
      <c r="EM45">
        <v>44</v>
      </c>
      <c r="EN45">
        <v>39</v>
      </c>
      <c r="EO45">
        <v>131</v>
      </c>
      <c r="EP45">
        <v>59</v>
      </c>
      <c r="EQ45">
        <v>100</v>
      </c>
      <c r="ER45">
        <v>24</v>
      </c>
      <c r="ES45">
        <v>29</v>
      </c>
      <c r="ET45">
        <v>9</v>
      </c>
      <c r="EU45">
        <v>30</v>
      </c>
      <c r="EV45">
        <v>9</v>
      </c>
      <c r="EW45">
        <v>3</v>
      </c>
      <c r="EX45">
        <v>0.9</v>
      </c>
      <c r="EY45">
        <v>0</v>
      </c>
      <c r="EZ45">
        <v>3</v>
      </c>
      <c r="FA45">
        <v>3</v>
      </c>
      <c r="FB45">
        <v>8</v>
      </c>
      <c r="FC45" t="s">
        <v>1398</v>
      </c>
      <c r="FD45">
        <v>6.98</v>
      </c>
    </row>
    <row r="46" spans="1:160" ht="24.95" customHeight="1" thickBot="1" x14ac:dyDescent="0.3">
      <c r="A46" s="29" t="str">
        <f t="shared" si="0"/>
        <v>45º</v>
      </c>
      <c r="B46" s="67" t="str">
        <f t="shared" si="118"/>
        <v>Wesley Moraes</v>
      </c>
      <c r="C46" s="83" t="str">
        <f t="shared" si="119"/>
        <v>BRA</v>
      </c>
      <c r="D46" s="9" t="str">
        <f t="shared" si="120"/>
        <v>Peng City</v>
      </c>
      <c r="E46" s="91" t="str">
        <f t="shared" si="121"/>
        <v>Pé Preferido Desconhecido</v>
      </c>
      <c r="F46" s="155">
        <f t="shared" si="122"/>
        <v>1.91</v>
      </c>
      <c r="G46" s="35">
        <f t="shared" si="123"/>
        <v>46752</v>
      </c>
      <c r="H46" s="7">
        <f t="shared" si="124"/>
        <v>30</v>
      </c>
      <c r="I46" s="299" t="str">
        <f t="shared" si="125"/>
        <v>70,5m € - 104m € p/m</v>
      </c>
      <c r="J46" s="3" t="str">
        <f t="shared" si="126"/>
        <v>Desconhecido</v>
      </c>
      <c r="K46" s="89">
        <f t="shared" si="10"/>
        <v>31.398046398046404</v>
      </c>
      <c r="L46" s="133">
        <f t="shared" si="127"/>
        <v>30</v>
      </c>
      <c r="M46" s="134">
        <f t="shared" si="128"/>
        <v>30</v>
      </c>
      <c r="N46" s="134">
        <f t="shared" si="129"/>
        <v>90</v>
      </c>
      <c r="O46" s="173">
        <f t="shared" si="130"/>
        <v>1</v>
      </c>
      <c r="P46" s="402">
        <f t="shared" si="131"/>
        <v>13</v>
      </c>
      <c r="Q46" s="402">
        <f t="shared" si="132"/>
        <v>9</v>
      </c>
      <c r="R46" s="402">
        <f t="shared" si="133"/>
        <v>22</v>
      </c>
      <c r="S46" s="6">
        <f t="shared" si="134"/>
        <v>3</v>
      </c>
      <c r="T46" s="24">
        <f t="shared" si="135"/>
        <v>900</v>
      </c>
      <c r="U46" s="21">
        <f t="shared" si="136"/>
        <v>0.1</v>
      </c>
      <c r="V46" s="298">
        <f t="shared" si="137"/>
        <v>0</v>
      </c>
      <c r="W46" s="300">
        <f t="shared" si="138"/>
        <v>0</v>
      </c>
      <c r="X46" s="298">
        <f t="shared" si="139"/>
        <v>0</v>
      </c>
      <c r="Y46" s="300">
        <f t="shared" si="140"/>
        <v>0</v>
      </c>
      <c r="Z46" s="290">
        <f t="shared" si="141"/>
        <v>0</v>
      </c>
      <c r="AA46" s="298">
        <f t="shared" si="142"/>
        <v>0</v>
      </c>
      <c r="AB46" s="286">
        <f t="shared" si="143"/>
        <v>2</v>
      </c>
      <c r="AC46" s="286">
        <f t="shared" si="144"/>
        <v>2</v>
      </c>
      <c r="AD46" s="286">
        <f t="shared" si="145"/>
        <v>0</v>
      </c>
      <c r="AE46" s="21">
        <f t="shared" si="146"/>
        <v>1</v>
      </c>
      <c r="AF46" s="421">
        <f t="shared" si="147"/>
        <v>13</v>
      </c>
      <c r="AG46" s="421">
        <f t="shared" si="148"/>
        <v>9</v>
      </c>
      <c r="AH46" s="421">
        <f t="shared" si="149"/>
        <v>22</v>
      </c>
      <c r="AI46" s="421">
        <f t="shared" si="150"/>
        <v>11</v>
      </c>
      <c r="AJ46" s="420">
        <f t="shared" si="151"/>
        <v>0</v>
      </c>
      <c r="AK46" s="422">
        <f t="shared" si="152"/>
        <v>0.43333333333333335</v>
      </c>
      <c r="AL46" s="422">
        <f t="shared" si="153"/>
        <v>0.3</v>
      </c>
      <c r="AM46" s="422">
        <f t="shared" si="154"/>
        <v>0.73333333333333328</v>
      </c>
      <c r="AN46" s="5">
        <f t="shared" si="155"/>
        <v>10.51</v>
      </c>
      <c r="AO46" s="5">
        <f t="shared" si="156"/>
        <v>8.93</v>
      </c>
      <c r="AP46" s="5">
        <f t="shared" si="157"/>
        <v>0.29766666666666663</v>
      </c>
      <c r="AQ46" s="5">
        <f t="shared" si="158"/>
        <v>2.87</v>
      </c>
      <c r="AR46" s="5">
        <f t="shared" si="159"/>
        <v>9.5666666666666664E-2</v>
      </c>
      <c r="AS46" s="5">
        <f t="shared" si="160"/>
        <v>11.8</v>
      </c>
      <c r="AT46" s="5">
        <f t="shared" si="161"/>
        <v>0.39333333333333337</v>
      </c>
      <c r="AU46" s="21">
        <f t="shared" si="162"/>
        <v>0.24178601516427969</v>
      </c>
      <c r="AV46" s="21">
        <f t="shared" si="163"/>
        <v>0.55295618885580611</v>
      </c>
      <c r="AW46" s="6">
        <f t="shared" si="164"/>
        <v>0</v>
      </c>
      <c r="AX46" s="6">
        <f t="shared" si="165"/>
        <v>0</v>
      </c>
      <c r="AY46" s="21">
        <f t="shared" si="166"/>
        <v>0</v>
      </c>
      <c r="AZ46" s="304">
        <f t="shared" si="167"/>
        <v>0</v>
      </c>
      <c r="BA46" s="305">
        <f t="shared" si="168"/>
        <v>0</v>
      </c>
      <c r="BB46" s="413">
        <f t="shared" si="169"/>
        <v>0.43049999999999999</v>
      </c>
      <c r="BC46" s="413">
        <f t="shared" si="170"/>
        <v>1.4349999999999998E-2</v>
      </c>
      <c r="BD46" s="6">
        <f t="shared" si="171"/>
        <v>600</v>
      </c>
      <c r="BE46" s="5">
        <f t="shared" si="172"/>
        <v>20</v>
      </c>
      <c r="BF46" s="6">
        <f t="shared" si="173"/>
        <v>370</v>
      </c>
      <c r="BG46" s="5">
        <f t="shared" si="174"/>
        <v>12.333333333333334</v>
      </c>
      <c r="BH46" s="21">
        <f t="shared" si="175"/>
        <v>0.6166666666666667</v>
      </c>
      <c r="BI46" s="417">
        <f t="shared" si="176"/>
        <v>230</v>
      </c>
      <c r="BJ46" s="418">
        <f t="shared" si="177"/>
        <v>7.666666666666667</v>
      </c>
      <c r="BK46" s="195">
        <f t="shared" si="178"/>
        <v>0</v>
      </c>
      <c r="BL46" s="5">
        <f t="shared" si="179"/>
        <v>0</v>
      </c>
      <c r="BM46" s="21">
        <f t="shared" si="180"/>
        <v>0</v>
      </c>
      <c r="BN46" s="195">
        <f t="shared" si="181"/>
        <v>0</v>
      </c>
      <c r="BO46" s="185">
        <f t="shared" si="182"/>
        <v>0</v>
      </c>
      <c r="BP46" s="5">
        <f t="shared" si="183"/>
        <v>0</v>
      </c>
      <c r="BQ46" s="21">
        <f t="shared" si="184"/>
        <v>0</v>
      </c>
      <c r="BR46" s="5">
        <f t="shared" si="185"/>
        <v>-6.13</v>
      </c>
      <c r="BS46" s="5">
        <f t="shared" si="186"/>
        <v>0</v>
      </c>
      <c r="BT46" s="24">
        <f t="shared" si="187"/>
        <v>0</v>
      </c>
      <c r="BU46" s="5">
        <f t="shared" si="188"/>
        <v>57.446808510638299</v>
      </c>
      <c r="BV46" s="5">
        <f t="shared" si="189"/>
        <v>2.4900000000000002</v>
      </c>
      <c r="BW46" s="5">
        <f t="shared" si="190"/>
        <v>0.91000000000000014</v>
      </c>
      <c r="BX46" s="6">
        <f t="shared" si="191"/>
        <v>82</v>
      </c>
      <c r="BY46" s="5">
        <f t="shared" si="192"/>
        <v>2.7333333333333334</v>
      </c>
      <c r="BZ46" s="6">
        <f t="shared" si="193"/>
        <v>35</v>
      </c>
      <c r="CA46" s="5">
        <f t="shared" si="194"/>
        <v>1.1666666666666667</v>
      </c>
      <c r="CB46" s="6">
        <f t="shared" si="195"/>
        <v>49</v>
      </c>
      <c r="CC46" s="5">
        <f t="shared" si="196"/>
        <v>1.6333333333333333</v>
      </c>
      <c r="CD46" s="5">
        <f t="shared" si="197"/>
        <v>1.5666666666666667</v>
      </c>
      <c r="CE46" s="21">
        <f t="shared" si="198"/>
        <v>0.57317073170731703</v>
      </c>
      <c r="CF46" s="5">
        <f t="shared" si="199"/>
        <v>7.4545454545454541</v>
      </c>
      <c r="CG46" s="5">
        <f t="shared" si="200"/>
        <v>3.7692307692307692</v>
      </c>
      <c r="CH46" s="21">
        <f t="shared" si="201"/>
        <v>0.13414634146341464</v>
      </c>
      <c r="CI46" s="298">
        <f t="shared" si="202"/>
        <v>11</v>
      </c>
      <c r="CJ46" s="298">
        <f t="shared" si="203"/>
        <v>0</v>
      </c>
      <c r="CK46" s="298">
        <f t="shared" si="204"/>
        <v>2</v>
      </c>
      <c r="CL46" s="21">
        <f t="shared" si="205"/>
        <v>0</v>
      </c>
      <c r="CM46" s="6">
        <f t="shared" si="206"/>
        <v>0</v>
      </c>
      <c r="CN46" s="5">
        <f t="shared" si="207"/>
        <v>0</v>
      </c>
      <c r="CO46" s="167">
        <f t="shared" si="208"/>
        <v>84</v>
      </c>
      <c r="CP46" s="5">
        <f t="shared" si="209"/>
        <v>2.8</v>
      </c>
      <c r="CQ46" s="6">
        <f t="shared" si="210"/>
        <v>49</v>
      </c>
      <c r="CR46" s="5">
        <f t="shared" si="211"/>
        <v>1.6333333333333333</v>
      </c>
      <c r="CS46" s="21">
        <f t="shared" si="212"/>
        <v>0.58333333333333337</v>
      </c>
      <c r="CT46" s="6">
        <f t="shared" si="213"/>
        <v>60.87</v>
      </c>
      <c r="CU46" s="5">
        <f t="shared" si="214"/>
        <v>2.0289999999999999</v>
      </c>
      <c r="CV46" s="6">
        <f t="shared" si="215"/>
        <v>66.37</v>
      </c>
      <c r="CW46" s="5">
        <f t="shared" si="216"/>
        <v>2.2123333333333335</v>
      </c>
      <c r="CX46" s="385">
        <f t="shared" si="217"/>
        <v>3.3784333333333332</v>
      </c>
      <c r="CY46" s="5">
        <f t="shared" si="218"/>
        <v>22.866666666666667</v>
      </c>
      <c r="CZ46" s="5">
        <f t="shared" si="219"/>
        <v>12.333333333333334</v>
      </c>
      <c r="DA46" s="6">
        <f t="shared" si="220"/>
        <v>0</v>
      </c>
      <c r="DB46" s="5">
        <f t="shared" si="221"/>
        <v>0</v>
      </c>
      <c r="DC46" s="6">
        <f t="shared" si="222"/>
        <v>82</v>
      </c>
      <c r="DD46" s="5">
        <f t="shared" si="223"/>
        <v>2.7333333333333334</v>
      </c>
      <c r="DE46" s="6">
        <f t="shared" si="224"/>
        <v>84</v>
      </c>
      <c r="DF46" s="5">
        <f t="shared" si="225"/>
        <v>2.8</v>
      </c>
      <c r="DG46" s="6">
        <f t="shared" si="226"/>
        <v>265</v>
      </c>
      <c r="DH46" s="5">
        <f t="shared" si="227"/>
        <v>8.8333333333333339</v>
      </c>
      <c r="DI46" s="5">
        <f t="shared" si="228"/>
        <v>0</v>
      </c>
      <c r="DJ46" s="5">
        <f t="shared" si="229"/>
        <v>0</v>
      </c>
      <c r="DK46" s="5">
        <f t="shared" si="230"/>
        <v>0</v>
      </c>
      <c r="DL46" s="286">
        <f t="shared" si="231"/>
        <v>0</v>
      </c>
      <c r="DM46" s="287">
        <f t="shared" si="232"/>
        <v>0</v>
      </c>
      <c r="DN46" s="60">
        <f t="shared" si="233"/>
        <v>7.61</v>
      </c>
      <c r="DO46" t="s">
        <v>19</v>
      </c>
      <c r="DP46" t="s">
        <v>13</v>
      </c>
      <c r="DQ46" t="s">
        <v>1399</v>
      </c>
      <c r="DR46">
        <v>30</v>
      </c>
      <c r="DS46" t="s">
        <v>1400</v>
      </c>
      <c r="DT46" t="s">
        <v>744</v>
      </c>
      <c r="DU46" t="s">
        <v>1201</v>
      </c>
      <c r="DV46" t="s">
        <v>1202</v>
      </c>
      <c r="DW46" t="s">
        <v>1401</v>
      </c>
      <c r="DX46" s="430">
        <v>46752</v>
      </c>
      <c r="DY46">
        <v>2700</v>
      </c>
      <c r="DZ46">
        <v>30</v>
      </c>
      <c r="EA46">
        <v>3</v>
      </c>
      <c r="EB46">
        <v>13</v>
      </c>
      <c r="EC46">
        <v>9</v>
      </c>
      <c r="ED46">
        <v>0</v>
      </c>
      <c r="EE46">
        <v>0</v>
      </c>
      <c r="EF46" t="s">
        <v>1402</v>
      </c>
      <c r="EG46" t="s">
        <v>1189</v>
      </c>
      <c r="EH46">
        <v>43</v>
      </c>
      <c r="EI46">
        <v>40</v>
      </c>
      <c r="EJ46">
        <v>600</v>
      </c>
      <c r="EK46">
        <v>370</v>
      </c>
      <c r="EL46">
        <v>0</v>
      </c>
      <c r="EM46">
        <v>0</v>
      </c>
      <c r="EN46">
        <v>0</v>
      </c>
      <c r="EO46">
        <v>84</v>
      </c>
      <c r="EP46">
        <v>49</v>
      </c>
      <c r="EQ46">
        <v>0</v>
      </c>
      <c r="ER46">
        <v>0</v>
      </c>
      <c r="ES46">
        <v>0</v>
      </c>
      <c r="ET46">
        <v>0</v>
      </c>
      <c r="EU46">
        <v>0</v>
      </c>
      <c r="EV46">
        <v>0</v>
      </c>
      <c r="EW46">
        <v>0</v>
      </c>
      <c r="EX46">
        <v>0</v>
      </c>
      <c r="EY46">
        <v>0</v>
      </c>
      <c r="EZ46">
        <v>2</v>
      </c>
      <c r="FA46">
        <v>2</v>
      </c>
      <c r="FB46">
        <v>0</v>
      </c>
      <c r="FC46" t="s">
        <v>1270</v>
      </c>
      <c r="FD46">
        <v>7.61</v>
      </c>
    </row>
    <row r="47" spans="1:160" ht="24.95" customHeight="1" thickBot="1" x14ac:dyDescent="0.3">
      <c r="A47" s="29" t="str">
        <f t="shared" si="0"/>
        <v>46º</v>
      </c>
      <c r="B47" s="67" t="str">
        <f t="shared" si="118"/>
        <v>Gabriel Santos</v>
      </c>
      <c r="C47" s="83" t="str">
        <f t="shared" si="119"/>
        <v>BRA</v>
      </c>
      <c r="D47" s="9" t="str">
        <f t="shared" si="120"/>
        <v>Seoul E-Land</v>
      </c>
      <c r="E47" s="91" t="str">
        <f t="shared" si="121"/>
        <v>Pé Preferido Desconhecido</v>
      </c>
      <c r="F47" s="155">
        <f t="shared" si="122"/>
        <v>1.85</v>
      </c>
      <c r="G47" s="35">
        <f t="shared" si="123"/>
        <v>47118</v>
      </c>
      <c r="H47" s="7">
        <f t="shared" si="124"/>
        <v>27</v>
      </c>
      <c r="I47" s="299" t="str">
        <f t="shared" si="125"/>
        <v>7,25m € - 12m € p/m</v>
      </c>
      <c r="J47" s="3" t="str">
        <f t="shared" si="126"/>
        <v>Desconhecido</v>
      </c>
      <c r="K47" s="89">
        <f t="shared" si="10"/>
        <v>31.398046398046404</v>
      </c>
      <c r="L47" s="133">
        <f t="shared" si="127"/>
        <v>28.666666666666668</v>
      </c>
      <c r="M47" s="134">
        <f t="shared" si="128"/>
        <v>36</v>
      </c>
      <c r="N47" s="134">
        <f t="shared" si="129"/>
        <v>71.666666666666671</v>
      </c>
      <c r="O47" s="173">
        <f t="shared" si="130"/>
        <v>0.69</v>
      </c>
      <c r="P47" s="402">
        <f t="shared" si="131"/>
        <v>16</v>
      </c>
      <c r="Q47" s="402">
        <f t="shared" si="132"/>
        <v>4</v>
      </c>
      <c r="R47" s="402">
        <f t="shared" si="133"/>
        <v>20</v>
      </c>
      <c r="S47" s="6">
        <f t="shared" si="134"/>
        <v>1</v>
      </c>
      <c r="T47" s="24">
        <f t="shared" si="135"/>
        <v>2580</v>
      </c>
      <c r="U47" s="21">
        <f t="shared" si="136"/>
        <v>3.4883720930232558E-2</v>
      </c>
      <c r="V47" s="298">
        <f t="shared" si="137"/>
        <v>0</v>
      </c>
      <c r="W47" s="300">
        <f t="shared" si="138"/>
        <v>0</v>
      </c>
      <c r="X47" s="298">
        <f t="shared" si="139"/>
        <v>0</v>
      </c>
      <c r="Y47" s="300">
        <f t="shared" si="140"/>
        <v>0</v>
      </c>
      <c r="Z47" s="290">
        <f t="shared" si="141"/>
        <v>0</v>
      </c>
      <c r="AA47" s="298">
        <f t="shared" si="142"/>
        <v>0</v>
      </c>
      <c r="AB47" s="286">
        <f t="shared" si="143"/>
        <v>2</v>
      </c>
      <c r="AC47" s="286">
        <f t="shared" si="144"/>
        <v>1</v>
      </c>
      <c r="AD47" s="286">
        <f t="shared" si="145"/>
        <v>1</v>
      </c>
      <c r="AE47" s="21">
        <f t="shared" si="146"/>
        <v>0.5</v>
      </c>
      <c r="AF47" s="421">
        <f t="shared" si="147"/>
        <v>16</v>
      </c>
      <c r="AG47" s="421">
        <f t="shared" si="148"/>
        <v>4</v>
      </c>
      <c r="AH47" s="421">
        <f t="shared" si="149"/>
        <v>20</v>
      </c>
      <c r="AI47" s="421">
        <f t="shared" si="150"/>
        <v>15</v>
      </c>
      <c r="AJ47" s="420">
        <f t="shared" si="151"/>
        <v>0</v>
      </c>
      <c r="AK47" s="422">
        <f t="shared" si="152"/>
        <v>0.55813953488372092</v>
      </c>
      <c r="AL47" s="422">
        <f t="shared" si="153"/>
        <v>0.13953488372093023</v>
      </c>
      <c r="AM47" s="422">
        <f t="shared" si="154"/>
        <v>0.69767441860465118</v>
      </c>
      <c r="AN47" s="5">
        <f t="shared" si="155"/>
        <v>8.68</v>
      </c>
      <c r="AO47" s="5">
        <f t="shared" si="156"/>
        <v>7.1</v>
      </c>
      <c r="AP47" s="5">
        <f t="shared" si="157"/>
        <v>0.24767441860465114</v>
      </c>
      <c r="AQ47" s="5">
        <f t="shared" si="158"/>
        <v>2.81</v>
      </c>
      <c r="AR47" s="5">
        <f t="shared" si="159"/>
        <v>9.8023255813953492E-2</v>
      </c>
      <c r="AS47" s="5">
        <f t="shared" si="160"/>
        <v>9.91</v>
      </c>
      <c r="AT47" s="5">
        <f t="shared" si="161"/>
        <v>0.34569767441860466</v>
      </c>
      <c r="AU47" s="21">
        <f t="shared" si="162"/>
        <v>0.41262848751835535</v>
      </c>
      <c r="AV47" s="21">
        <f t="shared" si="163"/>
        <v>0.64829821717990277</v>
      </c>
      <c r="AW47" s="6">
        <f t="shared" si="164"/>
        <v>15</v>
      </c>
      <c r="AX47" s="6">
        <f t="shared" si="165"/>
        <v>1</v>
      </c>
      <c r="AY47" s="21">
        <f t="shared" si="166"/>
        <v>6.6666666666666666E-2</v>
      </c>
      <c r="AZ47" s="304">
        <f t="shared" si="167"/>
        <v>15</v>
      </c>
      <c r="BA47" s="305">
        <f t="shared" si="168"/>
        <v>0.5232558139534883</v>
      </c>
      <c r="BB47" s="413">
        <f t="shared" si="169"/>
        <v>5.3165000000000004</v>
      </c>
      <c r="BC47" s="413">
        <f t="shared" si="170"/>
        <v>0.18545930232558136</v>
      </c>
      <c r="BD47" s="6">
        <f t="shared" si="171"/>
        <v>690</v>
      </c>
      <c r="BE47" s="5">
        <f t="shared" si="172"/>
        <v>24.069767441860463</v>
      </c>
      <c r="BF47" s="6">
        <f t="shared" si="173"/>
        <v>456</v>
      </c>
      <c r="BG47" s="5">
        <f t="shared" si="174"/>
        <v>15.906976744186046</v>
      </c>
      <c r="BH47" s="21">
        <f t="shared" si="175"/>
        <v>0.66086956521739126</v>
      </c>
      <c r="BI47" s="417">
        <f t="shared" si="176"/>
        <v>234</v>
      </c>
      <c r="BJ47" s="418">
        <f t="shared" si="177"/>
        <v>8.1627906976744189</v>
      </c>
      <c r="BK47" s="195">
        <f t="shared" si="178"/>
        <v>19</v>
      </c>
      <c r="BL47" s="5">
        <f t="shared" si="179"/>
        <v>0.66279069767441856</v>
      </c>
      <c r="BM47" s="21">
        <f t="shared" si="180"/>
        <v>2.753623188405797E-2</v>
      </c>
      <c r="BN47" s="195">
        <f t="shared" si="181"/>
        <v>10</v>
      </c>
      <c r="BO47" s="185">
        <f t="shared" si="182"/>
        <v>0.34883720930232559</v>
      </c>
      <c r="BP47" s="5">
        <f t="shared" si="183"/>
        <v>2.5</v>
      </c>
      <c r="BQ47" s="21">
        <f t="shared" si="184"/>
        <v>0.4</v>
      </c>
      <c r="BR47" s="5">
        <f t="shared" si="185"/>
        <v>-1.19</v>
      </c>
      <c r="BS47" s="5">
        <f t="shared" si="186"/>
        <v>0.28100000000000003</v>
      </c>
      <c r="BT47" s="24">
        <f t="shared" si="187"/>
        <v>258</v>
      </c>
      <c r="BU47" s="5">
        <f t="shared" si="188"/>
        <v>61.428571428571431</v>
      </c>
      <c r="BV47" s="5">
        <f t="shared" si="189"/>
        <v>7.32</v>
      </c>
      <c r="BW47" s="5">
        <f t="shared" si="190"/>
        <v>6.53</v>
      </c>
      <c r="BX47" s="6">
        <f t="shared" si="191"/>
        <v>61</v>
      </c>
      <c r="BY47" s="5">
        <f t="shared" si="192"/>
        <v>2.1279069767441858</v>
      </c>
      <c r="BZ47" s="6">
        <f t="shared" si="193"/>
        <v>29</v>
      </c>
      <c r="CA47" s="5">
        <f t="shared" si="194"/>
        <v>1.0116279069767442</v>
      </c>
      <c r="CB47" s="6">
        <f t="shared" si="195"/>
        <v>34</v>
      </c>
      <c r="CC47" s="5">
        <f t="shared" si="196"/>
        <v>1.1860465116279069</v>
      </c>
      <c r="CD47" s="5">
        <f t="shared" si="197"/>
        <v>1.1511627906976745</v>
      </c>
      <c r="CE47" s="21">
        <f t="shared" si="198"/>
        <v>0.54098360655737709</v>
      </c>
      <c r="CF47" s="5">
        <f t="shared" si="199"/>
        <v>4.0666666666666664</v>
      </c>
      <c r="CG47" s="5">
        <f t="shared" si="200"/>
        <v>2.125</v>
      </c>
      <c r="CH47" s="21">
        <f t="shared" si="201"/>
        <v>0.24590163934426229</v>
      </c>
      <c r="CI47" s="298">
        <f t="shared" si="202"/>
        <v>14</v>
      </c>
      <c r="CJ47" s="298">
        <f t="shared" si="203"/>
        <v>0</v>
      </c>
      <c r="CK47" s="298">
        <f t="shared" si="204"/>
        <v>2</v>
      </c>
      <c r="CL47" s="21">
        <f t="shared" si="205"/>
        <v>0</v>
      </c>
      <c r="CM47" s="6">
        <f t="shared" si="206"/>
        <v>3.9</v>
      </c>
      <c r="CN47" s="5">
        <f t="shared" si="207"/>
        <v>0.13604651162790696</v>
      </c>
      <c r="CO47" s="167">
        <f t="shared" si="208"/>
        <v>103</v>
      </c>
      <c r="CP47" s="5">
        <f t="shared" si="209"/>
        <v>3.5930232558139532</v>
      </c>
      <c r="CQ47" s="6">
        <f t="shared" si="210"/>
        <v>60</v>
      </c>
      <c r="CR47" s="5">
        <f t="shared" si="211"/>
        <v>2.0930232558139532</v>
      </c>
      <c r="CS47" s="21">
        <f t="shared" si="212"/>
        <v>0.58252427184466016</v>
      </c>
      <c r="CT47" s="6">
        <f t="shared" si="213"/>
        <v>55.81</v>
      </c>
      <c r="CU47" s="5">
        <f t="shared" si="214"/>
        <v>1.9468604651162791</v>
      </c>
      <c r="CV47" s="6">
        <f t="shared" si="215"/>
        <v>60.81</v>
      </c>
      <c r="CW47" s="5">
        <f t="shared" si="216"/>
        <v>2.121279069767442</v>
      </c>
      <c r="CX47" s="385">
        <f t="shared" si="217"/>
        <v>5.4498488372093021</v>
      </c>
      <c r="CY47" s="5">
        <f t="shared" si="218"/>
        <v>28.151162790697672</v>
      </c>
      <c r="CZ47" s="5">
        <f t="shared" si="219"/>
        <v>16.918604651162791</v>
      </c>
      <c r="DA47" s="6">
        <f t="shared" si="220"/>
        <v>29</v>
      </c>
      <c r="DB47" s="5">
        <f t="shared" si="221"/>
        <v>1.0116279069767442</v>
      </c>
      <c r="DC47" s="6">
        <f t="shared" si="222"/>
        <v>120</v>
      </c>
      <c r="DD47" s="5">
        <f t="shared" si="223"/>
        <v>4.1860465116279064</v>
      </c>
      <c r="DE47" s="6">
        <f t="shared" si="224"/>
        <v>73</v>
      </c>
      <c r="DF47" s="5">
        <f t="shared" si="225"/>
        <v>2.5465116279069768</v>
      </c>
      <c r="DG47" s="6">
        <f t="shared" si="226"/>
        <v>277</v>
      </c>
      <c r="DH47" s="5">
        <f t="shared" si="227"/>
        <v>9.6627906976744189</v>
      </c>
      <c r="DI47" s="5">
        <f t="shared" si="228"/>
        <v>3.9</v>
      </c>
      <c r="DJ47" s="5">
        <f t="shared" si="229"/>
        <v>62.1</v>
      </c>
      <c r="DK47" s="5">
        <f t="shared" si="230"/>
        <v>2.1662790697674419</v>
      </c>
      <c r="DL47" s="286">
        <f t="shared" si="231"/>
        <v>60.2</v>
      </c>
      <c r="DM47" s="287">
        <f t="shared" si="232"/>
        <v>2.1</v>
      </c>
      <c r="DN47" s="60">
        <f t="shared" si="233"/>
        <v>7.06</v>
      </c>
      <c r="DO47" t="s">
        <v>19</v>
      </c>
      <c r="DP47" t="s">
        <v>13</v>
      </c>
      <c r="DQ47" t="s">
        <v>1403</v>
      </c>
      <c r="DR47">
        <v>27</v>
      </c>
      <c r="DS47" t="s">
        <v>1404</v>
      </c>
      <c r="DT47" t="s">
        <v>751</v>
      </c>
      <c r="DU47" t="s">
        <v>1201</v>
      </c>
      <c r="DV47" t="s">
        <v>1202</v>
      </c>
      <c r="DW47" t="s">
        <v>1405</v>
      </c>
      <c r="DX47" s="430">
        <v>47118</v>
      </c>
      <c r="DY47">
        <v>2580</v>
      </c>
      <c r="DZ47" t="s">
        <v>1406</v>
      </c>
      <c r="EA47">
        <v>1</v>
      </c>
      <c r="EB47">
        <v>16</v>
      </c>
      <c r="EC47">
        <v>4</v>
      </c>
      <c r="ED47">
        <v>0</v>
      </c>
      <c r="EE47">
        <v>3.9</v>
      </c>
      <c r="EF47" t="s">
        <v>1407</v>
      </c>
      <c r="EG47" t="s">
        <v>1408</v>
      </c>
      <c r="EH47">
        <v>45</v>
      </c>
      <c r="EI47">
        <v>28</v>
      </c>
      <c r="EJ47">
        <v>690</v>
      </c>
      <c r="EK47">
        <v>456</v>
      </c>
      <c r="EL47">
        <v>10</v>
      </c>
      <c r="EM47">
        <v>19</v>
      </c>
      <c r="EN47">
        <v>15</v>
      </c>
      <c r="EO47">
        <v>63</v>
      </c>
      <c r="EP47">
        <v>34</v>
      </c>
      <c r="EQ47">
        <v>48</v>
      </c>
      <c r="ER47">
        <v>7</v>
      </c>
      <c r="ES47">
        <v>15</v>
      </c>
      <c r="ET47">
        <v>1</v>
      </c>
      <c r="EU47">
        <v>15</v>
      </c>
      <c r="EV47">
        <v>1</v>
      </c>
      <c r="EW47">
        <v>0</v>
      </c>
      <c r="EX47">
        <v>0</v>
      </c>
      <c r="EY47">
        <v>0</v>
      </c>
      <c r="EZ47">
        <v>2</v>
      </c>
      <c r="FA47">
        <v>1</v>
      </c>
      <c r="FB47">
        <v>2.1</v>
      </c>
      <c r="FC47" t="s">
        <v>1409</v>
      </c>
      <c r="FD47">
        <v>7.06</v>
      </c>
    </row>
    <row r="48" spans="1:160" ht="24.95" customHeight="1" thickBot="1" x14ac:dyDescent="0.3">
      <c r="A48" s="29" t="str">
        <f t="shared" si="0"/>
        <v>47º</v>
      </c>
      <c r="B48" s="67" t="str">
        <f t="shared" si="118"/>
        <v>Mathias Pinto</v>
      </c>
      <c r="C48" s="83" t="str">
        <f t="shared" si="119"/>
        <v>CHI</v>
      </c>
      <c r="D48" s="9" t="str">
        <f t="shared" si="120"/>
        <v>Santa Cruz</v>
      </c>
      <c r="E48" s="91" t="str">
        <f t="shared" si="121"/>
        <v>Pé Preferido Desconhecido</v>
      </c>
      <c r="F48" s="155">
        <f t="shared" si="122"/>
        <v>1.66</v>
      </c>
      <c r="G48" s="35">
        <f t="shared" si="123"/>
        <v>46752</v>
      </c>
      <c r="H48" s="7">
        <f t="shared" si="124"/>
        <v>28</v>
      </c>
      <c r="I48" s="299" t="str">
        <f t="shared" si="125"/>
        <v>725 € - 1,2m € p/m</v>
      </c>
      <c r="J48" s="3" t="str">
        <f t="shared" si="126"/>
        <v>Desconhecido</v>
      </c>
      <c r="K48" s="89">
        <f t="shared" si="10"/>
        <v>31.398046398046404</v>
      </c>
      <c r="L48" s="133">
        <f t="shared" si="127"/>
        <v>24.955555555555556</v>
      </c>
      <c r="M48" s="134">
        <f t="shared" si="128"/>
        <v>34</v>
      </c>
      <c r="N48" s="134">
        <f t="shared" si="129"/>
        <v>66.058823529411768</v>
      </c>
      <c r="O48" s="173">
        <f t="shared" si="130"/>
        <v>0.74</v>
      </c>
      <c r="P48" s="402">
        <f t="shared" si="131"/>
        <v>13</v>
      </c>
      <c r="Q48" s="402">
        <f t="shared" si="132"/>
        <v>1</v>
      </c>
      <c r="R48" s="402">
        <f t="shared" si="133"/>
        <v>14</v>
      </c>
      <c r="S48" s="6">
        <f t="shared" si="134"/>
        <v>3</v>
      </c>
      <c r="T48" s="24">
        <f t="shared" si="135"/>
        <v>748.66666666666663</v>
      </c>
      <c r="U48" s="21">
        <f t="shared" si="136"/>
        <v>0.12021371326803205</v>
      </c>
      <c r="V48" s="298">
        <f t="shared" si="137"/>
        <v>0</v>
      </c>
      <c r="W48" s="300">
        <f t="shared" si="138"/>
        <v>0</v>
      </c>
      <c r="X48" s="298">
        <f t="shared" si="139"/>
        <v>0</v>
      </c>
      <c r="Y48" s="300">
        <f t="shared" si="140"/>
        <v>0</v>
      </c>
      <c r="Z48" s="290">
        <f t="shared" si="141"/>
        <v>0</v>
      </c>
      <c r="AA48" s="298">
        <f t="shared" si="142"/>
        <v>0</v>
      </c>
      <c r="AB48" s="286">
        <f t="shared" si="143"/>
        <v>2</v>
      </c>
      <c r="AC48" s="286">
        <f t="shared" si="144"/>
        <v>2</v>
      </c>
      <c r="AD48" s="286">
        <f t="shared" si="145"/>
        <v>0</v>
      </c>
      <c r="AE48" s="21">
        <f t="shared" si="146"/>
        <v>1</v>
      </c>
      <c r="AF48" s="421">
        <f t="shared" si="147"/>
        <v>13</v>
      </c>
      <c r="AG48" s="421">
        <f t="shared" si="148"/>
        <v>1</v>
      </c>
      <c r="AH48" s="421">
        <f t="shared" si="149"/>
        <v>14</v>
      </c>
      <c r="AI48" s="421">
        <f t="shared" si="150"/>
        <v>11</v>
      </c>
      <c r="AJ48" s="420">
        <f t="shared" si="151"/>
        <v>0</v>
      </c>
      <c r="AK48" s="422">
        <f t="shared" si="152"/>
        <v>0.5209260908281389</v>
      </c>
      <c r="AL48" s="422">
        <f t="shared" si="153"/>
        <v>4.0071237756010687E-2</v>
      </c>
      <c r="AM48" s="422">
        <f t="shared" si="154"/>
        <v>0.56099732858414963</v>
      </c>
      <c r="AN48" s="5">
        <f t="shared" si="155"/>
        <v>5.43</v>
      </c>
      <c r="AO48" s="5">
        <f t="shared" si="156"/>
        <v>3.8499999999999996</v>
      </c>
      <c r="AP48" s="5">
        <f t="shared" si="157"/>
        <v>0.15427426536064112</v>
      </c>
      <c r="AQ48" s="5">
        <f t="shared" si="158"/>
        <v>3.9</v>
      </c>
      <c r="AR48" s="5">
        <f t="shared" si="159"/>
        <v>0.15627782724844166</v>
      </c>
      <c r="AS48" s="5">
        <f t="shared" si="160"/>
        <v>7.75</v>
      </c>
      <c r="AT48" s="5">
        <f t="shared" si="161"/>
        <v>0.31055209260908279</v>
      </c>
      <c r="AU48" s="21">
        <f t="shared" si="162"/>
        <v>0.79591836734693866</v>
      </c>
      <c r="AV48" s="21">
        <f t="shared" si="163"/>
        <v>0.70537167661421596</v>
      </c>
      <c r="AW48" s="6">
        <f t="shared" si="164"/>
        <v>9</v>
      </c>
      <c r="AX48" s="6">
        <f t="shared" si="165"/>
        <v>0</v>
      </c>
      <c r="AY48" s="21">
        <f t="shared" si="166"/>
        <v>0</v>
      </c>
      <c r="AZ48" s="304">
        <f t="shared" si="167"/>
        <v>24</v>
      </c>
      <c r="BA48" s="305">
        <f t="shared" si="168"/>
        <v>0.96170970614425644</v>
      </c>
      <c r="BB48" s="413">
        <f t="shared" si="169"/>
        <v>13.555000000000001</v>
      </c>
      <c r="BC48" s="413">
        <f t="shared" si="170"/>
        <v>0.54316562778272492</v>
      </c>
      <c r="BD48" s="6">
        <f t="shared" si="171"/>
        <v>712</v>
      </c>
      <c r="BE48" s="5">
        <f t="shared" si="172"/>
        <v>28.530721282279607</v>
      </c>
      <c r="BF48" s="6">
        <f t="shared" si="173"/>
        <v>638</v>
      </c>
      <c r="BG48" s="5">
        <f t="shared" si="174"/>
        <v>25.565449688334816</v>
      </c>
      <c r="BH48" s="21">
        <f t="shared" si="175"/>
        <v>0.8960674157303371</v>
      </c>
      <c r="BI48" s="417">
        <f t="shared" si="176"/>
        <v>74</v>
      </c>
      <c r="BJ48" s="418">
        <f t="shared" si="177"/>
        <v>2.9652715939447907</v>
      </c>
      <c r="BK48" s="195">
        <f t="shared" si="178"/>
        <v>17</v>
      </c>
      <c r="BL48" s="5">
        <f t="shared" si="179"/>
        <v>0.68121104185218162</v>
      </c>
      <c r="BM48" s="21">
        <f t="shared" si="180"/>
        <v>2.3876404494382022E-2</v>
      </c>
      <c r="BN48" s="195">
        <f t="shared" si="181"/>
        <v>22</v>
      </c>
      <c r="BO48" s="185">
        <f t="shared" si="182"/>
        <v>0.88156723063223508</v>
      </c>
      <c r="BP48" s="5">
        <f t="shared" si="183"/>
        <v>22</v>
      </c>
      <c r="BQ48" s="21">
        <f t="shared" si="184"/>
        <v>4.5454545454545456E-2</v>
      </c>
      <c r="BR48" s="5">
        <f t="shared" si="185"/>
        <v>2.9</v>
      </c>
      <c r="BS48" s="5">
        <f t="shared" si="186"/>
        <v>0.17727272727272728</v>
      </c>
      <c r="BT48" s="24">
        <f t="shared" si="187"/>
        <v>102.09090909090909</v>
      </c>
      <c r="BU48" s="5">
        <f t="shared" si="188"/>
        <v>36.819672131147541</v>
      </c>
      <c r="BV48" s="5">
        <f t="shared" si="189"/>
        <v>7.57</v>
      </c>
      <c r="BW48" s="5">
        <f t="shared" si="190"/>
        <v>5.99</v>
      </c>
      <c r="BX48" s="6">
        <f t="shared" si="191"/>
        <v>57</v>
      </c>
      <c r="BY48" s="5">
        <f t="shared" si="192"/>
        <v>2.2840605520926092</v>
      </c>
      <c r="BZ48" s="6">
        <f t="shared" si="193"/>
        <v>28</v>
      </c>
      <c r="CA48" s="5">
        <f t="shared" si="194"/>
        <v>1.1219946571682993</v>
      </c>
      <c r="CB48" s="6">
        <f t="shared" si="195"/>
        <v>31</v>
      </c>
      <c r="CC48" s="5">
        <f t="shared" si="196"/>
        <v>1.2422083704363311</v>
      </c>
      <c r="CD48" s="5">
        <f t="shared" si="197"/>
        <v>1.1620658949243099</v>
      </c>
      <c r="CE48" s="21">
        <f t="shared" si="198"/>
        <v>0.50877192982456143</v>
      </c>
      <c r="CF48" s="5">
        <f t="shared" si="199"/>
        <v>5.1818181818181817</v>
      </c>
      <c r="CG48" s="5">
        <f t="shared" si="200"/>
        <v>2.3846153846153846</v>
      </c>
      <c r="CH48" s="21">
        <f t="shared" si="201"/>
        <v>0.19298245614035087</v>
      </c>
      <c r="CI48" s="298">
        <f t="shared" si="202"/>
        <v>11</v>
      </c>
      <c r="CJ48" s="298">
        <f t="shared" si="203"/>
        <v>0</v>
      </c>
      <c r="CK48" s="298">
        <f t="shared" si="204"/>
        <v>2</v>
      </c>
      <c r="CL48" s="21">
        <f t="shared" si="205"/>
        <v>0</v>
      </c>
      <c r="CM48" s="6">
        <f t="shared" si="206"/>
        <v>14.4</v>
      </c>
      <c r="CN48" s="5">
        <f t="shared" si="207"/>
        <v>0.57702582368655386</v>
      </c>
      <c r="CO48" s="167">
        <f t="shared" si="208"/>
        <v>114</v>
      </c>
      <c r="CP48" s="5">
        <f t="shared" si="209"/>
        <v>4.5681211041852183</v>
      </c>
      <c r="CQ48" s="6">
        <f t="shared" si="210"/>
        <v>77</v>
      </c>
      <c r="CR48" s="5">
        <f t="shared" si="211"/>
        <v>3.085485307212823</v>
      </c>
      <c r="CS48" s="21">
        <f t="shared" si="212"/>
        <v>0.67543859649122806</v>
      </c>
      <c r="CT48" s="6">
        <f t="shared" si="213"/>
        <v>71.900000000000006</v>
      </c>
      <c r="CU48" s="5">
        <f t="shared" si="214"/>
        <v>2.8811219946571685</v>
      </c>
      <c r="CV48" s="6">
        <f t="shared" si="215"/>
        <v>75.400000000000006</v>
      </c>
      <c r="CW48" s="5">
        <f t="shared" si="216"/>
        <v>3.0213713268032061</v>
      </c>
      <c r="CX48" s="385">
        <f t="shared" si="217"/>
        <v>8.3782546749777396</v>
      </c>
      <c r="CY48" s="5">
        <f t="shared" si="218"/>
        <v>34.300979519145145</v>
      </c>
      <c r="CZ48" s="5">
        <f t="shared" si="219"/>
        <v>27.528940338379339</v>
      </c>
      <c r="DA48" s="6">
        <f t="shared" si="220"/>
        <v>39</v>
      </c>
      <c r="DB48" s="5">
        <f t="shared" si="221"/>
        <v>1.5627782724844168</v>
      </c>
      <c r="DC48" s="6">
        <f t="shared" si="222"/>
        <v>139</v>
      </c>
      <c r="DD48" s="5">
        <f t="shared" si="223"/>
        <v>5.5699020480854848</v>
      </c>
      <c r="DE48" s="6">
        <f t="shared" si="224"/>
        <v>91</v>
      </c>
      <c r="DF48" s="5">
        <f t="shared" si="225"/>
        <v>3.6464826357969722</v>
      </c>
      <c r="DG48" s="6">
        <f t="shared" si="226"/>
        <v>111</v>
      </c>
      <c r="DH48" s="5">
        <f t="shared" si="227"/>
        <v>4.4479073909171865</v>
      </c>
      <c r="DI48" s="5">
        <f t="shared" si="228"/>
        <v>14.4</v>
      </c>
      <c r="DJ48" s="5">
        <f t="shared" si="229"/>
        <v>255.5</v>
      </c>
      <c r="DK48" s="5">
        <f t="shared" si="230"/>
        <v>10.238201246660729</v>
      </c>
      <c r="DL48" s="286">
        <f t="shared" si="231"/>
        <v>147.23777777777778</v>
      </c>
      <c r="DM48" s="287">
        <f t="shared" si="232"/>
        <v>5.9</v>
      </c>
      <c r="DN48" s="60">
        <f t="shared" si="233"/>
        <v>6.82</v>
      </c>
      <c r="DO48"/>
      <c r="DP48" t="s">
        <v>1160</v>
      </c>
      <c r="DQ48" t="s">
        <v>1410</v>
      </c>
      <c r="DR48">
        <v>28</v>
      </c>
      <c r="DS48" t="s">
        <v>1411</v>
      </c>
      <c r="DT48" t="s">
        <v>1153</v>
      </c>
      <c r="DU48" t="s">
        <v>1201</v>
      </c>
      <c r="DV48" t="s">
        <v>1202</v>
      </c>
      <c r="DW48" t="s">
        <v>1412</v>
      </c>
      <c r="DX48" s="430">
        <v>46752</v>
      </c>
      <c r="DY48">
        <v>2246</v>
      </c>
      <c r="DZ48" t="s">
        <v>1413</v>
      </c>
      <c r="EA48">
        <v>3</v>
      </c>
      <c r="EB48">
        <v>13</v>
      </c>
      <c r="EC48">
        <v>1</v>
      </c>
      <c r="ED48">
        <v>10</v>
      </c>
      <c r="EE48">
        <v>14.4</v>
      </c>
      <c r="EF48" t="s">
        <v>1414</v>
      </c>
      <c r="EG48" t="s">
        <v>1415</v>
      </c>
      <c r="EH48">
        <v>19</v>
      </c>
      <c r="EI48">
        <v>43</v>
      </c>
      <c r="EJ48">
        <v>712</v>
      </c>
      <c r="EK48">
        <v>638</v>
      </c>
      <c r="EL48">
        <v>22</v>
      </c>
      <c r="EM48">
        <v>17</v>
      </c>
      <c r="EN48">
        <v>24</v>
      </c>
      <c r="EO48">
        <v>59</v>
      </c>
      <c r="EP48">
        <v>31</v>
      </c>
      <c r="EQ48">
        <v>53</v>
      </c>
      <c r="ER48">
        <v>10</v>
      </c>
      <c r="ES48">
        <v>9</v>
      </c>
      <c r="ET48">
        <v>0</v>
      </c>
      <c r="EU48">
        <v>9</v>
      </c>
      <c r="EV48">
        <v>0</v>
      </c>
      <c r="EW48">
        <v>0</v>
      </c>
      <c r="EX48">
        <v>0.6</v>
      </c>
      <c r="EY48">
        <v>0</v>
      </c>
      <c r="EZ48">
        <v>2</v>
      </c>
      <c r="FA48">
        <v>2</v>
      </c>
      <c r="FB48">
        <v>5.9</v>
      </c>
      <c r="FC48" t="s">
        <v>1416</v>
      </c>
      <c r="FD48">
        <v>6.82</v>
      </c>
    </row>
    <row r="49" spans="1:160" ht="24.95" customHeight="1" thickBot="1" x14ac:dyDescent="0.3">
      <c r="A49" s="29" t="str">
        <f t="shared" si="0"/>
        <v>48º</v>
      </c>
      <c r="B49" s="67" t="str">
        <f t="shared" si="118"/>
        <v>Gonzalo Álvarez</v>
      </c>
      <c r="C49" s="83" t="str">
        <f t="shared" si="119"/>
        <v>CHI</v>
      </c>
      <c r="D49" s="9" t="str">
        <f t="shared" si="120"/>
        <v>Dep. Recoleta</v>
      </c>
      <c r="E49" s="91" t="str">
        <f t="shared" si="121"/>
        <v>Pé Preferido Desconhecido</v>
      </c>
      <c r="F49" s="155">
        <f t="shared" si="122"/>
        <v>1.72</v>
      </c>
      <c r="G49" s="35">
        <f t="shared" si="123"/>
        <v>47118</v>
      </c>
      <c r="H49" s="7">
        <f t="shared" si="124"/>
        <v>29</v>
      </c>
      <c r="I49" s="299" t="str">
        <f t="shared" si="125"/>
        <v>1,2m € - 1,7m € p/m</v>
      </c>
      <c r="J49" s="3" t="str">
        <f t="shared" si="126"/>
        <v>Desconhecido</v>
      </c>
      <c r="K49" s="89">
        <f t="shared" si="10"/>
        <v>31.398046398046404</v>
      </c>
      <c r="L49" s="133">
        <f t="shared" si="127"/>
        <v>25.944444444444443</v>
      </c>
      <c r="M49" s="134">
        <f t="shared" si="128"/>
        <v>33</v>
      </c>
      <c r="N49" s="134">
        <f t="shared" si="129"/>
        <v>70.757575757575751</v>
      </c>
      <c r="O49" s="173">
        <f t="shared" si="130"/>
        <v>0.85</v>
      </c>
      <c r="P49" s="402">
        <f t="shared" si="131"/>
        <v>6</v>
      </c>
      <c r="Q49" s="402">
        <f t="shared" si="132"/>
        <v>2</v>
      </c>
      <c r="R49" s="402">
        <f t="shared" si="133"/>
        <v>8</v>
      </c>
      <c r="S49" s="6">
        <f t="shared" si="134"/>
        <v>1</v>
      </c>
      <c r="T49" s="24">
        <f t="shared" si="135"/>
        <v>2335</v>
      </c>
      <c r="U49" s="21">
        <f t="shared" si="136"/>
        <v>3.8543897216274089E-2</v>
      </c>
      <c r="V49" s="298">
        <f t="shared" si="137"/>
        <v>6</v>
      </c>
      <c r="W49" s="300">
        <f t="shared" si="138"/>
        <v>0.23126338329764456</v>
      </c>
      <c r="X49" s="298">
        <f t="shared" si="139"/>
        <v>1</v>
      </c>
      <c r="Y49" s="300">
        <f t="shared" si="140"/>
        <v>3.8543897216274089E-2</v>
      </c>
      <c r="Z49" s="290">
        <f t="shared" si="141"/>
        <v>0.16666666666666666</v>
      </c>
      <c r="AA49" s="298">
        <f t="shared" si="142"/>
        <v>0</v>
      </c>
      <c r="AB49" s="286">
        <f t="shared" si="143"/>
        <v>1</v>
      </c>
      <c r="AC49" s="286">
        <f t="shared" si="144"/>
        <v>1</v>
      </c>
      <c r="AD49" s="286">
        <f t="shared" si="145"/>
        <v>0</v>
      </c>
      <c r="AE49" s="21">
        <f t="shared" si="146"/>
        <v>1</v>
      </c>
      <c r="AF49" s="421">
        <f t="shared" si="147"/>
        <v>6</v>
      </c>
      <c r="AG49" s="421">
        <f t="shared" si="148"/>
        <v>2</v>
      </c>
      <c r="AH49" s="421">
        <f t="shared" si="149"/>
        <v>8</v>
      </c>
      <c r="AI49" s="421">
        <f t="shared" si="150"/>
        <v>5</v>
      </c>
      <c r="AJ49" s="420">
        <f t="shared" si="151"/>
        <v>1</v>
      </c>
      <c r="AK49" s="422">
        <f t="shared" si="152"/>
        <v>0.23126338329764456</v>
      </c>
      <c r="AL49" s="422">
        <f t="shared" si="153"/>
        <v>7.7087794432548179E-2</v>
      </c>
      <c r="AM49" s="422">
        <f t="shared" si="154"/>
        <v>0.30835117773019272</v>
      </c>
      <c r="AN49" s="5">
        <f t="shared" si="155"/>
        <v>4.45</v>
      </c>
      <c r="AO49" s="5">
        <f t="shared" si="156"/>
        <v>3.66</v>
      </c>
      <c r="AP49" s="5">
        <f t="shared" si="157"/>
        <v>0.14107066381156319</v>
      </c>
      <c r="AQ49" s="5">
        <f t="shared" si="158"/>
        <v>1.86</v>
      </c>
      <c r="AR49" s="5">
        <f t="shared" si="159"/>
        <v>7.1691648822269818E-2</v>
      </c>
      <c r="AS49" s="5">
        <f t="shared" si="160"/>
        <v>5.5200000000000005</v>
      </c>
      <c r="AT49" s="5">
        <f t="shared" si="161"/>
        <v>0.212762312633833</v>
      </c>
      <c r="AU49" s="21">
        <f t="shared" si="162"/>
        <v>0.48186528497409326</v>
      </c>
      <c r="AV49" s="21">
        <f t="shared" si="163"/>
        <v>0.57416267942583732</v>
      </c>
      <c r="AW49" s="6">
        <f t="shared" si="164"/>
        <v>52</v>
      </c>
      <c r="AX49" s="6">
        <f t="shared" si="165"/>
        <v>10</v>
      </c>
      <c r="AY49" s="21">
        <f t="shared" si="166"/>
        <v>0.19230769230769232</v>
      </c>
      <c r="AZ49" s="304">
        <f t="shared" si="167"/>
        <v>68</v>
      </c>
      <c r="BA49" s="305">
        <f t="shared" si="168"/>
        <v>2.6209850107066384</v>
      </c>
      <c r="BB49" s="413">
        <f t="shared" si="169"/>
        <v>22.183999999999997</v>
      </c>
      <c r="BC49" s="413">
        <f t="shared" si="170"/>
        <v>0.85505781584582452</v>
      </c>
      <c r="BD49" s="6">
        <f t="shared" si="171"/>
        <v>1013</v>
      </c>
      <c r="BE49" s="5">
        <f t="shared" si="172"/>
        <v>39.044967880085657</v>
      </c>
      <c r="BF49" s="6">
        <f t="shared" si="173"/>
        <v>852</v>
      </c>
      <c r="BG49" s="5">
        <f t="shared" si="174"/>
        <v>32.839400428265527</v>
      </c>
      <c r="BH49" s="21">
        <f t="shared" si="175"/>
        <v>0.84106614017768999</v>
      </c>
      <c r="BI49" s="417">
        <f t="shared" si="176"/>
        <v>161</v>
      </c>
      <c r="BJ49" s="418">
        <f t="shared" si="177"/>
        <v>6.2055674518201291</v>
      </c>
      <c r="BK49" s="195">
        <f t="shared" si="178"/>
        <v>55</v>
      </c>
      <c r="BL49" s="5">
        <f t="shared" si="179"/>
        <v>2.119914346895075</v>
      </c>
      <c r="BM49" s="21">
        <f t="shared" si="180"/>
        <v>5.4294175715695954E-2</v>
      </c>
      <c r="BN49" s="195">
        <f t="shared" si="181"/>
        <v>36</v>
      </c>
      <c r="BO49" s="185">
        <f t="shared" si="182"/>
        <v>1.3875802997858673</v>
      </c>
      <c r="BP49" s="5">
        <f t="shared" si="183"/>
        <v>18</v>
      </c>
      <c r="BQ49" s="21">
        <f t="shared" si="184"/>
        <v>5.5555555555555552E-2</v>
      </c>
      <c r="BR49" s="5">
        <f t="shared" si="185"/>
        <v>-0.1399999999999999</v>
      </c>
      <c r="BS49" s="5">
        <f t="shared" si="186"/>
        <v>5.1666666666666666E-2</v>
      </c>
      <c r="BT49" s="24">
        <f t="shared" si="187"/>
        <v>64.861111111111114</v>
      </c>
      <c r="BU49" s="5">
        <f t="shared" si="188"/>
        <v>38.278688524590166</v>
      </c>
      <c r="BV49" s="5">
        <f t="shared" si="189"/>
        <v>1.5499999999999998</v>
      </c>
      <c r="BW49" s="5">
        <f t="shared" si="190"/>
        <v>0.75999999999999979</v>
      </c>
      <c r="BX49" s="6">
        <f t="shared" si="191"/>
        <v>47</v>
      </c>
      <c r="BY49" s="5">
        <f t="shared" si="192"/>
        <v>1.8115631691648824</v>
      </c>
      <c r="BZ49" s="6">
        <f t="shared" si="193"/>
        <v>28</v>
      </c>
      <c r="CA49" s="5">
        <f t="shared" si="194"/>
        <v>1.0792291220556747</v>
      </c>
      <c r="CB49" s="6">
        <f t="shared" si="195"/>
        <v>20</v>
      </c>
      <c r="CC49" s="5">
        <f t="shared" si="196"/>
        <v>0.77087794432548185</v>
      </c>
      <c r="CD49" s="5">
        <f t="shared" si="197"/>
        <v>0.7323340471092078</v>
      </c>
      <c r="CE49" s="21">
        <f t="shared" si="198"/>
        <v>0.40425531914893614</v>
      </c>
      <c r="CF49" s="5">
        <f t="shared" si="199"/>
        <v>9.4</v>
      </c>
      <c r="CG49" s="5">
        <f t="shared" si="200"/>
        <v>3.3333333333333335</v>
      </c>
      <c r="CH49" s="21">
        <f t="shared" si="201"/>
        <v>0.10638297872340426</v>
      </c>
      <c r="CI49" s="298">
        <f t="shared" si="202"/>
        <v>4</v>
      </c>
      <c r="CJ49" s="298">
        <f t="shared" si="203"/>
        <v>1</v>
      </c>
      <c r="CK49" s="298">
        <f t="shared" si="204"/>
        <v>1</v>
      </c>
      <c r="CL49" s="21">
        <f t="shared" si="205"/>
        <v>7.7087794432548179E-2</v>
      </c>
      <c r="CM49" s="6">
        <f t="shared" si="206"/>
        <v>17.100000000000001</v>
      </c>
      <c r="CN49" s="5">
        <f t="shared" si="207"/>
        <v>0.65910064239828703</v>
      </c>
      <c r="CO49" s="167">
        <f t="shared" si="208"/>
        <v>204</v>
      </c>
      <c r="CP49" s="5">
        <f t="shared" si="209"/>
        <v>7.8629550321199151</v>
      </c>
      <c r="CQ49" s="6">
        <f t="shared" si="210"/>
        <v>134</v>
      </c>
      <c r="CR49" s="5">
        <f t="shared" si="211"/>
        <v>5.164882226980728</v>
      </c>
      <c r="CS49" s="21">
        <f t="shared" si="212"/>
        <v>0.65686274509803921</v>
      </c>
      <c r="CT49" s="6">
        <f t="shared" si="213"/>
        <v>77.86</v>
      </c>
      <c r="CU49" s="5">
        <f t="shared" si="214"/>
        <v>3.0010278372591008</v>
      </c>
      <c r="CV49" s="6">
        <f t="shared" si="215"/>
        <v>78.86</v>
      </c>
      <c r="CW49" s="5">
        <f t="shared" si="216"/>
        <v>3.0395717344753748</v>
      </c>
      <c r="CX49" s="385">
        <f t="shared" si="217"/>
        <v>11.612505353319058</v>
      </c>
      <c r="CY49" s="5">
        <f t="shared" si="218"/>
        <v>49.605995717344754</v>
      </c>
      <c r="CZ49" s="5">
        <f t="shared" si="219"/>
        <v>36.578158458244111</v>
      </c>
      <c r="DA49" s="6">
        <f t="shared" si="220"/>
        <v>91</v>
      </c>
      <c r="DB49" s="5">
        <f t="shared" si="221"/>
        <v>3.5074946466809425</v>
      </c>
      <c r="DC49" s="6">
        <f t="shared" si="222"/>
        <v>264</v>
      </c>
      <c r="DD49" s="5">
        <f t="shared" si="223"/>
        <v>10.17558886509636</v>
      </c>
      <c r="DE49" s="6">
        <f t="shared" si="224"/>
        <v>90</v>
      </c>
      <c r="DF49" s="5">
        <f t="shared" si="225"/>
        <v>3.4689507494646685</v>
      </c>
      <c r="DG49" s="6">
        <f t="shared" si="226"/>
        <v>231</v>
      </c>
      <c r="DH49" s="5">
        <f t="shared" si="227"/>
        <v>8.9036402569593154</v>
      </c>
      <c r="DI49" s="5">
        <f t="shared" si="228"/>
        <v>17.100000000000001</v>
      </c>
      <c r="DJ49" s="5">
        <f t="shared" si="229"/>
        <v>286.2</v>
      </c>
      <c r="DK49" s="5">
        <f t="shared" si="230"/>
        <v>11.031263383297645</v>
      </c>
      <c r="DL49" s="286">
        <f t="shared" si="231"/>
        <v>293.17222222222222</v>
      </c>
      <c r="DM49" s="287">
        <f t="shared" si="232"/>
        <v>11.3</v>
      </c>
      <c r="DN49" s="60">
        <f t="shared" si="233"/>
        <v>6.69</v>
      </c>
      <c r="DO49"/>
      <c r="DP49" t="s">
        <v>1160</v>
      </c>
      <c r="DQ49" t="s">
        <v>1417</v>
      </c>
      <c r="DR49">
        <v>29</v>
      </c>
      <c r="DS49" t="s">
        <v>1200</v>
      </c>
      <c r="DT49" t="s">
        <v>982</v>
      </c>
      <c r="DU49" t="s">
        <v>1201</v>
      </c>
      <c r="DV49" t="s">
        <v>1202</v>
      </c>
      <c r="DW49" t="s">
        <v>1418</v>
      </c>
      <c r="DX49" s="430">
        <v>47118</v>
      </c>
      <c r="DY49">
        <v>2335</v>
      </c>
      <c r="DZ49" t="s">
        <v>1419</v>
      </c>
      <c r="EA49">
        <v>1</v>
      </c>
      <c r="EB49">
        <v>6</v>
      </c>
      <c r="EC49">
        <v>2</v>
      </c>
      <c r="ED49">
        <v>6</v>
      </c>
      <c r="EE49">
        <v>17.100000000000001</v>
      </c>
      <c r="EF49" t="s">
        <v>1420</v>
      </c>
      <c r="EG49" t="s">
        <v>1421</v>
      </c>
      <c r="EH49">
        <v>22</v>
      </c>
      <c r="EI49">
        <v>37</v>
      </c>
      <c r="EJ49">
        <v>1013</v>
      </c>
      <c r="EK49">
        <v>852</v>
      </c>
      <c r="EL49">
        <v>36</v>
      </c>
      <c r="EM49">
        <v>55</v>
      </c>
      <c r="EN49">
        <v>68</v>
      </c>
      <c r="EO49">
        <v>48</v>
      </c>
      <c r="EP49">
        <v>20</v>
      </c>
      <c r="EQ49">
        <v>191</v>
      </c>
      <c r="ER49">
        <v>39</v>
      </c>
      <c r="ES49">
        <v>52</v>
      </c>
      <c r="ET49">
        <v>10</v>
      </c>
      <c r="EU49">
        <v>58</v>
      </c>
      <c r="EV49">
        <v>11</v>
      </c>
      <c r="EW49">
        <v>1</v>
      </c>
      <c r="EX49">
        <v>0.5</v>
      </c>
      <c r="EY49">
        <v>0</v>
      </c>
      <c r="EZ49">
        <v>1</v>
      </c>
      <c r="FA49">
        <v>1</v>
      </c>
      <c r="FB49">
        <v>11.3</v>
      </c>
      <c r="FC49" t="s">
        <v>1422</v>
      </c>
      <c r="FD49">
        <v>6.69</v>
      </c>
    </row>
    <row r="50" spans="1:160" ht="24.95" customHeight="1" thickBot="1" x14ac:dyDescent="0.3">
      <c r="A50" s="29" t="str">
        <f t="shared" si="0"/>
        <v>49º</v>
      </c>
      <c r="B50" s="67" t="str">
        <f t="shared" si="118"/>
        <v>Diego Valencia</v>
      </c>
      <c r="C50" s="83" t="str">
        <f t="shared" si="119"/>
        <v>CHI</v>
      </c>
      <c r="D50" s="9" t="str">
        <f t="shared" si="120"/>
        <v>Univ. Católica</v>
      </c>
      <c r="E50" s="91" t="str">
        <f t="shared" si="121"/>
        <v>Pé Direito</v>
      </c>
      <c r="F50" s="155">
        <f t="shared" si="122"/>
        <v>1.81</v>
      </c>
      <c r="G50" s="35">
        <f t="shared" si="123"/>
        <v>47483</v>
      </c>
      <c r="H50" s="7">
        <f t="shared" si="124"/>
        <v>26</v>
      </c>
      <c r="I50" s="299" t="str">
        <f t="shared" si="125"/>
        <v>11,5m € - 19m € p/m</v>
      </c>
      <c r="J50" s="3" t="str">
        <f t="shared" si="126"/>
        <v>75m € - 750m €</v>
      </c>
      <c r="K50" s="89">
        <f t="shared" si="10"/>
        <v>31.398046398046404</v>
      </c>
      <c r="L50" s="133">
        <f t="shared" si="127"/>
        <v>25.888888888888889</v>
      </c>
      <c r="M50" s="134">
        <f t="shared" si="128"/>
        <v>39</v>
      </c>
      <c r="N50" s="134">
        <f t="shared" si="129"/>
        <v>59.743589743589745</v>
      </c>
      <c r="O50" s="173">
        <f t="shared" si="130"/>
        <v>0.49</v>
      </c>
      <c r="P50" s="402">
        <f t="shared" si="131"/>
        <v>15</v>
      </c>
      <c r="Q50" s="402">
        <f t="shared" si="132"/>
        <v>1</v>
      </c>
      <c r="R50" s="402">
        <f t="shared" si="133"/>
        <v>16</v>
      </c>
      <c r="S50" s="6">
        <f t="shared" si="134"/>
        <v>3</v>
      </c>
      <c r="T50" s="24">
        <f t="shared" si="135"/>
        <v>776.66666666666663</v>
      </c>
      <c r="U50" s="21">
        <f t="shared" si="136"/>
        <v>0.11587982832618025</v>
      </c>
      <c r="V50" s="298">
        <f t="shared" si="137"/>
        <v>0</v>
      </c>
      <c r="W50" s="300">
        <f t="shared" si="138"/>
        <v>0</v>
      </c>
      <c r="X50" s="298">
        <f t="shared" si="139"/>
        <v>0</v>
      </c>
      <c r="Y50" s="300">
        <f t="shared" si="140"/>
        <v>0</v>
      </c>
      <c r="Z50" s="290">
        <f t="shared" si="141"/>
        <v>0</v>
      </c>
      <c r="AA50" s="298">
        <f t="shared" si="142"/>
        <v>0</v>
      </c>
      <c r="AB50" s="286">
        <f t="shared" si="143"/>
        <v>3</v>
      </c>
      <c r="AC50" s="286">
        <f t="shared" si="144"/>
        <v>3</v>
      </c>
      <c r="AD50" s="286">
        <f t="shared" si="145"/>
        <v>0</v>
      </c>
      <c r="AE50" s="21">
        <f t="shared" si="146"/>
        <v>1</v>
      </c>
      <c r="AF50" s="421">
        <f t="shared" si="147"/>
        <v>15</v>
      </c>
      <c r="AG50" s="421">
        <f t="shared" si="148"/>
        <v>1</v>
      </c>
      <c r="AH50" s="421">
        <f t="shared" si="149"/>
        <v>16</v>
      </c>
      <c r="AI50" s="421">
        <f t="shared" si="150"/>
        <v>12</v>
      </c>
      <c r="AJ50" s="420">
        <f t="shared" si="151"/>
        <v>2</v>
      </c>
      <c r="AK50" s="422">
        <f t="shared" si="152"/>
        <v>0.57939914163090123</v>
      </c>
      <c r="AL50" s="422">
        <f t="shared" si="153"/>
        <v>3.8626609442060082E-2</v>
      </c>
      <c r="AM50" s="422">
        <f t="shared" si="154"/>
        <v>0.61802575107296132</v>
      </c>
      <c r="AN50" s="5">
        <f t="shared" si="155"/>
        <v>10.130000000000001</v>
      </c>
      <c r="AO50" s="5">
        <f t="shared" si="156"/>
        <v>7.7600000000000007</v>
      </c>
      <c r="AP50" s="5">
        <f t="shared" si="157"/>
        <v>0.29974248927038627</v>
      </c>
      <c r="AQ50" s="5">
        <f t="shared" si="158"/>
        <v>2.11</v>
      </c>
      <c r="AR50" s="5">
        <f t="shared" si="159"/>
        <v>8.150214592274678E-2</v>
      </c>
      <c r="AS50" s="5">
        <f t="shared" si="160"/>
        <v>9.870000000000001</v>
      </c>
      <c r="AT50" s="5">
        <f t="shared" si="161"/>
        <v>0.38124463519313306</v>
      </c>
      <c r="AU50" s="21">
        <f t="shared" si="162"/>
        <v>0.67845659163987138</v>
      </c>
      <c r="AV50" s="21">
        <f t="shared" si="163"/>
        <v>0.5968961400716275</v>
      </c>
      <c r="AW50" s="6">
        <f t="shared" si="164"/>
        <v>20</v>
      </c>
      <c r="AX50" s="6">
        <f t="shared" si="165"/>
        <v>5</v>
      </c>
      <c r="AY50" s="21">
        <f t="shared" si="166"/>
        <v>0.25</v>
      </c>
      <c r="AZ50" s="304">
        <f t="shared" si="167"/>
        <v>16</v>
      </c>
      <c r="BA50" s="305">
        <f t="shared" si="168"/>
        <v>0.61802575107296132</v>
      </c>
      <c r="BB50" s="413">
        <f t="shared" si="169"/>
        <v>9.301499999999999</v>
      </c>
      <c r="BC50" s="413">
        <f t="shared" si="170"/>
        <v>0.35928540772532191</v>
      </c>
      <c r="BD50" s="6">
        <f t="shared" si="171"/>
        <v>872</v>
      </c>
      <c r="BE50" s="5">
        <f t="shared" si="172"/>
        <v>33.682403433476395</v>
      </c>
      <c r="BF50" s="6">
        <f t="shared" si="173"/>
        <v>788</v>
      </c>
      <c r="BG50" s="5">
        <f t="shared" si="174"/>
        <v>30.437768240343349</v>
      </c>
      <c r="BH50" s="21">
        <f t="shared" si="175"/>
        <v>0.90366972477064222</v>
      </c>
      <c r="BI50" s="417">
        <f t="shared" si="176"/>
        <v>84</v>
      </c>
      <c r="BJ50" s="418">
        <f t="shared" si="177"/>
        <v>3.244635193133047</v>
      </c>
      <c r="BK50" s="195">
        <f t="shared" si="178"/>
        <v>33</v>
      </c>
      <c r="BL50" s="5">
        <f t="shared" si="179"/>
        <v>1.2746781115879828</v>
      </c>
      <c r="BM50" s="21">
        <f t="shared" si="180"/>
        <v>3.7844036697247709E-2</v>
      </c>
      <c r="BN50" s="195">
        <f t="shared" si="181"/>
        <v>28</v>
      </c>
      <c r="BO50" s="185">
        <f t="shared" si="182"/>
        <v>1.0815450643776825</v>
      </c>
      <c r="BP50" s="5">
        <f t="shared" si="183"/>
        <v>28</v>
      </c>
      <c r="BQ50" s="21">
        <f t="shared" si="184"/>
        <v>3.5714285714285712E-2</v>
      </c>
      <c r="BR50" s="5">
        <f t="shared" si="185"/>
        <v>1.1099999999999999</v>
      </c>
      <c r="BS50" s="5">
        <f t="shared" si="186"/>
        <v>7.5357142857142859E-2</v>
      </c>
      <c r="BT50" s="24">
        <f t="shared" si="187"/>
        <v>83.214285714285708</v>
      </c>
      <c r="BU50" s="5">
        <f t="shared" si="188"/>
        <v>32.361111111111114</v>
      </c>
      <c r="BV50" s="5">
        <f t="shared" si="189"/>
        <v>4.8699999999999992</v>
      </c>
      <c r="BW50" s="5">
        <f t="shared" si="190"/>
        <v>2.4999999999999991</v>
      </c>
      <c r="BX50" s="6">
        <f t="shared" si="191"/>
        <v>85</v>
      </c>
      <c r="BY50" s="5">
        <f t="shared" si="192"/>
        <v>3.2832618025751072</v>
      </c>
      <c r="BZ50" s="6">
        <f t="shared" si="193"/>
        <v>41</v>
      </c>
      <c r="CA50" s="5">
        <f t="shared" si="194"/>
        <v>1.5836909871244635</v>
      </c>
      <c r="CB50" s="6">
        <f t="shared" si="195"/>
        <v>47</v>
      </c>
      <c r="CC50" s="5">
        <f t="shared" si="196"/>
        <v>1.8154506437768241</v>
      </c>
      <c r="CD50" s="5">
        <f t="shared" si="197"/>
        <v>1.6995708154506437</v>
      </c>
      <c r="CE50" s="21">
        <f t="shared" si="198"/>
        <v>0.51764705882352946</v>
      </c>
      <c r="CF50" s="5">
        <f t="shared" si="199"/>
        <v>7.083333333333333</v>
      </c>
      <c r="CG50" s="5">
        <f t="shared" si="200"/>
        <v>3.1333333333333333</v>
      </c>
      <c r="CH50" s="21">
        <f t="shared" si="201"/>
        <v>0.14117647058823529</v>
      </c>
      <c r="CI50" s="298">
        <f t="shared" si="202"/>
        <v>10</v>
      </c>
      <c r="CJ50" s="298">
        <f t="shared" si="203"/>
        <v>2</v>
      </c>
      <c r="CK50" s="298">
        <f t="shared" si="204"/>
        <v>3</v>
      </c>
      <c r="CL50" s="21">
        <f t="shared" si="205"/>
        <v>9.6566523605150195E-2</v>
      </c>
      <c r="CM50" s="6">
        <f t="shared" si="206"/>
        <v>14.7</v>
      </c>
      <c r="CN50" s="5">
        <f t="shared" si="207"/>
        <v>0.56781115879828326</v>
      </c>
      <c r="CO50" s="167">
        <f t="shared" si="208"/>
        <v>152</v>
      </c>
      <c r="CP50" s="5">
        <f t="shared" si="209"/>
        <v>5.8712446351931327</v>
      </c>
      <c r="CQ50" s="6">
        <f t="shared" si="210"/>
        <v>96</v>
      </c>
      <c r="CR50" s="5">
        <f t="shared" si="211"/>
        <v>3.7081545064377681</v>
      </c>
      <c r="CS50" s="21">
        <f t="shared" si="212"/>
        <v>0.63157894736842102</v>
      </c>
      <c r="CT50" s="6">
        <f t="shared" si="213"/>
        <v>89.11</v>
      </c>
      <c r="CU50" s="5">
        <f t="shared" si="214"/>
        <v>3.4420171673819744</v>
      </c>
      <c r="CV50" s="6">
        <f t="shared" si="215"/>
        <v>91.11</v>
      </c>
      <c r="CW50" s="5">
        <f t="shared" si="216"/>
        <v>3.5192703862660943</v>
      </c>
      <c r="CX50" s="385">
        <f t="shared" si="217"/>
        <v>8.9648111587982839</v>
      </c>
      <c r="CY50" s="5">
        <f t="shared" si="218"/>
        <v>41.484978540772531</v>
      </c>
      <c r="CZ50" s="5">
        <f t="shared" si="219"/>
        <v>32.793991416309012</v>
      </c>
      <c r="DA50" s="6">
        <f t="shared" si="220"/>
        <v>61</v>
      </c>
      <c r="DB50" s="5">
        <f t="shared" si="221"/>
        <v>2.3562231759656651</v>
      </c>
      <c r="DC50" s="6">
        <f t="shared" si="222"/>
        <v>182</v>
      </c>
      <c r="DD50" s="5">
        <f t="shared" si="223"/>
        <v>7.0300429184549351</v>
      </c>
      <c r="DE50" s="6">
        <f t="shared" si="224"/>
        <v>116</v>
      </c>
      <c r="DF50" s="5">
        <f t="shared" si="225"/>
        <v>4.4806866952789699</v>
      </c>
      <c r="DG50" s="6">
        <f t="shared" si="226"/>
        <v>140</v>
      </c>
      <c r="DH50" s="5">
        <f t="shared" si="227"/>
        <v>5.407725321888412</v>
      </c>
      <c r="DI50" s="5">
        <f t="shared" si="228"/>
        <v>14.7</v>
      </c>
      <c r="DJ50" s="5">
        <f t="shared" si="229"/>
        <v>262.10000000000002</v>
      </c>
      <c r="DK50" s="5">
        <f t="shared" si="230"/>
        <v>10.12403433476395</v>
      </c>
      <c r="DL50" s="286">
        <f t="shared" si="231"/>
        <v>233</v>
      </c>
      <c r="DM50" s="287">
        <f t="shared" si="232"/>
        <v>9</v>
      </c>
      <c r="DN50" s="60">
        <f t="shared" si="233"/>
        <v>6.91</v>
      </c>
      <c r="DO50"/>
      <c r="DP50" t="s">
        <v>1160</v>
      </c>
      <c r="DQ50" t="s">
        <v>1423</v>
      </c>
      <c r="DR50">
        <v>26</v>
      </c>
      <c r="DS50" t="s">
        <v>1424</v>
      </c>
      <c r="DT50" t="s">
        <v>557</v>
      </c>
      <c r="DU50" t="s">
        <v>573</v>
      </c>
      <c r="DV50" t="s">
        <v>1425</v>
      </c>
      <c r="DW50" t="s">
        <v>1426</v>
      </c>
      <c r="DX50" s="430">
        <v>47483</v>
      </c>
      <c r="DY50">
        <v>2330</v>
      </c>
      <c r="DZ50" t="s">
        <v>1427</v>
      </c>
      <c r="EA50">
        <v>3</v>
      </c>
      <c r="EB50">
        <v>15</v>
      </c>
      <c r="EC50">
        <v>1</v>
      </c>
      <c r="ED50">
        <v>0</v>
      </c>
      <c r="EE50">
        <v>14.7</v>
      </c>
      <c r="EF50" t="s">
        <v>1428</v>
      </c>
      <c r="EG50" t="s">
        <v>1429</v>
      </c>
      <c r="EH50">
        <v>12</v>
      </c>
      <c r="EI50">
        <v>30</v>
      </c>
      <c r="EJ50">
        <v>872</v>
      </c>
      <c r="EK50">
        <v>788</v>
      </c>
      <c r="EL50">
        <v>28</v>
      </c>
      <c r="EM50">
        <v>33</v>
      </c>
      <c r="EN50">
        <v>16</v>
      </c>
      <c r="EO50">
        <v>88</v>
      </c>
      <c r="EP50">
        <v>47</v>
      </c>
      <c r="EQ50">
        <v>79</v>
      </c>
      <c r="ER50">
        <v>24</v>
      </c>
      <c r="ES50">
        <v>20</v>
      </c>
      <c r="ET50">
        <v>5</v>
      </c>
      <c r="EU50">
        <v>20</v>
      </c>
      <c r="EV50">
        <v>5</v>
      </c>
      <c r="EW50">
        <v>2</v>
      </c>
      <c r="EX50">
        <v>0.8</v>
      </c>
      <c r="EY50">
        <v>0</v>
      </c>
      <c r="EZ50">
        <v>3</v>
      </c>
      <c r="FA50">
        <v>3</v>
      </c>
      <c r="FB50">
        <v>9</v>
      </c>
      <c r="FC50" t="s">
        <v>1430</v>
      </c>
      <c r="FD50">
        <v>6.91</v>
      </c>
    </row>
    <row r="51" spans="1:160" ht="24.95" customHeight="1" thickBot="1" x14ac:dyDescent="0.3">
      <c r="A51" s="29" t="str">
        <f t="shared" si="0"/>
        <v>50º</v>
      </c>
      <c r="B51" s="67" t="str">
        <f t="shared" si="118"/>
        <v>Sebastián Pérez</v>
      </c>
      <c r="C51" s="83" t="str">
        <f t="shared" si="119"/>
        <v>CHI</v>
      </c>
      <c r="D51" s="9" t="str">
        <f t="shared" si="120"/>
        <v>Puerto Montt</v>
      </c>
      <c r="E51" s="91" t="str">
        <f t="shared" si="121"/>
        <v>Pé Preferido Desconhecido</v>
      </c>
      <c r="F51" s="155">
        <f t="shared" si="122"/>
        <v>1.78</v>
      </c>
      <c r="G51" s="35">
        <f t="shared" si="123"/>
        <v>47118</v>
      </c>
      <c r="H51" s="7">
        <f t="shared" si="124"/>
        <v>27</v>
      </c>
      <c r="I51" s="299" t="str">
        <f t="shared" si="125"/>
        <v>450 € - 750 € p/m</v>
      </c>
      <c r="J51" s="3" t="str">
        <f t="shared" si="126"/>
        <v>Desconhecido</v>
      </c>
      <c r="K51" s="89">
        <f t="shared" si="10"/>
        <v>31.398046398046404</v>
      </c>
      <c r="L51" s="133">
        <f t="shared" si="127"/>
        <v>25.266666666666666</v>
      </c>
      <c r="M51" s="134">
        <f t="shared" si="128"/>
        <v>32</v>
      </c>
      <c r="N51" s="134">
        <f t="shared" si="129"/>
        <v>71.0625</v>
      </c>
      <c r="O51" s="173">
        <f t="shared" si="130"/>
        <v>0.88</v>
      </c>
      <c r="P51" s="402">
        <f t="shared" si="131"/>
        <v>9</v>
      </c>
      <c r="Q51" s="402">
        <f t="shared" si="132"/>
        <v>3</v>
      </c>
      <c r="R51" s="402">
        <f t="shared" si="133"/>
        <v>12</v>
      </c>
      <c r="S51" s="6">
        <f t="shared" si="134"/>
        <v>2</v>
      </c>
      <c r="T51" s="24">
        <f t="shared" si="135"/>
        <v>1137</v>
      </c>
      <c r="U51" s="21">
        <f t="shared" si="136"/>
        <v>7.9155672823219003E-2</v>
      </c>
      <c r="V51" s="298">
        <f t="shared" si="137"/>
        <v>0</v>
      </c>
      <c r="W51" s="300">
        <f t="shared" si="138"/>
        <v>0</v>
      </c>
      <c r="X51" s="298">
        <f t="shared" si="139"/>
        <v>0</v>
      </c>
      <c r="Y51" s="300">
        <f t="shared" si="140"/>
        <v>0</v>
      </c>
      <c r="Z51" s="290">
        <f t="shared" si="141"/>
        <v>0</v>
      </c>
      <c r="AA51" s="298">
        <f t="shared" si="142"/>
        <v>0</v>
      </c>
      <c r="AB51" s="286">
        <f t="shared" si="143"/>
        <v>1</v>
      </c>
      <c r="AC51" s="286">
        <f t="shared" si="144"/>
        <v>1</v>
      </c>
      <c r="AD51" s="286">
        <f t="shared" si="145"/>
        <v>0</v>
      </c>
      <c r="AE51" s="21">
        <f t="shared" si="146"/>
        <v>1</v>
      </c>
      <c r="AF51" s="421">
        <f t="shared" si="147"/>
        <v>9</v>
      </c>
      <c r="AG51" s="421">
        <f t="shared" si="148"/>
        <v>3</v>
      </c>
      <c r="AH51" s="421">
        <f t="shared" si="149"/>
        <v>12</v>
      </c>
      <c r="AI51" s="421">
        <f t="shared" si="150"/>
        <v>8</v>
      </c>
      <c r="AJ51" s="420">
        <f t="shared" si="151"/>
        <v>1</v>
      </c>
      <c r="AK51" s="422">
        <f t="shared" si="152"/>
        <v>0.35620052770448551</v>
      </c>
      <c r="AL51" s="422">
        <f t="shared" si="153"/>
        <v>0.1187335092348285</v>
      </c>
      <c r="AM51" s="422">
        <f t="shared" si="154"/>
        <v>0.47493403693931402</v>
      </c>
      <c r="AN51" s="5">
        <f t="shared" si="155"/>
        <v>4.05</v>
      </c>
      <c r="AO51" s="5">
        <f t="shared" si="156"/>
        <v>3.26</v>
      </c>
      <c r="AP51" s="5">
        <f t="shared" si="157"/>
        <v>0.12902374670184696</v>
      </c>
      <c r="AQ51" s="5">
        <f t="shared" si="158"/>
        <v>0.83</v>
      </c>
      <c r="AR51" s="5">
        <f t="shared" si="159"/>
        <v>3.2849604221635881E-2</v>
      </c>
      <c r="AS51" s="5">
        <f t="shared" si="160"/>
        <v>4.09</v>
      </c>
      <c r="AT51" s="5">
        <f t="shared" si="161"/>
        <v>0.16187335092348284</v>
      </c>
      <c r="AU51" s="21">
        <f t="shared" si="162"/>
        <v>0.21671018276762399</v>
      </c>
      <c r="AV51" s="21">
        <f t="shared" si="163"/>
        <v>0.68965517241379304</v>
      </c>
      <c r="AW51" s="6">
        <f t="shared" si="164"/>
        <v>11</v>
      </c>
      <c r="AX51" s="6">
        <f t="shared" si="165"/>
        <v>4</v>
      </c>
      <c r="AY51" s="21">
        <f t="shared" si="166"/>
        <v>0.36363636363636365</v>
      </c>
      <c r="AZ51" s="304">
        <f t="shared" si="167"/>
        <v>15</v>
      </c>
      <c r="BA51" s="305">
        <f t="shared" si="168"/>
        <v>0.59366754617414252</v>
      </c>
      <c r="BB51" s="413">
        <f t="shared" si="169"/>
        <v>8.7294999999999998</v>
      </c>
      <c r="BC51" s="413">
        <f t="shared" si="170"/>
        <v>0.34549472295514516</v>
      </c>
      <c r="BD51" s="6">
        <f t="shared" si="171"/>
        <v>672</v>
      </c>
      <c r="BE51" s="5">
        <f t="shared" si="172"/>
        <v>26.596306068601585</v>
      </c>
      <c r="BF51" s="6">
        <f t="shared" si="173"/>
        <v>612</v>
      </c>
      <c r="BG51" s="5">
        <f t="shared" si="174"/>
        <v>24.221635883905016</v>
      </c>
      <c r="BH51" s="21">
        <f t="shared" si="175"/>
        <v>0.9107142857142857</v>
      </c>
      <c r="BI51" s="417">
        <f t="shared" si="176"/>
        <v>60</v>
      </c>
      <c r="BJ51" s="418">
        <f t="shared" si="177"/>
        <v>2.3746701846965701</v>
      </c>
      <c r="BK51" s="195">
        <f t="shared" si="178"/>
        <v>15</v>
      </c>
      <c r="BL51" s="5">
        <f t="shared" si="179"/>
        <v>0.59366754617414252</v>
      </c>
      <c r="BM51" s="21">
        <f t="shared" si="180"/>
        <v>2.2321428571428572E-2</v>
      </c>
      <c r="BN51" s="195">
        <f t="shared" si="181"/>
        <v>23</v>
      </c>
      <c r="BO51" s="185">
        <f t="shared" si="182"/>
        <v>0.91029023746701854</v>
      </c>
      <c r="BP51" s="5">
        <f t="shared" si="183"/>
        <v>7.666666666666667</v>
      </c>
      <c r="BQ51" s="21">
        <f t="shared" si="184"/>
        <v>0.13043478260869565</v>
      </c>
      <c r="BR51" s="5">
        <f t="shared" si="185"/>
        <v>-2.17</v>
      </c>
      <c r="BS51" s="5">
        <f t="shared" si="186"/>
        <v>3.6086956521739127E-2</v>
      </c>
      <c r="BT51" s="24">
        <f t="shared" si="187"/>
        <v>98.869565217391298</v>
      </c>
      <c r="BU51" s="5">
        <f t="shared" si="188"/>
        <v>43.730769230769234</v>
      </c>
      <c r="BV51" s="5">
        <f t="shared" si="189"/>
        <v>4.95</v>
      </c>
      <c r="BW51" s="5">
        <f t="shared" si="190"/>
        <v>4.16</v>
      </c>
      <c r="BX51" s="6">
        <f t="shared" si="191"/>
        <v>51</v>
      </c>
      <c r="BY51" s="5">
        <f t="shared" si="192"/>
        <v>2.0184696569920844</v>
      </c>
      <c r="BZ51" s="6">
        <f t="shared" si="193"/>
        <v>24</v>
      </c>
      <c r="CA51" s="5">
        <f t="shared" si="194"/>
        <v>0.94986807387862804</v>
      </c>
      <c r="CB51" s="6">
        <f t="shared" si="195"/>
        <v>28</v>
      </c>
      <c r="CC51" s="5">
        <f t="shared" si="196"/>
        <v>1.108179419525066</v>
      </c>
      <c r="CD51" s="5">
        <f t="shared" si="197"/>
        <v>1.0686015831134565</v>
      </c>
      <c r="CE51" s="21">
        <f t="shared" si="198"/>
        <v>0.52941176470588236</v>
      </c>
      <c r="CF51" s="5">
        <f t="shared" si="199"/>
        <v>6.375</v>
      </c>
      <c r="CG51" s="5">
        <f t="shared" si="200"/>
        <v>3.1111111111111112</v>
      </c>
      <c r="CH51" s="21">
        <f t="shared" si="201"/>
        <v>0.15686274509803921</v>
      </c>
      <c r="CI51" s="298">
        <f t="shared" si="202"/>
        <v>7</v>
      </c>
      <c r="CJ51" s="298">
        <f t="shared" si="203"/>
        <v>1</v>
      </c>
      <c r="CK51" s="298">
        <f t="shared" si="204"/>
        <v>1</v>
      </c>
      <c r="CL51" s="21">
        <f t="shared" si="205"/>
        <v>5.6539766302299295E-2</v>
      </c>
      <c r="CM51" s="6">
        <f t="shared" si="206"/>
        <v>25.1</v>
      </c>
      <c r="CN51" s="5">
        <f t="shared" si="207"/>
        <v>0.99340369393139849</v>
      </c>
      <c r="CO51" s="167">
        <f t="shared" si="208"/>
        <v>101</v>
      </c>
      <c r="CP51" s="5">
        <f t="shared" si="209"/>
        <v>3.9973614775725594</v>
      </c>
      <c r="CQ51" s="6">
        <f t="shared" si="210"/>
        <v>70</v>
      </c>
      <c r="CR51" s="5">
        <f t="shared" si="211"/>
        <v>2.7704485488126651</v>
      </c>
      <c r="CS51" s="21">
        <f t="shared" si="212"/>
        <v>0.69306930693069302</v>
      </c>
      <c r="CT51" s="6">
        <f t="shared" si="213"/>
        <v>63.83</v>
      </c>
      <c r="CU51" s="5">
        <f t="shared" si="214"/>
        <v>2.5262532981530343</v>
      </c>
      <c r="CV51" s="6">
        <f t="shared" si="215"/>
        <v>65.83</v>
      </c>
      <c r="CW51" s="5">
        <f t="shared" si="216"/>
        <v>2.6054089709762533</v>
      </c>
      <c r="CX51" s="385">
        <f t="shared" si="217"/>
        <v>6.0286939313984167</v>
      </c>
      <c r="CY51" s="5">
        <f t="shared" si="218"/>
        <v>31.741424802110821</v>
      </c>
      <c r="CZ51" s="5">
        <f t="shared" si="219"/>
        <v>25.804749340369394</v>
      </c>
      <c r="DA51" s="6">
        <f t="shared" si="220"/>
        <v>38</v>
      </c>
      <c r="DB51" s="5">
        <f t="shared" si="221"/>
        <v>1.5039577836411611</v>
      </c>
      <c r="DC51" s="6">
        <f t="shared" si="222"/>
        <v>117</v>
      </c>
      <c r="DD51" s="5">
        <f t="shared" si="223"/>
        <v>4.6306068601583119</v>
      </c>
      <c r="DE51" s="6">
        <f t="shared" si="224"/>
        <v>77</v>
      </c>
      <c r="DF51" s="5">
        <f t="shared" si="225"/>
        <v>3.0474934036939314</v>
      </c>
      <c r="DG51" s="6">
        <f t="shared" si="226"/>
        <v>91</v>
      </c>
      <c r="DH51" s="5">
        <f t="shared" si="227"/>
        <v>3.6015831134564644</v>
      </c>
      <c r="DI51" s="5">
        <f t="shared" si="228"/>
        <v>25.1</v>
      </c>
      <c r="DJ51" s="5">
        <f t="shared" si="229"/>
        <v>247</v>
      </c>
      <c r="DK51" s="5">
        <f t="shared" si="230"/>
        <v>9.7757255936675467</v>
      </c>
      <c r="DL51" s="286">
        <f t="shared" si="231"/>
        <v>98.539999999999992</v>
      </c>
      <c r="DM51" s="287">
        <f t="shared" si="232"/>
        <v>3.9</v>
      </c>
      <c r="DN51" s="60">
        <f t="shared" si="233"/>
        <v>6.74</v>
      </c>
      <c r="DO51"/>
      <c r="DP51" t="s">
        <v>1160</v>
      </c>
      <c r="DQ51" t="s">
        <v>1431</v>
      </c>
      <c r="DR51">
        <v>27</v>
      </c>
      <c r="DS51" t="s">
        <v>1432</v>
      </c>
      <c r="DT51" t="s">
        <v>524</v>
      </c>
      <c r="DU51" t="s">
        <v>1201</v>
      </c>
      <c r="DV51" t="s">
        <v>1202</v>
      </c>
      <c r="DW51" t="s">
        <v>1433</v>
      </c>
      <c r="DX51" s="430">
        <v>47118</v>
      </c>
      <c r="DY51">
        <v>2274</v>
      </c>
      <c r="DZ51" t="s">
        <v>1132</v>
      </c>
      <c r="EA51">
        <v>2</v>
      </c>
      <c r="EB51">
        <v>9</v>
      </c>
      <c r="EC51">
        <v>3</v>
      </c>
      <c r="ED51">
        <v>2</v>
      </c>
      <c r="EE51">
        <v>25.1</v>
      </c>
      <c r="EF51" t="s">
        <v>1434</v>
      </c>
      <c r="EG51" t="s">
        <v>909</v>
      </c>
      <c r="EH51">
        <v>22</v>
      </c>
      <c r="EI51">
        <v>50</v>
      </c>
      <c r="EJ51">
        <v>672</v>
      </c>
      <c r="EK51">
        <v>612</v>
      </c>
      <c r="EL51">
        <v>23</v>
      </c>
      <c r="EM51">
        <v>15</v>
      </c>
      <c r="EN51">
        <v>15</v>
      </c>
      <c r="EO51">
        <v>52</v>
      </c>
      <c r="EP51">
        <v>28</v>
      </c>
      <c r="EQ51">
        <v>36</v>
      </c>
      <c r="ER51">
        <v>14</v>
      </c>
      <c r="ES51">
        <v>11</v>
      </c>
      <c r="ET51">
        <v>4</v>
      </c>
      <c r="EU51">
        <v>11</v>
      </c>
      <c r="EV51">
        <v>4</v>
      </c>
      <c r="EW51">
        <v>1</v>
      </c>
      <c r="EX51">
        <v>0.7</v>
      </c>
      <c r="EY51">
        <v>0</v>
      </c>
      <c r="EZ51">
        <v>1</v>
      </c>
      <c r="FA51">
        <v>1</v>
      </c>
      <c r="FB51">
        <v>3.9</v>
      </c>
      <c r="FC51" t="s">
        <v>1435</v>
      </c>
      <c r="FD51">
        <v>6.74</v>
      </c>
    </row>
    <row r="52" spans="1:160" ht="24.95" customHeight="1" thickBot="1" x14ac:dyDescent="0.3">
      <c r="A52" s="29" t="str">
        <f t="shared" si="0"/>
        <v>51º</v>
      </c>
      <c r="B52" s="67" t="str">
        <f t="shared" si="118"/>
        <v>Maximiliano Rodríguez</v>
      </c>
      <c r="C52" s="83" t="str">
        <f t="shared" si="119"/>
        <v>CHI</v>
      </c>
      <c r="D52" s="9" t="str">
        <f t="shared" si="120"/>
        <v>Huachipato</v>
      </c>
      <c r="E52" s="91" t="str">
        <f t="shared" si="121"/>
        <v>Pé Preferido Desconhecido</v>
      </c>
      <c r="F52" s="155">
        <f t="shared" si="122"/>
        <v>1.83</v>
      </c>
      <c r="G52" s="35">
        <f t="shared" si="123"/>
        <v>47118</v>
      </c>
      <c r="H52" s="7">
        <f t="shared" si="124"/>
        <v>26</v>
      </c>
      <c r="I52" s="299" t="str">
        <f t="shared" si="125"/>
        <v>2,5m € - 4,3m € p/m</v>
      </c>
      <c r="J52" s="3" t="str">
        <f t="shared" si="126"/>
        <v>Desconhecido</v>
      </c>
      <c r="K52" s="89">
        <f t="shared" si="10"/>
        <v>31.398046398046404</v>
      </c>
      <c r="L52" s="133">
        <f t="shared" si="127"/>
        <v>30.755555555555556</v>
      </c>
      <c r="M52" s="134">
        <f t="shared" si="128"/>
        <v>36</v>
      </c>
      <c r="N52" s="134">
        <f t="shared" si="129"/>
        <v>76.888888888888886</v>
      </c>
      <c r="O52" s="173">
        <f t="shared" si="130"/>
        <v>0.94</v>
      </c>
      <c r="P52" s="402">
        <f t="shared" si="131"/>
        <v>14</v>
      </c>
      <c r="Q52" s="402">
        <f t="shared" si="132"/>
        <v>1</v>
      </c>
      <c r="R52" s="402">
        <f t="shared" si="133"/>
        <v>15</v>
      </c>
      <c r="S52" s="6">
        <f t="shared" si="134"/>
        <v>2</v>
      </c>
      <c r="T52" s="24">
        <f t="shared" si="135"/>
        <v>1384</v>
      </c>
      <c r="U52" s="21">
        <f t="shared" si="136"/>
        <v>6.5028901734104042E-2</v>
      </c>
      <c r="V52" s="298">
        <f t="shared" si="137"/>
        <v>0</v>
      </c>
      <c r="W52" s="300">
        <f t="shared" si="138"/>
        <v>0</v>
      </c>
      <c r="X52" s="298">
        <f t="shared" si="139"/>
        <v>0</v>
      </c>
      <c r="Y52" s="300">
        <f t="shared" si="140"/>
        <v>0</v>
      </c>
      <c r="Z52" s="290">
        <f t="shared" si="141"/>
        <v>0</v>
      </c>
      <c r="AA52" s="298">
        <f t="shared" si="142"/>
        <v>0</v>
      </c>
      <c r="AB52" s="286">
        <f t="shared" si="143"/>
        <v>0</v>
      </c>
      <c r="AC52" s="286">
        <f t="shared" si="144"/>
        <v>0</v>
      </c>
      <c r="AD52" s="286">
        <f t="shared" si="145"/>
        <v>0</v>
      </c>
      <c r="AE52" s="21">
        <f t="shared" si="146"/>
        <v>9.9999999999999995E-8</v>
      </c>
      <c r="AF52" s="421">
        <f t="shared" si="147"/>
        <v>14</v>
      </c>
      <c r="AG52" s="421">
        <f t="shared" si="148"/>
        <v>1</v>
      </c>
      <c r="AH52" s="421">
        <f t="shared" si="149"/>
        <v>15</v>
      </c>
      <c r="AI52" s="421">
        <f t="shared" si="150"/>
        <v>14</v>
      </c>
      <c r="AJ52" s="420">
        <f t="shared" si="151"/>
        <v>3</v>
      </c>
      <c r="AK52" s="422">
        <f t="shared" si="152"/>
        <v>0.4552023121387283</v>
      </c>
      <c r="AL52" s="422">
        <f t="shared" si="153"/>
        <v>3.2514450867052021E-2</v>
      </c>
      <c r="AM52" s="422">
        <f t="shared" si="154"/>
        <v>0.48771676300578032</v>
      </c>
      <c r="AN52" s="5">
        <f t="shared" si="155"/>
        <v>11.95</v>
      </c>
      <c r="AO52" s="5">
        <f t="shared" si="156"/>
        <v>11.95</v>
      </c>
      <c r="AP52" s="5">
        <f t="shared" si="157"/>
        <v>0.38854768786127164</v>
      </c>
      <c r="AQ52" s="5">
        <f t="shared" si="158"/>
        <v>1.27</v>
      </c>
      <c r="AR52" s="5">
        <f t="shared" si="159"/>
        <v>4.1293352601156068E-2</v>
      </c>
      <c r="AS52" s="5">
        <f t="shared" si="160"/>
        <v>13.219999999999999</v>
      </c>
      <c r="AT52" s="5">
        <f t="shared" si="161"/>
        <v>0.42984104046242771</v>
      </c>
      <c r="AU52" s="21">
        <f t="shared" si="162"/>
        <v>0.55947136563876654</v>
      </c>
      <c r="AV52" s="21">
        <f t="shared" si="163"/>
        <v>0.53949903660886322</v>
      </c>
      <c r="AW52" s="6">
        <f t="shared" si="164"/>
        <v>16</v>
      </c>
      <c r="AX52" s="6">
        <f t="shared" si="165"/>
        <v>4</v>
      </c>
      <c r="AY52" s="21">
        <f t="shared" si="166"/>
        <v>0.25</v>
      </c>
      <c r="AZ52" s="304">
        <f t="shared" si="167"/>
        <v>21</v>
      </c>
      <c r="BA52" s="305">
        <f t="shared" si="168"/>
        <v>0.68280346820809246</v>
      </c>
      <c r="BB52" s="413">
        <f t="shared" si="169"/>
        <v>11.470500000000001</v>
      </c>
      <c r="BC52" s="413">
        <f t="shared" si="170"/>
        <v>0.37295700867052017</v>
      </c>
      <c r="BD52" s="6">
        <f t="shared" si="171"/>
        <v>831</v>
      </c>
      <c r="BE52" s="5">
        <f t="shared" si="172"/>
        <v>27.019508670520231</v>
      </c>
      <c r="BF52" s="6">
        <f t="shared" si="173"/>
        <v>727</v>
      </c>
      <c r="BG52" s="5">
        <f t="shared" si="174"/>
        <v>23.63800578034682</v>
      </c>
      <c r="BH52" s="21">
        <f t="shared" si="175"/>
        <v>0.87484957882069792</v>
      </c>
      <c r="BI52" s="417">
        <f t="shared" si="176"/>
        <v>104</v>
      </c>
      <c r="BJ52" s="418">
        <f t="shared" si="177"/>
        <v>3.3815028901734103</v>
      </c>
      <c r="BK52" s="195">
        <f t="shared" si="178"/>
        <v>22</v>
      </c>
      <c r="BL52" s="5">
        <f t="shared" si="179"/>
        <v>0.71531791907514453</v>
      </c>
      <c r="BM52" s="21">
        <f t="shared" si="180"/>
        <v>2.6474127557160047E-2</v>
      </c>
      <c r="BN52" s="195">
        <f t="shared" si="181"/>
        <v>32</v>
      </c>
      <c r="BO52" s="185">
        <f t="shared" si="182"/>
        <v>1.0404624277456647</v>
      </c>
      <c r="BP52" s="5">
        <f t="shared" si="183"/>
        <v>32</v>
      </c>
      <c r="BQ52" s="21">
        <f t="shared" si="184"/>
        <v>3.125E-2</v>
      </c>
      <c r="BR52" s="5">
        <f t="shared" si="185"/>
        <v>0.27</v>
      </c>
      <c r="BS52" s="5">
        <f t="shared" si="186"/>
        <v>3.9687500000000001E-2</v>
      </c>
      <c r="BT52" s="24">
        <f t="shared" si="187"/>
        <v>86.5</v>
      </c>
      <c r="BU52" s="5">
        <f t="shared" si="188"/>
        <v>31.454545454545453</v>
      </c>
      <c r="BV52" s="5">
        <f t="shared" si="189"/>
        <v>2.0500000000000007</v>
      </c>
      <c r="BW52" s="5">
        <f t="shared" si="190"/>
        <v>2.0500000000000007</v>
      </c>
      <c r="BX52" s="6">
        <f t="shared" si="191"/>
        <v>106</v>
      </c>
      <c r="BY52" s="5">
        <f t="shared" si="192"/>
        <v>3.4465317919075145</v>
      </c>
      <c r="BZ52" s="6">
        <f t="shared" si="193"/>
        <v>53</v>
      </c>
      <c r="CA52" s="5">
        <f t="shared" si="194"/>
        <v>1.7232658959537572</v>
      </c>
      <c r="CB52" s="6">
        <f t="shared" si="195"/>
        <v>53</v>
      </c>
      <c r="CC52" s="5">
        <f t="shared" si="196"/>
        <v>1.7232658959537572</v>
      </c>
      <c r="CD52" s="5">
        <f t="shared" si="197"/>
        <v>1.7232658959537572</v>
      </c>
      <c r="CE52" s="21">
        <f t="shared" si="198"/>
        <v>0.5</v>
      </c>
      <c r="CF52" s="5">
        <f t="shared" si="199"/>
        <v>7.5714285714285712</v>
      </c>
      <c r="CG52" s="5">
        <f t="shared" si="200"/>
        <v>3.7857142857142856</v>
      </c>
      <c r="CH52" s="21">
        <f t="shared" si="201"/>
        <v>0.13207547169811321</v>
      </c>
      <c r="CI52" s="298">
        <f t="shared" si="202"/>
        <v>11</v>
      </c>
      <c r="CJ52" s="298">
        <f t="shared" si="203"/>
        <v>3</v>
      </c>
      <c r="CK52" s="298">
        <f t="shared" si="204"/>
        <v>0</v>
      </c>
      <c r="CL52" s="21">
        <f t="shared" si="205"/>
        <v>8.1286127167630062E-2</v>
      </c>
      <c r="CM52" s="6">
        <f t="shared" si="206"/>
        <v>17.600000000000001</v>
      </c>
      <c r="CN52" s="5">
        <f t="shared" si="207"/>
        <v>0.5722543352601156</v>
      </c>
      <c r="CO52" s="167">
        <f t="shared" si="208"/>
        <v>175</v>
      </c>
      <c r="CP52" s="5">
        <f t="shared" si="209"/>
        <v>5.6900289017341041</v>
      </c>
      <c r="CQ52" s="6">
        <f t="shared" si="210"/>
        <v>110</v>
      </c>
      <c r="CR52" s="5">
        <f t="shared" si="211"/>
        <v>3.5765895953757223</v>
      </c>
      <c r="CS52" s="21">
        <f t="shared" si="212"/>
        <v>0.62857142857142856</v>
      </c>
      <c r="CT52" s="6">
        <f t="shared" si="213"/>
        <v>103.77000000000001</v>
      </c>
      <c r="CU52" s="5">
        <f t="shared" si="214"/>
        <v>3.3740245664739885</v>
      </c>
      <c r="CV52" s="6">
        <f t="shared" si="215"/>
        <v>104.52000000000001</v>
      </c>
      <c r="CW52" s="5">
        <f t="shared" si="216"/>
        <v>3.3984104046242778</v>
      </c>
      <c r="CX52" s="385">
        <f t="shared" si="217"/>
        <v>7.5506683526011535</v>
      </c>
      <c r="CY52" s="5">
        <f t="shared" si="218"/>
        <v>33.75</v>
      </c>
      <c r="CZ52" s="5">
        <f t="shared" si="219"/>
        <v>25.491329479768787</v>
      </c>
      <c r="DA52" s="6">
        <f t="shared" si="220"/>
        <v>54</v>
      </c>
      <c r="DB52" s="5">
        <f t="shared" si="221"/>
        <v>1.7557803468208093</v>
      </c>
      <c r="DC52" s="6">
        <f t="shared" si="222"/>
        <v>200</v>
      </c>
      <c r="DD52" s="5">
        <f t="shared" si="223"/>
        <v>6.5028901734104041</v>
      </c>
      <c r="DE52" s="6">
        <f t="shared" si="224"/>
        <v>141</v>
      </c>
      <c r="DF52" s="5">
        <f t="shared" si="225"/>
        <v>4.5845375722543356</v>
      </c>
      <c r="DG52" s="6">
        <f t="shared" si="226"/>
        <v>169</v>
      </c>
      <c r="DH52" s="5">
        <f t="shared" si="227"/>
        <v>5.4949421965317917</v>
      </c>
      <c r="DI52" s="5">
        <f t="shared" si="228"/>
        <v>17.600000000000001</v>
      </c>
      <c r="DJ52" s="5">
        <f t="shared" si="229"/>
        <v>312.5</v>
      </c>
      <c r="DK52" s="5">
        <f t="shared" si="230"/>
        <v>10.160765895953757</v>
      </c>
      <c r="DL52" s="286">
        <f t="shared" si="231"/>
        <v>239.89333333333335</v>
      </c>
      <c r="DM52" s="287">
        <f t="shared" si="232"/>
        <v>7.8</v>
      </c>
      <c r="DN52" s="60">
        <f t="shared" si="233"/>
        <v>6.8</v>
      </c>
      <c r="DO52"/>
      <c r="DP52" t="s">
        <v>1160</v>
      </c>
      <c r="DQ52" t="s">
        <v>1436</v>
      </c>
      <c r="DR52">
        <v>26</v>
      </c>
      <c r="DS52" t="s">
        <v>1437</v>
      </c>
      <c r="DT52" t="s">
        <v>696</v>
      </c>
      <c r="DU52" t="s">
        <v>1201</v>
      </c>
      <c r="DV52" t="s">
        <v>1202</v>
      </c>
      <c r="DW52" t="s">
        <v>1438</v>
      </c>
      <c r="DX52" s="430">
        <v>47118</v>
      </c>
      <c r="DY52">
        <v>2768</v>
      </c>
      <c r="DZ52" t="s">
        <v>1439</v>
      </c>
      <c r="EA52">
        <v>2</v>
      </c>
      <c r="EB52">
        <v>14</v>
      </c>
      <c r="EC52">
        <v>1</v>
      </c>
      <c r="ED52">
        <v>3</v>
      </c>
      <c r="EE52">
        <v>17.600000000000001</v>
      </c>
      <c r="EF52" t="s">
        <v>1440</v>
      </c>
      <c r="EG52" t="s">
        <v>1233</v>
      </c>
      <c r="EH52">
        <v>28</v>
      </c>
      <c r="EI52">
        <v>57</v>
      </c>
      <c r="EJ52">
        <v>831</v>
      </c>
      <c r="EK52">
        <v>727</v>
      </c>
      <c r="EL52">
        <v>32</v>
      </c>
      <c r="EM52">
        <v>22</v>
      </c>
      <c r="EN52">
        <v>21</v>
      </c>
      <c r="EO52">
        <v>106</v>
      </c>
      <c r="EP52">
        <v>53</v>
      </c>
      <c r="EQ52">
        <v>44</v>
      </c>
      <c r="ER52">
        <v>15</v>
      </c>
      <c r="ES52">
        <v>16</v>
      </c>
      <c r="ET52">
        <v>4</v>
      </c>
      <c r="EU52">
        <v>16</v>
      </c>
      <c r="EV52">
        <v>4</v>
      </c>
      <c r="EW52">
        <v>3</v>
      </c>
      <c r="EX52">
        <v>1.2</v>
      </c>
      <c r="EY52">
        <v>0</v>
      </c>
      <c r="EZ52">
        <v>0</v>
      </c>
      <c r="FA52">
        <v>0</v>
      </c>
      <c r="FB52">
        <v>7.8</v>
      </c>
      <c r="FC52" t="s">
        <v>1441</v>
      </c>
      <c r="FD52">
        <v>6.8</v>
      </c>
    </row>
    <row r="53" spans="1:160" ht="24.95" customHeight="1" thickBot="1" x14ac:dyDescent="0.3">
      <c r="A53" s="29" t="str">
        <f t="shared" si="0"/>
        <v>52º</v>
      </c>
      <c r="B53" s="67" t="str">
        <f t="shared" si="118"/>
        <v>Gonzalo Tapia</v>
      </c>
      <c r="C53" s="83" t="str">
        <f t="shared" si="119"/>
        <v>CHI</v>
      </c>
      <c r="D53" s="9" t="str">
        <f t="shared" si="120"/>
        <v>São Paulo</v>
      </c>
      <c r="E53" s="91" t="str">
        <f t="shared" si="121"/>
        <v>Pé Direito</v>
      </c>
      <c r="F53" s="155">
        <f t="shared" si="122"/>
        <v>1.78</v>
      </c>
      <c r="G53" s="35">
        <f t="shared" si="123"/>
        <v>47483</v>
      </c>
      <c r="H53" s="7">
        <f t="shared" si="124"/>
        <v>24</v>
      </c>
      <c r="I53" s="299" t="str">
        <f t="shared" si="125"/>
        <v>34,5m € - 48m € p/m</v>
      </c>
      <c r="J53" s="3" t="str">
        <f t="shared" si="126"/>
        <v>10,5M € - 12,5M €</v>
      </c>
      <c r="K53" s="89">
        <f t="shared" si="10"/>
        <v>31.398046398046404</v>
      </c>
      <c r="L53" s="133">
        <f t="shared" si="127"/>
        <v>24.622222222222224</v>
      </c>
      <c r="M53" s="134">
        <f t="shared" si="128"/>
        <v>40</v>
      </c>
      <c r="N53" s="134">
        <f t="shared" si="129"/>
        <v>55.4</v>
      </c>
      <c r="O53" s="173">
        <f t="shared" si="130"/>
        <v>0.68</v>
      </c>
      <c r="P53" s="402">
        <f t="shared" si="131"/>
        <v>7</v>
      </c>
      <c r="Q53" s="402">
        <f t="shared" si="132"/>
        <v>4</v>
      </c>
      <c r="R53" s="402">
        <f t="shared" si="133"/>
        <v>11</v>
      </c>
      <c r="S53" s="6">
        <f t="shared" si="134"/>
        <v>2</v>
      </c>
      <c r="T53" s="24">
        <f t="shared" si="135"/>
        <v>1108</v>
      </c>
      <c r="U53" s="21">
        <f t="shared" si="136"/>
        <v>8.1227436823104696E-2</v>
      </c>
      <c r="V53" s="298">
        <f t="shared" si="137"/>
        <v>0</v>
      </c>
      <c r="W53" s="300">
        <f t="shared" si="138"/>
        <v>0</v>
      </c>
      <c r="X53" s="298">
        <f t="shared" si="139"/>
        <v>0</v>
      </c>
      <c r="Y53" s="300">
        <f t="shared" si="140"/>
        <v>0</v>
      </c>
      <c r="Z53" s="290">
        <f t="shared" si="141"/>
        <v>0</v>
      </c>
      <c r="AA53" s="298">
        <f t="shared" si="142"/>
        <v>0</v>
      </c>
      <c r="AB53" s="286">
        <f t="shared" si="143"/>
        <v>0</v>
      </c>
      <c r="AC53" s="286">
        <f t="shared" si="144"/>
        <v>0</v>
      </c>
      <c r="AD53" s="286">
        <f t="shared" si="145"/>
        <v>0</v>
      </c>
      <c r="AE53" s="21">
        <f t="shared" si="146"/>
        <v>9.9999999999999995E-8</v>
      </c>
      <c r="AF53" s="421">
        <f t="shared" si="147"/>
        <v>7</v>
      </c>
      <c r="AG53" s="421">
        <f t="shared" si="148"/>
        <v>4</v>
      </c>
      <c r="AH53" s="421">
        <f t="shared" si="149"/>
        <v>11</v>
      </c>
      <c r="AI53" s="421">
        <f t="shared" si="150"/>
        <v>7</v>
      </c>
      <c r="AJ53" s="420">
        <f t="shared" si="151"/>
        <v>2</v>
      </c>
      <c r="AK53" s="422">
        <f t="shared" si="152"/>
        <v>0.28429602888086641</v>
      </c>
      <c r="AL53" s="422">
        <f t="shared" si="153"/>
        <v>0.16245487364620939</v>
      </c>
      <c r="AM53" s="422">
        <f t="shared" si="154"/>
        <v>0.44675090252707578</v>
      </c>
      <c r="AN53" s="5">
        <f t="shared" si="155"/>
        <v>8.75</v>
      </c>
      <c r="AO53" s="5">
        <f t="shared" si="156"/>
        <v>8.75</v>
      </c>
      <c r="AP53" s="5">
        <f t="shared" si="157"/>
        <v>0.35537003610108303</v>
      </c>
      <c r="AQ53" s="5">
        <f t="shared" si="158"/>
        <v>4.76</v>
      </c>
      <c r="AR53" s="5">
        <f t="shared" si="159"/>
        <v>0.19332129963898914</v>
      </c>
      <c r="AS53" s="5">
        <f t="shared" si="160"/>
        <v>13.51</v>
      </c>
      <c r="AT53" s="5">
        <f t="shared" si="161"/>
        <v>0.54869133574007212</v>
      </c>
      <c r="AU53" s="21">
        <f t="shared" si="162"/>
        <v>0.54337899543378998</v>
      </c>
      <c r="AV53" s="21">
        <f t="shared" si="163"/>
        <v>0.44444444444444442</v>
      </c>
      <c r="AW53" s="6">
        <f t="shared" si="164"/>
        <v>127</v>
      </c>
      <c r="AX53" s="6">
        <f t="shared" si="165"/>
        <v>13</v>
      </c>
      <c r="AY53" s="21">
        <f t="shared" si="166"/>
        <v>0.10236220472440945</v>
      </c>
      <c r="AZ53" s="304">
        <f t="shared" si="167"/>
        <v>125</v>
      </c>
      <c r="BA53" s="305">
        <f t="shared" si="168"/>
        <v>5.0767148014440426</v>
      </c>
      <c r="BB53" s="413">
        <f t="shared" si="169"/>
        <v>35.718999999999994</v>
      </c>
      <c r="BC53" s="413">
        <f t="shared" si="170"/>
        <v>1.4506814079422381</v>
      </c>
      <c r="BD53" s="6">
        <f t="shared" si="171"/>
        <v>1176</v>
      </c>
      <c r="BE53" s="5">
        <f t="shared" si="172"/>
        <v>47.761732851985556</v>
      </c>
      <c r="BF53" s="6">
        <f t="shared" si="173"/>
        <v>1022</v>
      </c>
      <c r="BG53" s="5">
        <f t="shared" si="174"/>
        <v>41.507220216606498</v>
      </c>
      <c r="BH53" s="21">
        <f t="shared" si="175"/>
        <v>0.86904761904761907</v>
      </c>
      <c r="BI53" s="417">
        <f t="shared" si="176"/>
        <v>154</v>
      </c>
      <c r="BJ53" s="418">
        <f t="shared" si="177"/>
        <v>6.2545126353790614</v>
      </c>
      <c r="BK53" s="195">
        <f t="shared" si="178"/>
        <v>99</v>
      </c>
      <c r="BL53" s="5">
        <f t="shared" si="179"/>
        <v>4.0207581227436817</v>
      </c>
      <c r="BM53" s="21">
        <f t="shared" si="180"/>
        <v>8.4183673469387751E-2</v>
      </c>
      <c r="BN53" s="195">
        <f t="shared" si="181"/>
        <v>42</v>
      </c>
      <c r="BO53" s="185">
        <f t="shared" si="182"/>
        <v>1.7057761732851984</v>
      </c>
      <c r="BP53" s="5">
        <f t="shared" si="183"/>
        <v>10.5</v>
      </c>
      <c r="BQ53" s="21">
        <f t="shared" si="184"/>
        <v>9.5238095238095233E-2</v>
      </c>
      <c r="BR53" s="5">
        <f t="shared" si="185"/>
        <v>0.75999999999999979</v>
      </c>
      <c r="BS53" s="5">
        <f t="shared" si="186"/>
        <v>0.11333333333333333</v>
      </c>
      <c r="BT53" s="24">
        <f t="shared" si="187"/>
        <v>52.761904761904759</v>
      </c>
      <c r="BU53" s="5">
        <f t="shared" si="188"/>
        <v>24.086956521739129</v>
      </c>
      <c r="BV53" s="5">
        <f t="shared" si="189"/>
        <v>-1.75</v>
      </c>
      <c r="BW53" s="5">
        <f t="shared" si="190"/>
        <v>-1.75</v>
      </c>
      <c r="BX53" s="6">
        <f t="shared" si="191"/>
        <v>78</v>
      </c>
      <c r="BY53" s="5">
        <f t="shared" si="192"/>
        <v>3.1678700361010828</v>
      </c>
      <c r="BZ53" s="6">
        <f t="shared" si="193"/>
        <v>37</v>
      </c>
      <c r="CA53" s="5">
        <f t="shared" si="194"/>
        <v>1.5027075812274366</v>
      </c>
      <c r="CB53" s="6">
        <f t="shared" si="195"/>
        <v>41</v>
      </c>
      <c r="CC53" s="5">
        <f t="shared" si="196"/>
        <v>1.6651624548736461</v>
      </c>
      <c r="CD53" s="5">
        <f t="shared" si="197"/>
        <v>1.6651624548736461</v>
      </c>
      <c r="CE53" s="21">
        <f t="shared" si="198"/>
        <v>0.52564102564102566</v>
      </c>
      <c r="CF53" s="5">
        <f t="shared" si="199"/>
        <v>11.142857142857142</v>
      </c>
      <c r="CG53" s="5">
        <f t="shared" si="200"/>
        <v>5.8571428571428568</v>
      </c>
      <c r="CH53" s="21">
        <f t="shared" si="201"/>
        <v>8.9743589743589744E-2</v>
      </c>
      <c r="CI53" s="298">
        <f t="shared" si="202"/>
        <v>5</v>
      </c>
      <c r="CJ53" s="298">
        <f t="shared" si="203"/>
        <v>2</v>
      </c>
      <c r="CK53" s="298">
        <f t="shared" si="204"/>
        <v>0</v>
      </c>
      <c r="CL53" s="21">
        <f t="shared" si="205"/>
        <v>6.7689530685920582E-2</v>
      </c>
      <c r="CM53" s="6">
        <f t="shared" si="206"/>
        <v>19.100000000000001</v>
      </c>
      <c r="CN53" s="5">
        <f t="shared" si="207"/>
        <v>0.77572202166064985</v>
      </c>
      <c r="CO53" s="167">
        <f t="shared" si="208"/>
        <v>372</v>
      </c>
      <c r="CP53" s="5">
        <f t="shared" si="209"/>
        <v>15.108303249097473</v>
      </c>
      <c r="CQ53" s="6">
        <f t="shared" si="210"/>
        <v>221</v>
      </c>
      <c r="CR53" s="5">
        <f t="shared" si="211"/>
        <v>8.9756317689530682</v>
      </c>
      <c r="CS53" s="21">
        <f t="shared" si="212"/>
        <v>0.59408602150537637</v>
      </c>
      <c r="CT53" s="6">
        <f t="shared" si="213"/>
        <v>117.25999999999999</v>
      </c>
      <c r="CU53" s="5">
        <f t="shared" si="214"/>
        <v>4.7623646209386274</v>
      </c>
      <c r="CV53" s="6">
        <f t="shared" si="215"/>
        <v>118.00999999999999</v>
      </c>
      <c r="CW53" s="5">
        <f t="shared" si="216"/>
        <v>4.7928249097472921</v>
      </c>
      <c r="CX53" s="385">
        <f t="shared" si="217"/>
        <v>19.083167870036103</v>
      </c>
      <c r="CY53" s="5">
        <f t="shared" si="218"/>
        <v>65.875451263537897</v>
      </c>
      <c r="CZ53" s="5">
        <f t="shared" si="219"/>
        <v>47.599277978339344</v>
      </c>
      <c r="DA53" s="6">
        <f t="shared" si="220"/>
        <v>141</v>
      </c>
      <c r="DB53" s="5">
        <f t="shared" si="221"/>
        <v>5.7265342960288805</v>
      </c>
      <c r="DC53" s="6">
        <f t="shared" si="222"/>
        <v>480</v>
      </c>
      <c r="DD53" s="5">
        <f t="shared" si="223"/>
        <v>19.494584837545126</v>
      </c>
      <c r="DE53" s="6">
        <f t="shared" si="224"/>
        <v>129</v>
      </c>
      <c r="DF53" s="5">
        <f t="shared" si="225"/>
        <v>5.2391696750902526</v>
      </c>
      <c r="DG53" s="6">
        <f t="shared" si="226"/>
        <v>305</v>
      </c>
      <c r="DH53" s="5">
        <f t="shared" si="227"/>
        <v>12.387184115523466</v>
      </c>
      <c r="DI53" s="5">
        <f t="shared" si="228"/>
        <v>19.100000000000001</v>
      </c>
      <c r="DJ53" s="5">
        <f t="shared" si="229"/>
        <v>300.7</v>
      </c>
      <c r="DK53" s="5">
        <f t="shared" si="230"/>
        <v>12.21254512635379</v>
      </c>
      <c r="DL53" s="286">
        <f t="shared" si="231"/>
        <v>376.72</v>
      </c>
      <c r="DM53" s="287">
        <f t="shared" si="232"/>
        <v>15.3</v>
      </c>
      <c r="DN53" s="60">
        <f t="shared" si="233"/>
        <v>6.89</v>
      </c>
      <c r="DO53" t="s">
        <v>888</v>
      </c>
      <c r="DP53" t="s">
        <v>1160</v>
      </c>
      <c r="DQ53" t="s">
        <v>1442</v>
      </c>
      <c r="DR53">
        <v>24</v>
      </c>
      <c r="DS53" t="s">
        <v>1443</v>
      </c>
      <c r="DT53" t="s">
        <v>524</v>
      </c>
      <c r="DU53" t="s">
        <v>573</v>
      </c>
      <c r="DV53" t="s">
        <v>1444</v>
      </c>
      <c r="DW53" t="s">
        <v>1445</v>
      </c>
      <c r="DX53" s="430">
        <v>47483</v>
      </c>
      <c r="DY53">
        <v>2216</v>
      </c>
      <c r="DZ53" t="s">
        <v>1446</v>
      </c>
      <c r="EA53">
        <v>2</v>
      </c>
      <c r="EB53">
        <v>7</v>
      </c>
      <c r="EC53">
        <v>4</v>
      </c>
      <c r="ED53">
        <v>9</v>
      </c>
      <c r="EE53">
        <v>19.100000000000001</v>
      </c>
      <c r="EF53" t="s">
        <v>1447</v>
      </c>
      <c r="EG53" t="s">
        <v>1448</v>
      </c>
      <c r="EH53">
        <v>23</v>
      </c>
      <c r="EI53">
        <v>50</v>
      </c>
      <c r="EJ53">
        <v>1176</v>
      </c>
      <c r="EK53">
        <v>1022</v>
      </c>
      <c r="EL53">
        <v>42</v>
      </c>
      <c r="EM53">
        <v>99</v>
      </c>
      <c r="EN53">
        <v>125</v>
      </c>
      <c r="EO53">
        <v>78</v>
      </c>
      <c r="EP53">
        <v>41</v>
      </c>
      <c r="EQ53">
        <v>310</v>
      </c>
      <c r="ER53">
        <v>67</v>
      </c>
      <c r="ES53">
        <v>127</v>
      </c>
      <c r="ET53">
        <v>13</v>
      </c>
      <c r="EU53">
        <v>127</v>
      </c>
      <c r="EV53">
        <v>13</v>
      </c>
      <c r="EW53">
        <v>2</v>
      </c>
      <c r="EX53">
        <v>1.2</v>
      </c>
      <c r="EY53">
        <v>0</v>
      </c>
      <c r="EZ53">
        <v>0</v>
      </c>
      <c r="FA53">
        <v>0</v>
      </c>
      <c r="FB53">
        <v>15.3</v>
      </c>
      <c r="FC53" t="s">
        <v>1449</v>
      </c>
      <c r="FD53">
        <v>6.89</v>
      </c>
    </row>
    <row r="54" spans="1:160" ht="24.95" customHeight="1" thickBot="1" x14ac:dyDescent="0.3">
      <c r="A54" s="29" t="str">
        <f t="shared" si="0"/>
        <v>53º</v>
      </c>
      <c r="B54" s="67" t="str">
        <f t="shared" si="118"/>
        <v>Bruno Barticciotto</v>
      </c>
      <c r="C54" s="83" t="str">
        <f t="shared" si="119"/>
        <v>CHI</v>
      </c>
      <c r="D54" s="9" t="str">
        <f t="shared" si="120"/>
        <v>Talleres</v>
      </c>
      <c r="E54" s="91" t="str">
        <f t="shared" si="121"/>
        <v>Pé Direito</v>
      </c>
      <c r="F54" s="155">
        <f t="shared" si="122"/>
        <v>1.77</v>
      </c>
      <c r="G54" s="35">
        <f t="shared" si="123"/>
        <v>47483</v>
      </c>
      <c r="H54" s="7">
        <f t="shared" si="124"/>
        <v>25</v>
      </c>
      <c r="I54" s="299" t="str">
        <f t="shared" si="125"/>
        <v>42,5m € - 66m € p/m</v>
      </c>
      <c r="J54" s="3" t="str">
        <f t="shared" si="126"/>
        <v>7,2M € - 12M €</v>
      </c>
      <c r="K54" s="89">
        <f t="shared" si="10"/>
        <v>31.398046398046404</v>
      </c>
      <c r="L54" s="133">
        <f t="shared" si="127"/>
        <v>31.977777777777778</v>
      </c>
      <c r="M54" s="134">
        <f t="shared" si="128"/>
        <v>39</v>
      </c>
      <c r="N54" s="134">
        <f t="shared" si="129"/>
        <v>73.794871794871796</v>
      </c>
      <c r="O54" s="173">
        <f t="shared" si="130"/>
        <v>0.97</v>
      </c>
      <c r="P54" s="402">
        <f t="shared" si="131"/>
        <v>13</v>
      </c>
      <c r="Q54" s="402">
        <f t="shared" si="132"/>
        <v>2</v>
      </c>
      <c r="R54" s="402">
        <f t="shared" si="133"/>
        <v>15</v>
      </c>
      <c r="S54" s="6">
        <f t="shared" si="134"/>
        <v>0</v>
      </c>
      <c r="T54" s="24">
        <f t="shared" si="135"/>
        <v>5000</v>
      </c>
      <c r="U54" s="21">
        <f t="shared" si="136"/>
        <v>0</v>
      </c>
      <c r="V54" s="298">
        <f t="shared" si="137"/>
        <v>0</v>
      </c>
      <c r="W54" s="300">
        <f t="shared" si="138"/>
        <v>0</v>
      </c>
      <c r="X54" s="298">
        <f t="shared" si="139"/>
        <v>0</v>
      </c>
      <c r="Y54" s="300">
        <f t="shared" si="140"/>
        <v>0</v>
      </c>
      <c r="Z54" s="290">
        <f t="shared" si="141"/>
        <v>0</v>
      </c>
      <c r="AA54" s="298">
        <f t="shared" si="142"/>
        <v>0</v>
      </c>
      <c r="AB54" s="286">
        <f t="shared" si="143"/>
        <v>0</v>
      </c>
      <c r="AC54" s="286">
        <f t="shared" si="144"/>
        <v>0</v>
      </c>
      <c r="AD54" s="286">
        <f t="shared" si="145"/>
        <v>0</v>
      </c>
      <c r="AE54" s="21">
        <f t="shared" si="146"/>
        <v>9.9999999999999995E-8</v>
      </c>
      <c r="AF54" s="421">
        <f t="shared" si="147"/>
        <v>13</v>
      </c>
      <c r="AG54" s="421">
        <f t="shared" si="148"/>
        <v>2</v>
      </c>
      <c r="AH54" s="421">
        <f t="shared" si="149"/>
        <v>15</v>
      </c>
      <c r="AI54" s="421">
        <f t="shared" si="150"/>
        <v>13</v>
      </c>
      <c r="AJ54" s="420">
        <f t="shared" si="151"/>
        <v>2</v>
      </c>
      <c r="AK54" s="422">
        <f t="shared" si="152"/>
        <v>0.40653231410701879</v>
      </c>
      <c r="AL54" s="422">
        <f t="shared" si="153"/>
        <v>6.2543432939541344E-2</v>
      </c>
      <c r="AM54" s="422">
        <f t="shared" si="154"/>
        <v>0.46907574704656013</v>
      </c>
      <c r="AN54" s="5">
        <f t="shared" si="155"/>
        <v>9.67</v>
      </c>
      <c r="AO54" s="5">
        <f t="shared" si="156"/>
        <v>9.67</v>
      </c>
      <c r="AP54" s="5">
        <f t="shared" si="157"/>
        <v>0.30239749826268242</v>
      </c>
      <c r="AQ54" s="5">
        <f t="shared" si="158"/>
        <v>2.68</v>
      </c>
      <c r="AR54" s="5">
        <f t="shared" si="159"/>
        <v>8.3808200138985406E-2</v>
      </c>
      <c r="AS54" s="5">
        <f t="shared" si="160"/>
        <v>12.35</v>
      </c>
      <c r="AT54" s="5">
        <f t="shared" si="161"/>
        <v>0.3862056984016678</v>
      </c>
      <c r="AU54" s="21">
        <f t="shared" si="162"/>
        <v>0.57264957264957272</v>
      </c>
      <c r="AV54" s="21">
        <f t="shared" si="163"/>
        <v>0.57344508160564622</v>
      </c>
      <c r="AW54" s="6">
        <f t="shared" si="164"/>
        <v>10</v>
      </c>
      <c r="AX54" s="6">
        <f t="shared" si="165"/>
        <v>4</v>
      </c>
      <c r="AY54" s="21">
        <f t="shared" si="166"/>
        <v>0.4</v>
      </c>
      <c r="AZ54" s="304">
        <f t="shared" si="167"/>
        <v>28</v>
      </c>
      <c r="BA54" s="305">
        <f t="shared" si="168"/>
        <v>0.87560806115357892</v>
      </c>
      <c r="BB54" s="413">
        <f t="shared" si="169"/>
        <v>13.556999999999997</v>
      </c>
      <c r="BC54" s="413">
        <f t="shared" si="170"/>
        <v>0.423950660180681</v>
      </c>
      <c r="BD54" s="6">
        <f t="shared" si="171"/>
        <v>984</v>
      </c>
      <c r="BE54" s="5">
        <f t="shared" si="172"/>
        <v>30.771369006254343</v>
      </c>
      <c r="BF54" s="6">
        <f t="shared" si="173"/>
        <v>871</v>
      </c>
      <c r="BG54" s="5">
        <f t="shared" si="174"/>
        <v>27.237665045170257</v>
      </c>
      <c r="BH54" s="21">
        <f t="shared" si="175"/>
        <v>0.88516260162601623</v>
      </c>
      <c r="BI54" s="417">
        <f t="shared" si="176"/>
        <v>113</v>
      </c>
      <c r="BJ54" s="418">
        <f t="shared" si="177"/>
        <v>3.5337039610840861</v>
      </c>
      <c r="BK54" s="195">
        <f t="shared" si="178"/>
        <v>25</v>
      </c>
      <c r="BL54" s="5">
        <f t="shared" si="179"/>
        <v>0.78179291174426691</v>
      </c>
      <c r="BM54" s="21">
        <f t="shared" si="180"/>
        <v>2.540650406504065E-2</v>
      </c>
      <c r="BN54" s="195">
        <f t="shared" si="181"/>
        <v>31</v>
      </c>
      <c r="BO54" s="185">
        <f t="shared" si="182"/>
        <v>0.96942321056289094</v>
      </c>
      <c r="BP54" s="5">
        <f t="shared" si="183"/>
        <v>15.5</v>
      </c>
      <c r="BQ54" s="21">
        <f t="shared" si="184"/>
        <v>6.4516129032258063E-2</v>
      </c>
      <c r="BR54" s="5">
        <f t="shared" si="185"/>
        <v>0.68000000000000016</v>
      </c>
      <c r="BS54" s="5">
        <f t="shared" si="186"/>
        <v>8.6451612903225811E-2</v>
      </c>
      <c r="BT54" s="24">
        <f t="shared" si="187"/>
        <v>92.838709677419359</v>
      </c>
      <c r="BU54" s="5">
        <f t="shared" si="188"/>
        <v>38.373333333333335</v>
      </c>
      <c r="BV54" s="5">
        <f t="shared" si="189"/>
        <v>3.33</v>
      </c>
      <c r="BW54" s="5">
        <f t="shared" si="190"/>
        <v>3.33</v>
      </c>
      <c r="BX54" s="6">
        <f t="shared" si="191"/>
        <v>73</v>
      </c>
      <c r="BY54" s="5">
        <f t="shared" si="192"/>
        <v>2.2828353022932593</v>
      </c>
      <c r="BZ54" s="6">
        <f t="shared" si="193"/>
        <v>34</v>
      </c>
      <c r="CA54" s="5">
        <f t="shared" si="194"/>
        <v>1.0632383599722028</v>
      </c>
      <c r="CB54" s="6">
        <f t="shared" si="195"/>
        <v>39</v>
      </c>
      <c r="CC54" s="5">
        <f t="shared" si="196"/>
        <v>1.2195969423210562</v>
      </c>
      <c r="CD54" s="5">
        <f t="shared" si="197"/>
        <v>1.2195969423210562</v>
      </c>
      <c r="CE54" s="21">
        <f t="shared" si="198"/>
        <v>0.53424657534246578</v>
      </c>
      <c r="CF54" s="5">
        <f t="shared" si="199"/>
        <v>5.615384615384615</v>
      </c>
      <c r="CG54" s="5">
        <f t="shared" si="200"/>
        <v>3</v>
      </c>
      <c r="CH54" s="21">
        <f t="shared" si="201"/>
        <v>0.17808219178082191</v>
      </c>
      <c r="CI54" s="298">
        <f t="shared" si="202"/>
        <v>11</v>
      </c>
      <c r="CJ54" s="298">
        <f t="shared" si="203"/>
        <v>2</v>
      </c>
      <c r="CK54" s="298">
        <f t="shared" si="204"/>
        <v>0</v>
      </c>
      <c r="CL54" s="21">
        <f t="shared" si="205"/>
        <v>8.9347761342201931E-2</v>
      </c>
      <c r="CM54" s="6">
        <f t="shared" si="206"/>
        <v>16.100000000000001</v>
      </c>
      <c r="CN54" s="5">
        <f t="shared" si="207"/>
        <v>0.50347463516330793</v>
      </c>
      <c r="CO54" s="167">
        <f t="shared" si="208"/>
        <v>142</v>
      </c>
      <c r="CP54" s="5">
        <f t="shared" si="209"/>
        <v>4.4405837387074358</v>
      </c>
      <c r="CQ54" s="6">
        <f t="shared" si="210"/>
        <v>102</v>
      </c>
      <c r="CR54" s="5">
        <f t="shared" si="211"/>
        <v>3.189715079916609</v>
      </c>
      <c r="CS54" s="21">
        <f t="shared" si="212"/>
        <v>0.71830985915492962</v>
      </c>
      <c r="CT54" s="6">
        <f t="shared" si="213"/>
        <v>91.18</v>
      </c>
      <c r="CU54" s="5">
        <f t="shared" si="214"/>
        <v>2.8513551077136903</v>
      </c>
      <c r="CV54" s="6">
        <f t="shared" si="215"/>
        <v>92.93</v>
      </c>
      <c r="CW54" s="5">
        <f t="shared" si="216"/>
        <v>2.9060806115357889</v>
      </c>
      <c r="CX54" s="385">
        <f t="shared" si="217"/>
        <v>7.6461223071577491</v>
      </c>
      <c r="CY54" s="5">
        <f t="shared" si="218"/>
        <v>36.619179986101457</v>
      </c>
      <c r="CZ54" s="5">
        <f t="shared" si="219"/>
        <v>29.145239749826267</v>
      </c>
      <c r="DA54" s="6">
        <f t="shared" si="220"/>
        <v>56</v>
      </c>
      <c r="DB54" s="5">
        <f t="shared" si="221"/>
        <v>1.7512161223071578</v>
      </c>
      <c r="DC54" s="6">
        <f t="shared" si="222"/>
        <v>172</v>
      </c>
      <c r="DD54" s="5">
        <f t="shared" si="223"/>
        <v>5.3787352328005555</v>
      </c>
      <c r="DE54" s="6">
        <f t="shared" si="224"/>
        <v>109</v>
      </c>
      <c r="DF54" s="5">
        <f t="shared" si="225"/>
        <v>3.4086170952050034</v>
      </c>
      <c r="DG54" s="6">
        <f t="shared" si="226"/>
        <v>153</v>
      </c>
      <c r="DH54" s="5">
        <f t="shared" si="227"/>
        <v>4.784572619874913</v>
      </c>
      <c r="DI54" s="5">
        <f t="shared" si="228"/>
        <v>16.100000000000001</v>
      </c>
      <c r="DJ54" s="5">
        <f t="shared" si="229"/>
        <v>323.10000000000002</v>
      </c>
      <c r="DK54" s="5">
        <f t="shared" si="230"/>
        <v>10.103891591382906</v>
      </c>
      <c r="DL54" s="286">
        <f t="shared" si="231"/>
        <v>268.61333333333334</v>
      </c>
      <c r="DM54" s="287">
        <f t="shared" si="232"/>
        <v>8.4</v>
      </c>
      <c r="DN54" s="60">
        <f t="shared" si="233"/>
        <v>6.87</v>
      </c>
      <c r="DO54"/>
      <c r="DP54" t="s">
        <v>1160</v>
      </c>
      <c r="DQ54" t="s">
        <v>1450</v>
      </c>
      <c r="DR54">
        <v>25</v>
      </c>
      <c r="DS54" t="s">
        <v>1451</v>
      </c>
      <c r="DT54" t="s">
        <v>605</v>
      </c>
      <c r="DU54" t="s">
        <v>573</v>
      </c>
      <c r="DV54" t="s">
        <v>1452</v>
      </c>
      <c r="DW54" t="s">
        <v>1453</v>
      </c>
      <c r="DX54" s="430">
        <v>47483</v>
      </c>
      <c r="DY54">
        <v>2878</v>
      </c>
      <c r="DZ54" t="s">
        <v>1195</v>
      </c>
      <c r="EA54">
        <v>0</v>
      </c>
      <c r="EB54">
        <v>13</v>
      </c>
      <c r="EC54">
        <v>2</v>
      </c>
      <c r="ED54">
        <v>5</v>
      </c>
      <c r="EE54">
        <v>16.100000000000001</v>
      </c>
      <c r="EF54" t="s">
        <v>1454</v>
      </c>
      <c r="EG54" t="s">
        <v>1227</v>
      </c>
      <c r="EH54">
        <v>30</v>
      </c>
      <c r="EI54">
        <v>64</v>
      </c>
      <c r="EJ54">
        <v>984</v>
      </c>
      <c r="EK54">
        <v>871</v>
      </c>
      <c r="EL54">
        <v>31</v>
      </c>
      <c r="EM54">
        <v>25</v>
      </c>
      <c r="EN54">
        <v>28</v>
      </c>
      <c r="EO54">
        <v>73</v>
      </c>
      <c r="EP54">
        <v>39</v>
      </c>
      <c r="EQ54">
        <v>51</v>
      </c>
      <c r="ER54">
        <v>17</v>
      </c>
      <c r="ES54">
        <v>10</v>
      </c>
      <c r="ET54">
        <v>4</v>
      </c>
      <c r="EU54">
        <v>10</v>
      </c>
      <c r="EV54">
        <v>4</v>
      </c>
      <c r="EW54">
        <v>2</v>
      </c>
      <c r="EX54">
        <v>0.7</v>
      </c>
      <c r="EY54">
        <v>0</v>
      </c>
      <c r="EZ54">
        <v>0</v>
      </c>
      <c r="FA54">
        <v>0</v>
      </c>
      <c r="FB54">
        <v>8.4</v>
      </c>
      <c r="FC54" t="s">
        <v>1455</v>
      </c>
      <c r="FD54">
        <v>6.87</v>
      </c>
    </row>
    <row r="55" spans="1:160" ht="24.95" customHeight="1" thickBot="1" x14ac:dyDescent="0.3">
      <c r="A55" s="29" t="str">
        <f t="shared" si="0"/>
        <v>54º</v>
      </c>
      <c r="B55" s="67" t="str">
        <f t="shared" si="118"/>
        <v>Mauro Manotas</v>
      </c>
      <c r="C55" s="83" t="str">
        <f t="shared" si="119"/>
        <v>COL</v>
      </c>
      <c r="D55" s="9" t="str">
        <f t="shared" si="120"/>
        <v>Real Cartagena</v>
      </c>
      <c r="E55" s="91" t="str">
        <f t="shared" si="121"/>
        <v>Pé Direito</v>
      </c>
      <c r="F55" s="155">
        <f t="shared" si="122"/>
        <v>1.82</v>
      </c>
      <c r="G55" s="35">
        <f t="shared" si="123"/>
        <v>46568</v>
      </c>
      <c r="H55" s="7">
        <f t="shared" si="124"/>
        <v>31</v>
      </c>
      <c r="I55" s="299" t="str">
        <f t="shared" si="125"/>
        <v>18,25m € - 27,5m € p/m</v>
      </c>
      <c r="J55" s="3" t="str">
        <f t="shared" si="126"/>
        <v>14m € - 130m €</v>
      </c>
      <c r="K55" s="89">
        <f t="shared" si="10"/>
        <v>31.398046398046404</v>
      </c>
      <c r="L55" s="133">
        <f t="shared" si="127"/>
        <v>25</v>
      </c>
      <c r="M55" s="134">
        <f t="shared" si="128"/>
        <v>47</v>
      </c>
      <c r="N55" s="134">
        <f t="shared" si="129"/>
        <v>47.872340425531917</v>
      </c>
      <c r="O55" s="173">
        <f t="shared" si="130"/>
        <v>0.36</v>
      </c>
      <c r="P55" s="402">
        <f t="shared" si="131"/>
        <v>10</v>
      </c>
      <c r="Q55" s="402">
        <f t="shared" si="132"/>
        <v>2</v>
      </c>
      <c r="R55" s="402">
        <f t="shared" si="133"/>
        <v>12</v>
      </c>
      <c r="S55" s="6">
        <f t="shared" si="134"/>
        <v>0</v>
      </c>
      <c r="T55" s="24">
        <f t="shared" si="135"/>
        <v>5000</v>
      </c>
      <c r="U55" s="21">
        <f t="shared" si="136"/>
        <v>0</v>
      </c>
      <c r="V55" s="298">
        <f t="shared" si="137"/>
        <v>0</v>
      </c>
      <c r="W55" s="300">
        <f t="shared" si="138"/>
        <v>0</v>
      </c>
      <c r="X55" s="298">
        <f t="shared" si="139"/>
        <v>0</v>
      </c>
      <c r="Y55" s="300">
        <f t="shared" si="140"/>
        <v>0</v>
      </c>
      <c r="Z55" s="290">
        <f t="shared" si="141"/>
        <v>0</v>
      </c>
      <c r="AA55" s="298">
        <f t="shared" si="142"/>
        <v>0</v>
      </c>
      <c r="AB55" s="286">
        <f t="shared" si="143"/>
        <v>0</v>
      </c>
      <c r="AC55" s="286">
        <f t="shared" si="144"/>
        <v>0</v>
      </c>
      <c r="AD55" s="286">
        <f t="shared" si="145"/>
        <v>0</v>
      </c>
      <c r="AE55" s="21">
        <f t="shared" si="146"/>
        <v>9.9999999999999995E-8</v>
      </c>
      <c r="AF55" s="421">
        <f t="shared" si="147"/>
        <v>10</v>
      </c>
      <c r="AG55" s="421">
        <f t="shared" si="148"/>
        <v>2</v>
      </c>
      <c r="AH55" s="421">
        <f t="shared" si="149"/>
        <v>12</v>
      </c>
      <c r="AI55" s="421">
        <f t="shared" si="150"/>
        <v>10</v>
      </c>
      <c r="AJ55" s="420">
        <f t="shared" si="151"/>
        <v>2</v>
      </c>
      <c r="AK55" s="422">
        <f t="shared" si="152"/>
        <v>0.4</v>
      </c>
      <c r="AL55" s="422">
        <f t="shared" si="153"/>
        <v>0.08</v>
      </c>
      <c r="AM55" s="422">
        <f t="shared" si="154"/>
        <v>0.48</v>
      </c>
      <c r="AN55" s="5">
        <f t="shared" si="155"/>
        <v>10.95</v>
      </c>
      <c r="AO55" s="5">
        <f t="shared" si="156"/>
        <v>10.95</v>
      </c>
      <c r="AP55" s="5">
        <f t="shared" si="157"/>
        <v>0.43799999999999994</v>
      </c>
      <c r="AQ55" s="5">
        <f t="shared" si="158"/>
        <v>1.18</v>
      </c>
      <c r="AR55" s="5">
        <f t="shared" si="159"/>
        <v>4.7199999999999999E-2</v>
      </c>
      <c r="AS55" s="5">
        <f t="shared" si="160"/>
        <v>12.129999999999999</v>
      </c>
      <c r="AT55" s="5">
        <f t="shared" si="161"/>
        <v>0.48519999999999996</v>
      </c>
      <c r="AU55" s="21">
        <f t="shared" si="162"/>
        <v>0.37106918238993714</v>
      </c>
      <c r="AV55" s="21">
        <f t="shared" si="163"/>
        <v>0.47732696897374705</v>
      </c>
      <c r="AW55" s="6">
        <f t="shared" si="164"/>
        <v>33</v>
      </c>
      <c r="AX55" s="6">
        <f t="shared" si="165"/>
        <v>12</v>
      </c>
      <c r="AY55" s="21">
        <f t="shared" si="166"/>
        <v>0.36363636363636365</v>
      </c>
      <c r="AZ55" s="304">
        <f t="shared" si="167"/>
        <v>44</v>
      </c>
      <c r="BA55" s="305">
        <f t="shared" si="168"/>
        <v>1.76</v>
      </c>
      <c r="BB55" s="413">
        <f t="shared" si="169"/>
        <v>15.432</v>
      </c>
      <c r="BC55" s="413">
        <f t="shared" si="170"/>
        <v>0.61728000000000005</v>
      </c>
      <c r="BD55" s="6">
        <f t="shared" si="171"/>
        <v>851</v>
      </c>
      <c r="BE55" s="5">
        <f t="shared" si="172"/>
        <v>34.04</v>
      </c>
      <c r="BF55" s="6">
        <f t="shared" si="173"/>
        <v>748</v>
      </c>
      <c r="BG55" s="5">
        <f t="shared" si="174"/>
        <v>29.92</v>
      </c>
      <c r="BH55" s="21">
        <f t="shared" si="175"/>
        <v>0.87896592244418337</v>
      </c>
      <c r="BI55" s="417">
        <f t="shared" si="176"/>
        <v>103</v>
      </c>
      <c r="BJ55" s="418">
        <f t="shared" si="177"/>
        <v>4.12</v>
      </c>
      <c r="BK55" s="195">
        <f t="shared" si="178"/>
        <v>42</v>
      </c>
      <c r="BL55" s="5">
        <f t="shared" si="179"/>
        <v>1.68</v>
      </c>
      <c r="BM55" s="21">
        <f t="shared" si="180"/>
        <v>4.935370152761457E-2</v>
      </c>
      <c r="BN55" s="195">
        <f t="shared" si="181"/>
        <v>25</v>
      </c>
      <c r="BO55" s="185">
        <f t="shared" si="182"/>
        <v>1</v>
      </c>
      <c r="BP55" s="5">
        <f t="shared" si="183"/>
        <v>12.5</v>
      </c>
      <c r="BQ55" s="21">
        <f t="shared" si="184"/>
        <v>0.08</v>
      </c>
      <c r="BR55" s="5">
        <f t="shared" si="185"/>
        <v>-0.82000000000000006</v>
      </c>
      <c r="BS55" s="5">
        <f t="shared" si="186"/>
        <v>4.7199999999999999E-2</v>
      </c>
      <c r="BT55" s="24">
        <f t="shared" si="187"/>
        <v>90</v>
      </c>
      <c r="BU55" s="5">
        <f t="shared" si="188"/>
        <v>35.714285714285715</v>
      </c>
      <c r="BV55" s="5">
        <f t="shared" si="189"/>
        <v>-0.94999999999999929</v>
      </c>
      <c r="BW55" s="5">
        <f t="shared" si="190"/>
        <v>-0.94999999999999929</v>
      </c>
      <c r="BX55" s="6">
        <f t="shared" si="191"/>
        <v>85</v>
      </c>
      <c r="BY55" s="5">
        <f t="shared" si="192"/>
        <v>3.4</v>
      </c>
      <c r="BZ55" s="6">
        <f t="shared" si="193"/>
        <v>51</v>
      </c>
      <c r="CA55" s="5">
        <f t="shared" si="194"/>
        <v>2.04</v>
      </c>
      <c r="CB55" s="6">
        <f t="shared" si="195"/>
        <v>34</v>
      </c>
      <c r="CC55" s="5">
        <f t="shared" si="196"/>
        <v>1.36</v>
      </c>
      <c r="CD55" s="5">
        <f t="shared" si="197"/>
        <v>1.36</v>
      </c>
      <c r="CE55" s="21">
        <f t="shared" si="198"/>
        <v>0.4</v>
      </c>
      <c r="CF55" s="5">
        <f t="shared" si="199"/>
        <v>8.5</v>
      </c>
      <c r="CG55" s="5">
        <f t="shared" si="200"/>
        <v>3.4</v>
      </c>
      <c r="CH55" s="21">
        <f t="shared" si="201"/>
        <v>0.11764705882352941</v>
      </c>
      <c r="CI55" s="298">
        <f t="shared" si="202"/>
        <v>8</v>
      </c>
      <c r="CJ55" s="298">
        <f t="shared" si="203"/>
        <v>2</v>
      </c>
      <c r="CK55" s="298">
        <f t="shared" si="204"/>
        <v>0</v>
      </c>
      <c r="CL55" s="21">
        <f t="shared" si="205"/>
        <v>7.2727272727272724E-2</v>
      </c>
      <c r="CM55" s="6">
        <f t="shared" si="206"/>
        <v>20.100000000000001</v>
      </c>
      <c r="CN55" s="5">
        <f t="shared" si="207"/>
        <v>0.80400000000000005</v>
      </c>
      <c r="CO55" s="167">
        <f t="shared" si="208"/>
        <v>187</v>
      </c>
      <c r="CP55" s="5">
        <f t="shared" si="209"/>
        <v>7.48</v>
      </c>
      <c r="CQ55" s="6">
        <f t="shared" si="210"/>
        <v>115</v>
      </c>
      <c r="CR55" s="5">
        <f t="shared" si="211"/>
        <v>4.5999999999999996</v>
      </c>
      <c r="CS55" s="21">
        <f t="shared" si="212"/>
        <v>0.61497326203208558</v>
      </c>
      <c r="CT55" s="6">
        <f t="shared" si="213"/>
        <v>84.18</v>
      </c>
      <c r="CU55" s="5">
        <f t="shared" si="214"/>
        <v>3.3672000000000004</v>
      </c>
      <c r="CV55" s="6">
        <f t="shared" si="215"/>
        <v>85.18</v>
      </c>
      <c r="CW55" s="5">
        <f t="shared" si="216"/>
        <v>3.4072000000000005</v>
      </c>
      <c r="CX55" s="385">
        <f t="shared" si="217"/>
        <v>10.736800000000001</v>
      </c>
      <c r="CY55" s="5">
        <f t="shared" si="218"/>
        <v>44.44</v>
      </c>
      <c r="CZ55" s="5">
        <f t="shared" si="219"/>
        <v>32.76</v>
      </c>
      <c r="DA55" s="6">
        <f t="shared" si="220"/>
        <v>67</v>
      </c>
      <c r="DB55" s="5">
        <f t="shared" si="221"/>
        <v>2.68</v>
      </c>
      <c r="DC55" s="6">
        <f t="shared" si="222"/>
        <v>233</v>
      </c>
      <c r="DD55" s="5">
        <f t="shared" si="223"/>
        <v>9.32</v>
      </c>
      <c r="DE55" s="6">
        <f t="shared" si="224"/>
        <v>114</v>
      </c>
      <c r="DF55" s="5">
        <f t="shared" si="225"/>
        <v>4.5599999999999996</v>
      </c>
      <c r="DG55" s="6">
        <f t="shared" si="226"/>
        <v>175</v>
      </c>
      <c r="DH55" s="5">
        <f t="shared" si="227"/>
        <v>7</v>
      </c>
      <c r="DI55" s="5">
        <f t="shared" si="228"/>
        <v>20.100000000000001</v>
      </c>
      <c r="DJ55" s="5">
        <f t="shared" si="229"/>
        <v>269.8</v>
      </c>
      <c r="DK55" s="5">
        <f t="shared" si="230"/>
        <v>10.792</v>
      </c>
      <c r="DL55" s="286">
        <f t="shared" si="231"/>
        <v>240</v>
      </c>
      <c r="DM55" s="287">
        <f t="shared" si="232"/>
        <v>9.6</v>
      </c>
      <c r="DN55" s="60">
        <f t="shared" si="233"/>
        <v>6.77</v>
      </c>
      <c r="DO55"/>
      <c r="DP55" t="s">
        <v>989</v>
      </c>
      <c r="DQ55" t="s">
        <v>1456</v>
      </c>
      <c r="DR55">
        <v>31</v>
      </c>
      <c r="DS55" t="s">
        <v>1457</v>
      </c>
      <c r="DT55" t="s">
        <v>963</v>
      </c>
      <c r="DU55" t="s">
        <v>573</v>
      </c>
      <c r="DV55" t="s">
        <v>1458</v>
      </c>
      <c r="DW55" t="s">
        <v>1459</v>
      </c>
      <c r="DX55" s="430">
        <v>46568</v>
      </c>
      <c r="DY55">
        <v>2250</v>
      </c>
      <c r="DZ55" t="s">
        <v>1460</v>
      </c>
      <c r="EA55">
        <v>0</v>
      </c>
      <c r="EB55">
        <v>10</v>
      </c>
      <c r="EC55">
        <v>2</v>
      </c>
      <c r="ED55">
        <v>4</v>
      </c>
      <c r="EE55">
        <v>20.100000000000001</v>
      </c>
      <c r="EF55" t="s">
        <v>1461</v>
      </c>
      <c r="EG55" t="s">
        <v>1462</v>
      </c>
      <c r="EH55">
        <v>19</v>
      </c>
      <c r="EI55">
        <v>30</v>
      </c>
      <c r="EJ55">
        <v>851</v>
      </c>
      <c r="EK55">
        <v>748</v>
      </c>
      <c r="EL55">
        <v>25</v>
      </c>
      <c r="EM55">
        <v>42</v>
      </c>
      <c r="EN55">
        <v>44</v>
      </c>
      <c r="EO55">
        <v>85</v>
      </c>
      <c r="EP55">
        <v>34</v>
      </c>
      <c r="EQ55">
        <v>122</v>
      </c>
      <c r="ER55">
        <v>36</v>
      </c>
      <c r="ES55">
        <v>33</v>
      </c>
      <c r="ET55">
        <v>12</v>
      </c>
      <c r="EU55">
        <v>33</v>
      </c>
      <c r="EV55">
        <v>12</v>
      </c>
      <c r="EW55">
        <v>2</v>
      </c>
      <c r="EX55">
        <v>1.1000000000000001</v>
      </c>
      <c r="EY55">
        <v>0</v>
      </c>
      <c r="EZ55">
        <v>0</v>
      </c>
      <c r="FA55">
        <v>0</v>
      </c>
      <c r="FB55">
        <v>9.6</v>
      </c>
      <c r="FC55" t="s">
        <v>1463</v>
      </c>
      <c r="FD55">
        <v>6.77</v>
      </c>
    </row>
    <row r="56" spans="1:160" ht="24.95" customHeight="1" thickBot="1" x14ac:dyDescent="0.3">
      <c r="A56" s="29" t="str">
        <f t="shared" si="0"/>
        <v>55º</v>
      </c>
      <c r="B56" s="67" t="str">
        <f t="shared" si="118"/>
        <v>Rafael Santos Borré</v>
      </c>
      <c r="C56" s="83" t="str">
        <f t="shared" si="119"/>
        <v>COL</v>
      </c>
      <c r="D56" s="9" t="str">
        <f t="shared" si="120"/>
        <v>Internacional</v>
      </c>
      <c r="E56" s="91" t="str">
        <f t="shared" si="121"/>
        <v>Pé Direito</v>
      </c>
      <c r="F56" s="155">
        <f t="shared" si="122"/>
        <v>1.74</v>
      </c>
      <c r="G56" s="35">
        <f t="shared" si="123"/>
        <v>47118</v>
      </c>
      <c r="H56" s="7">
        <f t="shared" si="124"/>
        <v>31</v>
      </c>
      <c r="I56" s="299" t="str">
        <f t="shared" si="125"/>
        <v>272m € - 382m € p/m</v>
      </c>
      <c r="J56" s="3" t="str">
        <f t="shared" si="126"/>
        <v>Não está à venda</v>
      </c>
      <c r="K56" s="89">
        <f t="shared" si="10"/>
        <v>31.398046398046404</v>
      </c>
      <c r="L56" s="133">
        <f t="shared" si="127"/>
        <v>43.022222222222226</v>
      </c>
      <c r="M56" s="134">
        <f t="shared" si="128"/>
        <v>47</v>
      </c>
      <c r="N56" s="134">
        <f t="shared" si="129"/>
        <v>82.38297872340425</v>
      </c>
      <c r="O56" s="173">
        <f t="shared" si="130"/>
        <v>0.96</v>
      </c>
      <c r="P56" s="402">
        <f t="shared" si="131"/>
        <v>20</v>
      </c>
      <c r="Q56" s="402">
        <f t="shared" si="132"/>
        <v>5</v>
      </c>
      <c r="R56" s="402">
        <f t="shared" si="133"/>
        <v>25</v>
      </c>
      <c r="S56" s="6">
        <f t="shared" si="134"/>
        <v>6</v>
      </c>
      <c r="T56" s="24">
        <f t="shared" si="135"/>
        <v>645.33333333333337</v>
      </c>
      <c r="U56" s="21">
        <f t="shared" si="136"/>
        <v>0.13946280991735535</v>
      </c>
      <c r="V56" s="298">
        <f t="shared" si="137"/>
        <v>0</v>
      </c>
      <c r="W56" s="300">
        <f t="shared" si="138"/>
        <v>0</v>
      </c>
      <c r="X56" s="298">
        <f t="shared" si="139"/>
        <v>0</v>
      </c>
      <c r="Y56" s="300">
        <f t="shared" si="140"/>
        <v>0</v>
      </c>
      <c r="Z56" s="290">
        <f t="shared" si="141"/>
        <v>0</v>
      </c>
      <c r="AA56" s="298">
        <f t="shared" si="142"/>
        <v>0</v>
      </c>
      <c r="AB56" s="286">
        <f t="shared" si="143"/>
        <v>0</v>
      </c>
      <c r="AC56" s="286">
        <f t="shared" si="144"/>
        <v>0</v>
      </c>
      <c r="AD56" s="286">
        <f t="shared" si="145"/>
        <v>0</v>
      </c>
      <c r="AE56" s="21">
        <f t="shared" si="146"/>
        <v>9.9999999999999995E-8</v>
      </c>
      <c r="AF56" s="421">
        <f t="shared" si="147"/>
        <v>20</v>
      </c>
      <c r="AG56" s="421">
        <f t="shared" si="148"/>
        <v>5</v>
      </c>
      <c r="AH56" s="421">
        <f t="shared" si="149"/>
        <v>25</v>
      </c>
      <c r="AI56" s="421">
        <f t="shared" si="150"/>
        <v>20</v>
      </c>
      <c r="AJ56" s="420">
        <f t="shared" si="151"/>
        <v>3</v>
      </c>
      <c r="AK56" s="422">
        <f t="shared" si="152"/>
        <v>0.46487603305785119</v>
      </c>
      <c r="AL56" s="422">
        <f t="shared" si="153"/>
        <v>0.1162190082644628</v>
      </c>
      <c r="AM56" s="422">
        <f t="shared" si="154"/>
        <v>0.58109504132231404</v>
      </c>
      <c r="AN56" s="5">
        <f t="shared" si="155"/>
        <v>13.09</v>
      </c>
      <c r="AO56" s="5">
        <f t="shared" si="156"/>
        <v>13.09</v>
      </c>
      <c r="AP56" s="5">
        <f t="shared" si="157"/>
        <v>0.30426136363636364</v>
      </c>
      <c r="AQ56" s="5">
        <f t="shared" si="158"/>
        <v>5.8</v>
      </c>
      <c r="AR56" s="5">
        <f t="shared" si="159"/>
        <v>0.13481404958677684</v>
      </c>
      <c r="AS56" s="5">
        <f t="shared" si="160"/>
        <v>18.89</v>
      </c>
      <c r="AT56" s="5">
        <f t="shared" si="161"/>
        <v>0.43907541322314048</v>
      </c>
      <c r="AU56" s="21">
        <f t="shared" si="162"/>
        <v>0.53703703703703698</v>
      </c>
      <c r="AV56" s="21">
        <f t="shared" si="163"/>
        <v>0.6044122091266243</v>
      </c>
      <c r="AW56" s="6">
        <f t="shared" si="164"/>
        <v>15</v>
      </c>
      <c r="AX56" s="6">
        <f t="shared" si="165"/>
        <v>3</v>
      </c>
      <c r="AY56" s="21">
        <f t="shared" si="166"/>
        <v>0.2</v>
      </c>
      <c r="AZ56" s="304">
        <f t="shared" si="167"/>
        <v>20</v>
      </c>
      <c r="BA56" s="305">
        <f t="shared" si="168"/>
        <v>0.46487603305785119</v>
      </c>
      <c r="BB56" s="413">
        <f t="shared" si="169"/>
        <v>21.53</v>
      </c>
      <c r="BC56" s="413">
        <f t="shared" si="170"/>
        <v>0.50043904958677676</v>
      </c>
      <c r="BD56" s="6">
        <f t="shared" si="171"/>
        <v>1385</v>
      </c>
      <c r="BE56" s="5">
        <f t="shared" si="172"/>
        <v>32.192665289256198</v>
      </c>
      <c r="BF56" s="6">
        <f t="shared" si="173"/>
        <v>1228</v>
      </c>
      <c r="BG56" s="5">
        <f t="shared" si="174"/>
        <v>28.543388429752063</v>
      </c>
      <c r="BH56" s="21">
        <f t="shared" si="175"/>
        <v>0.88664259927797839</v>
      </c>
      <c r="BI56" s="417">
        <f t="shared" si="176"/>
        <v>157</v>
      </c>
      <c r="BJ56" s="418">
        <f t="shared" si="177"/>
        <v>3.6492768595041318</v>
      </c>
      <c r="BK56" s="195">
        <f t="shared" si="178"/>
        <v>44</v>
      </c>
      <c r="BL56" s="5">
        <f t="shared" si="179"/>
        <v>1.0227272727272727</v>
      </c>
      <c r="BM56" s="21">
        <f t="shared" si="180"/>
        <v>3.1768953068592058E-2</v>
      </c>
      <c r="BN56" s="195">
        <f t="shared" si="181"/>
        <v>45</v>
      </c>
      <c r="BO56" s="185">
        <f t="shared" si="182"/>
        <v>1.0459710743801651</v>
      </c>
      <c r="BP56" s="5">
        <f t="shared" si="183"/>
        <v>9</v>
      </c>
      <c r="BQ56" s="21">
        <f t="shared" si="184"/>
        <v>0.1111111111111111</v>
      </c>
      <c r="BR56" s="5">
        <f t="shared" si="185"/>
        <v>0.79999999999999982</v>
      </c>
      <c r="BS56" s="5">
        <f t="shared" si="186"/>
        <v>0.12888888888888889</v>
      </c>
      <c r="BT56" s="24">
        <f t="shared" si="187"/>
        <v>86.044444444444451</v>
      </c>
      <c r="BU56" s="5">
        <f t="shared" si="188"/>
        <v>33.094017094017097</v>
      </c>
      <c r="BV56" s="5">
        <f t="shared" si="189"/>
        <v>6.91</v>
      </c>
      <c r="BW56" s="5">
        <f t="shared" si="190"/>
        <v>6.91</v>
      </c>
      <c r="BX56" s="6">
        <f t="shared" si="191"/>
        <v>101</v>
      </c>
      <c r="BY56" s="5">
        <f t="shared" si="192"/>
        <v>2.3476239669421486</v>
      </c>
      <c r="BZ56" s="6">
        <f t="shared" si="193"/>
        <v>47</v>
      </c>
      <c r="CA56" s="5">
        <f t="shared" si="194"/>
        <v>1.0924586776859504</v>
      </c>
      <c r="CB56" s="6">
        <f t="shared" si="195"/>
        <v>54</v>
      </c>
      <c r="CC56" s="5">
        <f t="shared" si="196"/>
        <v>1.2551652892561982</v>
      </c>
      <c r="CD56" s="5">
        <f t="shared" si="197"/>
        <v>1.2551652892561982</v>
      </c>
      <c r="CE56" s="21">
        <f t="shared" si="198"/>
        <v>0.53465346534653468</v>
      </c>
      <c r="CF56" s="5">
        <f t="shared" si="199"/>
        <v>5.05</v>
      </c>
      <c r="CG56" s="5">
        <f t="shared" si="200"/>
        <v>2.7</v>
      </c>
      <c r="CH56" s="21">
        <f t="shared" si="201"/>
        <v>0.19801980198019803</v>
      </c>
      <c r="CI56" s="298">
        <f t="shared" si="202"/>
        <v>17</v>
      </c>
      <c r="CJ56" s="298">
        <f t="shared" si="203"/>
        <v>3</v>
      </c>
      <c r="CK56" s="298">
        <f t="shared" si="204"/>
        <v>0</v>
      </c>
      <c r="CL56" s="21">
        <f t="shared" si="205"/>
        <v>6.9731404958677676E-2</v>
      </c>
      <c r="CM56" s="6">
        <f t="shared" si="206"/>
        <v>12.2</v>
      </c>
      <c r="CN56" s="5">
        <f t="shared" si="207"/>
        <v>0.28357438016528924</v>
      </c>
      <c r="CO56" s="167">
        <f t="shared" si="208"/>
        <v>181</v>
      </c>
      <c r="CP56" s="5">
        <f t="shared" si="209"/>
        <v>4.2071280991735538</v>
      </c>
      <c r="CQ56" s="6">
        <f t="shared" si="210"/>
        <v>122</v>
      </c>
      <c r="CR56" s="5">
        <f t="shared" si="211"/>
        <v>2.8357438016528924</v>
      </c>
      <c r="CS56" s="21">
        <f t="shared" si="212"/>
        <v>0.67403314917127077</v>
      </c>
      <c r="CT56" s="6">
        <f t="shared" si="213"/>
        <v>141.30000000000001</v>
      </c>
      <c r="CU56" s="5">
        <f t="shared" si="214"/>
        <v>3.2843491735537191</v>
      </c>
      <c r="CV56" s="6">
        <f t="shared" si="215"/>
        <v>144.55000000000001</v>
      </c>
      <c r="CW56" s="5">
        <f t="shared" si="216"/>
        <v>3.3598915289256199</v>
      </c>
      <c r="CX56" s="385">
        <f t="shared" si="217"/>
        <v>10.065542355371901</v>
      </c>
      <c r="CY56" s="5">
        <f t="shared" si="218"/>
        <v>38.119834710743795</v>
      </c>
      <c r="CZ56" s="5">
        <f t="shared" si="219"/>
        <v>31.030475206611566</v>
      </c>
      <c r="DA56" s="6">
        <f t="shared" si="220"/>
        <v>89</v>
      </c>
      <c r="DB56" s="5">
        <f t="shared" si="221"/>
        <v>2.0686983471074378</v>
      </c>
      <c r="DC56" s="6">
        <f t="shared" si="222"/>
        <v>243</v>
      </c>
      <c r="DD56" s="5">
        <f t="shared" si="223"/>
        <v>5.6482438016528924</v>
      </c>
      <c r="DE56" s="6">
        <f t="shared" si="224"/>
        <v>164</v>
      </c>
      <c r="DF56" s="5">
        <f t="shared" si="225"/>
        <v>3.8119834710743801</v>
      </c>
      <c r="DG56" s="6">
        <f t="shared" si="226"/>
        <v>216</v>
      </c>
      <c r="DH56" s="5">
        <f t="shared" si="227"/>
        <v>5.0206611570247928</v>
      </c>
      <c r="DI56" s="5">
        <f t="shared" si="228"/>
        <v>12.2</v>
      </c>
      <c r="DJ56" s="5">
        <f t="shared" si="229"/>
        <v>494.8</v>
      </c>
      <c r="DK56" s="5">
        <f t="shared" si="230"/>
        <v>11.50103305785124</v>
      </c>
      <c r="DL56" s="286">
        <f t="shared" si="231"/>
        <v>516.26666666666665</v>
      </c>
      <c r="DM56" s="287">
        <f t="shared" si="232"/>
        <v>12</v>
      </c>
      <c r="DN56" s="60">
        <f t="shared" si="233"/>
        <v>6.95</v>
      </c>
      <c r="DO56"/>
      <c r="DP56" t="s">
        <v>989</v>
      </c>
      <c r="DQ56" t="s">
        <v>1464</v>
      </c>
      <c r="DR56">
        <v>31</v>
      </c>
      <c r="DS56" t="s">
        <v>1465</v>
      </c>
      <c r="DT56" t="s">
        <v>853</v>
      </c>
      <c r="DU56" t="s">
        <v>573</v>
      </c>
      <c r="DV56" t="s">
        <v>394</v>
      </c>
      <c r="DW56" t="s">
        <v>1466</v>
      </c>
      <c r="DX56" s="430">
        <v>47118</v>
      </c>
      <c r="DY56">
        <v>3872</v>
      </c>
      <c r="DZ56" t="s">
        <v>1467</v>
      </c>
      <c r="EA56">
        <v>6</v>
      </c>
      <c r="EB56">
        <v>20</v>
      </c>
      <c r="EC56">
        <v>5</v>
      </c>
      <c r="ED56">
        <v>18</v>
      </c>
      <c r="EE56">
        <v>12.2</v>
      </c>
      <c r="EF56" t="s">
        <v>1468</v>
      </c>
      <c r="EG56" t="s">
        <v>1469</v>
      </c>
      <c r="EH56">
        <v>34</v>
      </c>
      <c r="EI56">
        <v>66</v>
      </c>
      <c r="EJ56">
        <v>1385</v>
      </c>
      <c r="EK56">
        <v>1228</v>
      </c>
      <c r="EL56">
        <v>45</v>
      </c>
      <c r="EM56">
        <v>44</v>
      </c>
      <c r="EN56">
        <v>20</v>
      </c>
      <c r="EO56">
        <v>101</v>
      </c>
      <c r="EP56">
        <v>54</v>
      </c>
      <c r="EQ56">
        <v>75</v>
      </c>
      <c r="ER56">
        <v>21</v>
      </c>
      <c r="ES56">
        <v>15</v>
      </c>
      <c r="ET56">
        <v>3</v>
      </c>
      <c r="EU56">
        <v>15</v>
      </c>
      <c r="EV56">
        <v>3</v>
      </c>
      <c r="EW56">
        <v>3</v>
      </c>
      <c r="EX56">
        <v>1</v>
      </c>
      <c r="EY56">
        <v>0</v>
      </c>
      <c r="EZ56">
        <v>0</v>
      </c>
      <c r="FA56">
        <v>0</v>
      </c>
      <c r="FB56">
        <v>12</v>
      </c>
      <c r="FC56" t="s">
        <v>1470</v>
      </c>
      <c r="FD56">
        <v>6.95</v>
      </c>
    </row>
    <row r="57" spans="1:160" ht="24.95" customHeight="1" thickBot="1" x14ac:dyDescent="0.3">
      <c r="A57" s="29" t="str">
        <f t="shared" si="0"/>
        <v>56º</v>
      </c>
      <c r="B57" s="67" t="str">
        <f t="shared" si="118"/>
        <v>Nicolás Fernández</v>
      </c>
      <c r="C57" s="83" t="str">
        <f t="shared" si="119"/>
        <v>ARG</v>
      </c>
      <c r="D57" s="9" t="str">
        <f t="shared" si="120"/>
        <v>Belgrano</v>
      </c>
      <c r="E57" s="91" t="str">
        <f t="shared" si="121"/>
        <v>Pé Direito</v>
      </c>
      <c r="F57" s="155">
        <f t="shared" si="122"/>
        <v>1.67</v>
      </c>
      <c r="G57" s="35">
        <f t="shared" si="123"/>
        <v>46752</v>
      </c>
      <c r="H57" s="7">
        <f t="shared" si="124"/>
        <v>30</v>
      </c>
      <c r="I57" s="299" t="str">
        <f t="shared" si="125"/>
        <v>28,5m € - 43,5m € p/m</v>
      </c>
      <c r="J57" s="3" t="str">
        <f t="shared" si="126"/>
        <v>100m € - 12,5M €</v>
      </c>
      <c r="K57" s="89">
        <f t="shared" si="10"/>
        <v>31.398046398046404</v>
      </c>
      <c r="L57" s="133">
        <f t="shared" si="127"/>
        <v>25.766666666666666</v>
      </c>
      <c r="M57" s="134">
        <f t="shared" si="128"/>
        <v>32</v>
      </c>
      <c r="N57" s="134">
        <f t="shared" si="129"/>
        <v>72.46875</v>
      </c>
      <c r="O57" s="173">
        <f t="shared" si="130"/>
        <v>1</v>
      </c>
      <c r="P57" s="402">
        <f t="shared" si="131"/>
        <v>11</v>
      </c>
      <c r="Q57" s="402">
        <f t="shared" si="132"/>
        <v>0</v>
      </c>
      <c r="R57" s="402">
        <f t="shared" si="133"/>
        <v>11</v>
      </c>
      <c r="S57" s="6">
        <f t="shared" si="134"/>
        <v>0</v>
      </c>
      <c r="T57" s="24">
        <f t="shared" si="135"/>
        <v>5000</v>
      </c>
      <c r="U57" s="21">
        <f t="shared" si="136"/>
        <v>0</v>
      </c>
      <c r="V57" s="298">
        <f t="shared" si="137"/>
        <v>0</v>
      </c>
      <c r="W57" s="300">
        <f t="shared" si="138"/>
        <v>0</v>
      </c>
      <c r="X57" s="298">
        <f t="shared" si="139"/>
        <v>0</v>
      </c>
      <c r="Y57" s="300">
        <f t="shared" si="140"/>
        <v>0</v>
      </c>
      <c r="Z57" s="290">
        <f t="shared" si="141"/>
        <v>0</v>
      </c>
      <c r="AA57" s="298">
        <f t="shared" si="142"/>
        <v>0</v>
      </c>
      <c r="AB57" s="286">
        <f t="shared" si="143"/>
        <v>0</v>
      </c>
      <c r="AC57" s="286">
        <f t="shared" si="144"/>
        <v>0</v>
      </c>
      <c r="AD57" s="286">
        <f t="shared" si="145"/>
        <v>0</v>
      </c>
      <c r="AE57" s="21">
        <f t="shared" si="146"/>
        <v>9.9999999999999995E-8</v>
      </c>
      <c r="AF57" s="421">
        <f t="shared" si="147"/>
        <v>11</v>
      </c>
      <c r="AG57" s="421">
        <f t="shared" si="148"/>
        <v>0</v>
      </c>
      <c r="AH57" s="421">
        <f t="shared" si="149"/>
        <v>11</v>
      </c>
      <c r="AI57" s="421">
        <f t="shared" si="150"/>
        <v>11</v>
      </c>
      <c r="AJ57" s="420">
        <f t="shared" si="151"/>
        <v>3</v>
      </c>
      <c r="AK57" s="422">
        <f t="shared" si="152"/>
        <v>0.42690815006468308</v>
      </c>
      <c r="AL57" s="422">
        <f t="shared" si="153"/>
        <v>0</v>
      </c>
      <c r="AM57" s="422">
        <f t="shared" si="154"/>
        <v>0.42690815006468308</v>
      </c>
      <c r="AN57" s="5">
        <f t="shared" si="155"/>
        <v>5.88</v>
      </c>
      <c r="AO57" s="5">
        <f t="shared" si="156"/>
        <v>5.88</v>
      </c>
      <c r="AP57" s="5">
        <f t="shared" si="157"/>
        <v>0.22820181112548513</v>
      </c>
      <c r="AQ57" s="5">
        <f t="shared" si="158"/>
        <v>3.5</v>
      </c>
      <c r="AR57" s="5">
        <f t="shared" si="159"/>
        <v>0.13583441138421734</v>
      </c>
      <c r="AS57" s="5">
        <f t="shared" si="160"/>
        <v>9.379999999999999</v>
      </c>
      <c r="AT57" s="5">
        <f t="shared" si="161"/>
        <v>0.36403622250970241</v>
      </c>
      <c r="AU57" s="21">
        <f t="shared" si="162"/>
        <v>1</v>
      </c>
      <c r="AV57" s="21">
        <f t="shared" si="163"/>
        <v>0.65165876777251186</v>
      </c>
      <c r="AW57" s="6">
        <f t="shared" si="164"/>
        <v>11</v>
      </c>
      <c r="AX57" s="6">
        <f t="shared" si="165"/>
        <v>3</v>
      </c>
      <c r="AY57" s="21">
        <f t="shared" si="166"/>
        <v>0.27272727272727271</v>
      </c>
      <c r="AZ57" s="304">
        <f t="shared" si="167"/>
        <v>26</v>
      </c>
      <c r="BA57" s="305">
        <f t="shared" si="168"/>
        <v>1.0090556274256146</v>
      </c>
      <c r="BB57" s="413">
        <f t="shared" si="169"/>
        <v>13.585000000000001</v>
      </c>
      <c r="BC57" s="413">
        <f t="shared" si="170"/>
        <v>0.52723156532988358</v>
      </c>
      <c r="BD57" s="6">
        <f t="shared" si="171"/>
        <v>704</v>
      </c>
      <c r="BE57" s="5">
        <f t="shared" si="172"/>
        <v>27.322121604139717</v>
      </c>
      <c r="BF57" s="6">
        <f t="shared" si="173"/>
        <v>622</v>
      </c>
      <c r="BG57" s="5">
        <f t="shared" si="174"/>
        <v>24.139715394566625</v>
      </c>
      <c r="BH57" s="21">
        <f t="shared" si="175"/>
        <v>0.88352272727272729</v>
      </c>
      <c r="BI57" s="417">
        <f t="shared" si="176"/>
        <v>82</v>
      </c>
      <c r="BJ57" s="418">
        <f t="shared" si="177"/>
        <v>3.1824062095730921</v>
      </c>
      <c r="BK57" s="195">
        <f t="shared" si="178"/>
        <v>18</v>
      </c>
      <c r="BL57" s="5">
        <f t="shared" si="179"/>
        <v>0.6985769728331177</v>
      </c>
      <c r="BM57" s="21">
        <f t="shared" si="180"/>
        <v>2.556818181818182E-2</v>
      </c>
      <c r="BN57" s="195">
        <f t="shared" si="181"/>
        <v>25</v>
      </c>
      <c r="BO57" s="185">
        <f t="shared" si="182"/>
        <v>0.97024579560155244</v>
      </c>
      <c r="BP57" s="5">
        <f t="shared" si="183"/>
        <v>25</v>
      </c>
      <c r="BQ57" s="21">
        <f t="shared" si="184"/>
        <v>0</v>
      </c>
      <c r="BR57" s="5">
        <f t="shared" si="185"/>
        <v>3.5</v>
      </c>
      <c r="BS57" s="5">
        <f t="shared" si="186"/>
        <v>0.14000000000000001</v>
      </c>
      <c r="BT57" s="24">
        <f t="shared" si="187"/>
        <v>92.76</v>
      </c>
      <c r="BU57" s="5">
        <f t="shared" si="188"/>
        <v>35.136363636363633</v>
      </c>
      <c r="BV57" s="5">
        <f t="shared" si="189"/>
        <v>5.12</v>
      </c>
      <c r="BW57" s="5">
        <f t="shared" si="190"/>
        <v>5.12</v>
      </c>
      <c r="BX57" s="6">
        <f t="shared" si="191"/>
        <v>64</v>
      </c>
      <c r="BY57" s="5">
        <f t="shared" si="192"/>
        <v>2.4838292367399744</v>
      </c>
      <c r="BZ57" s="6">
        <f t="shared" si="193"/>
        <v>31</v>
      </c>
      <c r="CA57" s="5">
        <f t="shared" si="194"/>
        <v>1.203104786545925</v>
      </c>
      <c r="CB57" s="6">
        <f t="shared" si="195"/>
        <v>33</v>
      </c>
      <c r="CC57" s="5">
        <f t="shared" si="196"/>
        <v>1.2807244501940491</v>
      </c>
      <c r="CD57" s="5">
        <f t="shared" si="197"/>
        <v>1.2807244501940491</v>
      </c>
      <c r="CE57" s="21">
        <f t="shared" si="198"/>
        <v>0.515625</v>
      </c>
      <c r="CF57" s="5">
        <f t="shared" si="199"/>
        <v>5.8181818181818183</v>
      </c>
      <c r="CG57" s="5">
        <f t="shared" si="200"/>
        <v>3</v>
      </c>
      <c r="CH57" s="21">
        <f t="shared" si="201"/>
        <v>0.171875</v>
      </c>
      <c r="CI57" s="298">
        <f t="shared" si="202"/>
        <v>8</v>
      </c>
      <c r="CJ57" s="298">
        <f t="shared" si="203"/>
        <v>3</v>
      </c>
      <c r="CK57" s="298">
        <f t="shared" si="204"/>
        <v>0</v>
      </c>
      <c r="CL57" s="21">
        <f t="shared" si="205"/>
        <v>0.12936610608020699</v>
      </c>
      <c r="CM57" s="6">
        <f t="shared" si="206"/>
        <v>18.2</v>
      </c>
      <c r="CN57" s="5">
        <f t="shared" si="207"/>
        <v>0.70633893919793012</v>
      </c>
      <c r="CO57" s="167">
        <f t="shared" si="208"/>
        <v>126</v>
      </c>
      <c r="CP57" s="5">
        <f t="shared" si="209"/>
        <v>4.8900388098318244</v>
      </c>
      <c r="CQ57" s="6">
        <f t="shared" si="210"/>
        <v>87</v>
      </c>
      <c r="CR57" s="5">
        <f t="shared" si="211"/>
        <v>3.3764553686934025</v>
      </c>
      <c r="CS57" s="21">
        <f t="shared" si="212"/>
        <v>0.69047619047619047</v>
      </c>
      <c r="CT57" s="6">
        <f t="shared" si="213"/>
        <v>81</v>
      </c>
      <c r="CU57" s="5">
        <f t="shared" si="214"/>
        <v>3.1435963777490299</v>
      </c>
      <c r="CV57" s="6">
        <f t="shared" si="215"/>
        <v>80.75</v>
      </c>
      <c r="CW57" s="5">
        <f t="shared" si="216"/>
        <v>3.1338939197930142</v>
      </c>
      <c r="CX57" s="385">
        <f t="shared" si="217"/>
        <v>8.0566882276843472</v>
      </c>
      <c r="CY57" s="5">
        <f t="shared" si="218"/>
        <v>33.609314359637779</v>
      </c>
      <c r="CZ57" s="5">
        <f t="shared" si="219"/>
        <v>26.119016817593792</v>
      </c>
      <c r="DA57" s="6">
        <f t="shared" si="220"/>
        <v>43</v>
      </c>
      <c r="DB57" s="5">
        <f t="shared" si="221"/>
        <v>1.6688227684346701</v>
      </c>
      <c r="DC57" s="6">
        <f t="shared" si="222"/>
        <v>152</v>
      </c>
      <c r="DD57" s="5">
        <f t="shared" si="223"/>
        <v>5.899094437257439</v>
      </c>
      <c r="DE57" s="6">
        <f t="shared" si="224"/>
        <v>97</v>
      </c>
      <c r="DF57" s="5">
        <f t="shared" si="225"/>
        <v>3.7645536869340233</v>
      </c>
      <c r="DG57" s="6">
        <f t="shared" si="226"/>
        <v>121</v>
      </c>
      <c r="DH57" s="5">
        <f t="shared" si="227"/>
        <v>4.695989650711514</v>
      </c>
      <c r="DI57" s="5">
        <f t="shared" si="228"/>
        <v>18.2</v>
      </c>
      <c r="DJ57" s="5">
        <f t="shared" si="229"/>
        <v>255.9</v>
      </c>
      <c r="DK57" s="5">
        <f t="shared" si="230"/>
        <v>9.9314359637774903</v>
      </c>
      <c r="DL57" s="286">
        <f t="shared" si="231"/>
        <v>128.83333333333331</v>
      </c>
      <c r="DM57" s="287">
        <f t="shared" si="232"/>
        <v>5</v>
      </c>
      <c r="DN57" s="60">
        <f t="shared" si="233"/>
        <v>6.75</v>
      </c>
      <c r="DO57"/>
      <c r="DP57" t="s">
        <v>708</v>
      </c>
      <c r="DQ57" t="s">
        <v>1471</v>
      </c>
      <c r="DR57">
        <v>30</v>
      </c>
      <c r="DS57" t="s">
        <v>1472</v>
      </c>
      <c r="DT57" t="s">
        <v>1473</v>
      </c>
      <c r="DU57" t="s">
        <v>573</v>
      </c>
      <c r="DV57" t="s">
        <v>1474</v>
      </c>
      <c r="DW57" t="s">
        <v>1475</v>
      </c>
      <c r="DX57" s="430">
        <v>46752</v>
      </c>
      <c r="DY57">
        <v>2319</v>
      </c>
      <c r="DZ57">
        <v>32</v>
      </c>
      <c r="EA57">
        <v>0</v>
      </c>
      <c r="EB57">
        <v>11</v>
      </c>
      <c r="EC57">
        <v>0</v>
      </c>
      <c r="ED57">
        <v>8</v>
      </c>
      <c r="EE57">
        <v>18.2</v>
      </c>
      <c r="EF57" t="s">
        <v>1476</v>
      </c>
      <c r="EG57" t="s">
        <v>1477</v>
      </c>
      <c r="EH57">
        <v>15</v>
      </c>
      <c r="EI57">
        <v>34</v>
      </c>
      <c r="EJ57">
        <v>704</v>
      </c>
      <c r="EK57">
        <v>622</v>
      </c>
      <c r="EL57">
        <v>25</v>
      </c>
      <c r="EM57">
        <v>18</v>
      </c>
      <c r="EN57">
        <v>26</v>
      </c>
      <c r="EO57">
        <v>64</v>
      </c>
      <c r="EP57">
        <v>33</v>
      </c>
      <c r="EQ57">
        <v>36</v>
      </c>
      <c r="ER57">
        <v>15</v>
      </c>
      <c r="ES57">
        <v>11</v>
      </c>
      <c r="ET57">
        <v>3</v>
      </c>
      <c r="EU57">
        <v>11</v>
      </c>
      <c r="EV57">
        <v>3</v>
      </c>
      <c r="EW57">
        <v>3</v>
      </c>
      <c r="EX57">
        <v>0.9</v>
      </c>
      <c r="EY57">
        <v>0</v>
      </c>
      <c r="EZ57">
        <v>0</v>
      </c>
      <c r="FA57">
        <v>0</v>
      </c>
      <c r="FB57">
        <v>5</v>
      </c>
      <c r="FC57" t="s">
        <v>1478</v>
      </c>
      <c r="FD57">
        <v>6.75</v>
      </c>
    </row>
    <row r="58" spans="1:160" ht="24.95" customHeight="1" thickBot="1" x14ac:dyDescent="0.3">
      <c r="A58" s="29" t="str">
        <f t="shared" si="0"/>
        <v>57º</v>
      </c>
      <c r="B58" s="67" t="str">
        <f t="shared" si="118"/>
        <v>Alex Valera</v>
      </c>
      <c r="C58" s="83" t="str">
        <f t="shared" si="119"/>
        <v>PER</v>
      </c>
      <c r="D58" s="9" t="str">
        <f t="shared" si="120"/>
        <v>Universitario</v>
      </c>
      <c r="E58" s="91" t="str">
        <f t="shared" si="121"/>
        <v>Pé Preferido Desconhecido</v>
      </c>
      <c r="F58" s="155">
        <f t="shared" si="122"/>
        <v>1.83</v>
      </c>
      <c r="G58" s="35">
        <f t="shared" si="123"/>
        <v>47118</v>
      </c>
      <c r="H58" s="7">
        <f t="shared" si="124"/>
        <v>30</v>
      </c>
      <c r="I58" s="299" t="str">
        <f t="shared" si="125"/>
        <v>19,75m € - 29m € p/m</v>
      </c>
      <c r="J58" s="3" t="str">
        <f t="shared" si="126"/>
        <v>Desconhecido</v>
      </c>
      <c r="K58" s="89">
        <f t="shared" si="10"/>
        <v>31.398046398046404</v>
      </c>
      <c r="L58" s="133">
        <f t="shared" si="127"/>
        <v>35.200000000000003</v>
      </c>
      <c r="M58" s="134">
        <f t="shared" si="128"/>
        <v>39</v>
      </c>
      <c r="N58" s="134">
        <f t="shared" si="129"/>
        <v>81.230769230769226</v>
      </c>
      <c r="O58" s="173">
        <f t="shared" si="130"/>
        <v>1</v>
      </c>
      <c r="P58" s="402">
        <f t="shared" si="131"/>
        <v>17</v>
      </c>
      <c r="Q58" s="402">
        <f t="shared" si="132"/>
        <v>1</v>
      </c>
      <c r="R58" s="402">
        <f t="shared" si="133"/>
        <v>18</v>
      </c>
      <c r="S58" s="6">
        <f t="shared" si="134"/>
        <v>4</v>
      </c>
      <c r="T58" s="24">
        <f t="shared" si="135"/>
        <v>792</v>
      </c>
      <c r="U58" s="21">
        <f t="shared" si="136"/>
        <v>0.11363636363636363</v>
      </c>
      <c r="V58" s="298">
        <f t="shared" si="137"/>
        <v>0</v>
      </c>
      <c r="W58" s="300">
        <f t="shared" si="138"/>
        <v>0</v>
      </c>
      <c r="X58" s="298">
        <f t="shared" si="139"/>
        <v>0</v>
      </c>
      <c r="Y58" s="300">
        <f t="shared" si="140"/>
        <v>0</v>
      </c>
      <c r="Z58" s="290">
        <f t="shared" si="141"/>
        <v>0</v>
      </c>
      <c r="AA58" s="298">
        <f t="shared" si="142"/>
        <v>0</v>
      </c>
      <c r="AB58" s="286">
        <f t="shared" si="143"/>
        <v>7</v>
      </c>
      <c r="AC58" s="286">
        <f t="shared" si="144"/>
        <v>4</v>
      </c>
      <c r="AD58" s="286">
        <f t="shared" si="145"/>
        <v>3</v>
      </c>
      <c r="AE58" s="21">
        <f t="shared" si="146"/>
        <v>0.5714285714285714</v>
      </c>
      <c r="AF58" s="421">
        <f t="shared" si="147"/>
        <v>17</v>
      </c>
      <c r="AG58" s="421">
        <f t="shared" si="148"/>
        <v>1</v>
      </c>
      <c r="AH58" s="421">
        <f t="shared" si="149"/>
        <v>18</v>
      </c>
      <c r="AI58" s="421">
        <f t="shared" si="150"/>
        <v>13</v>
      </c>
      <c r="AJ58" s="420">
        <f t="shared" si="151"/>
        <v>0</v>
      </c>
      <c r="AK58" s="422">
        <f t="shared" si="152"/>
        <v>0.48295454545454541</v>
      </c>
      <c r="AL58" s="422">
        <f t="shared" si="153"/>
        <v>2.8409090909090908E-2</v>
      </c>
      <c r="AM58" s="422">
        <f t="shared" si="154"/>
        <v>0.51136363636363635</v>
      </c>
      <c r="AN58" s="5">
        <f t="shared" si="155"/>
        <v>15.38</v>
      </c>
      <c r="AO58" s="5">
        <f t="shared" si="156"/>
        <v>9.8500000000000014</v>
      </c>
      <c r="AP58" s="5">
        <f t="shared" si="157"/>
        <v>0.27982954545454547</v>
      </c>
      <c r="AQ58" s="5">
        <f t="shared" si="158"/>
        <v>2.48</v>
      </c>
      <c r="AR58" s="5">
        <f t="shared" si="159"/>
        <v>7.045454545454545E-2</v>
      </c>
      <c r="AS58" s="5">
        <f t="shared" si="160"/>
        <v>12.330000000000002</v>
      </c>
      <c r="AT58" s="5">
        <f t="shared" si="161"/>
        <v>0.35028409090909091</v>
      </c>
      <c r="AU58" s="21">
        <f t="shared" si="162"/>
        <v>0.71264367816091956</v>
      </c>
      <c r="AV58" s="21">
        <f t="shared" si="163"/>
        <v>0.52501544163063618</v>
      </c>
      <c r="AW58" s="6">
        <f t="shared" si="164"/>
        <v>12</v>
      </c>
      <c r="AX58" s="6">
        <f t="shared" si="165"/>
        <v>6</v>
      </c>
      <c r="AY58" s="21">
        <f t="shared" si="166"/>
        <v>0.5</v>
      </c>
      <c r="AZ58" s="304">
        <f t="shared" si="167"/>
        <v>36</v>
      </c>
      <c r="BA58" s="305">
        <f t="shared" si="168"/>
        <v>1.0227272727272727</v>
      </c>
      <c r="BB58" s="413">
        <f t="shared" si="169"/>
        <v>12.991999999999999</v>
      </c>
      <c r="BC58" s="413">
        <f t="shared" si="170"/>
        <v>0.36909090909090908</v>
      </c>
      <c r="BD58" s="6">
        <f t="shared" si="171"/>
        <v>1075</v>
      </c>
      <c r="BE58" s="5">
        <f t="shared" si="172"/>
        <v>30.539772727272723</v>
      </c>
      <c r="BF58" s="6">
        <f t="shared" si="173"/>
        <v>955</v>
      </c>
      <c r="BG58" s="5">
        <f t="shared" si="174"/>
        <v>27.130681818181817</v>
      </c>
      <c r="BH58" s="21">
        <f t="shared" si="175"/>
        <v>0.88837209302325582</v>
      </c>
      <c r="BI58" s="417">
        <f t="shared" si="176"/>
        <v>120</v>
      </c>
      <c r="BJ58" s="418">
        <f t="shared" si="177"/>
        <v>3.4090909090909087</v>
      </c>
      <c r="BK58" s="195">
        <f t="shared" si="178"/>
        <v>21</v>
      </c>
      <c r="BL58" s="5">
        <f t="shared" si="179"/>
        <v>0.59659090909090906</v>
      </c>
      <c r="BM58" s="21">
        <f t="shared" si="180"/>
        <v>1.9534883720930232E-2</v>
      </c>
      <c r="BN58" s="195">
        <f t="shared" si="181"/>
        <v>27</v>
      </c>
      <c r="BO58" s="185">
        <f t="shared" si="182"/>
        <v>0.76704545454545447</v>
      </c>
      <c r="BP58" s="5">
        <f t="shared" si="183"/>
        <v>27</v>
      </c>
      <c r="BQ58" s="21">
        <f t="shared" si="184"/>
        <v>3.7037037037037035E-2</v>
      </c>
      <c r="BR58" s="5">
        <f t="shared" si="185"/>
        <v>1.48</v>
      </c>
      <c r="BS58" s="5">
        <f t="shared" si="186"/>
        <v>9.1851851851851851E-2</v>
      </c>
      <c r="BT58" s="24">
        <f t="shared" si="187"/>
        <v>117.33333333333333</v>
      </c>
      <c r="BU58" s="5">
        <f t="shared" si="188"/>
        <v>36.413793103448278</v>
      </c>
      <c r="BV58" s="5">
        <f t="shared" si="189"/>
        <v>1.6199999999999992</v>
      </c>
      <c r="BW58" s="5">
        <f t="shared" si="190"/>
        <v>-1.5400000000000009</v>
      </c>
      <c r="BX58" s="6">
        <f t="shared" si="191"/>
        <v>110</v>
      </c>
      <c r="BY58" s="5">
        <f t="shared" si="192"/>
        <v>3.1249999999999996</v>
      </c>
      <c r="BZ58" s="6">
        <f t="shared" si="193"/>
        <v>53</v>
      </c>
      <c r="CA58" s="5">
        <f t="shared" si="194"/>
        <v>1.5056818181818181</v>
      </c>
      <c r="CB58" s="6">
        <f t="shared" si="195"/>
        <v>64</v>
      </c>
      <c r="CC58" s="5">
        <f t="shared" si="196"/>
        <v>1.8181818181818181</v>
      </c>
      <c r="CD58" s="5">
        <f t="shared" si="197"/>
        <v>1.7045454545454544</v>
      </c>
      <c r="CE58" s="21">
        <f t="shared" si="198"/>
        <v>0.54545454545454541</v>
      </c>
      <c r="CF58" s="5">
        <f t="shared" si="199"/>
        <v>8.4615384615384617</v>
      </c>
      <c r="CG58" s="5">
        <f t="shared" si="200"/>
        <v>3.7647058823529411</v>
      </c>
      <c r="CH58" s="21">
        <f t="shared" si="201"/>
        <v>0.11818181818181818</v>
      </c>
      <c r="CI58" s="298">
        <f t="shared" si="202"/>
        <v>10</v>
      </c>
      <c r="CJ58" s="298">
        <f t="shared" si="203"/>
        <v>0</v>
      </c>
      <c r="CK58" s="298">
        <f t="shared" si="204"/>
        <v>7</v>
      </c>
      <c r="CL58" s="21">
        <f t="shared" si="205"/>
        <v>0</v>
      </c>
      <c r="CM58" s="6">
        <f t="shared" si="206"/>
        <v>15.4</v>
      </c>
      <c r="CN58" s="5">
        <f t="shared" si="207"/>
        <v>0.4375</v>
      </c>
      <c r="CO58" s="167">
        <f t="shared" si="208"/>
        <v>192</v>
      </c>
      <c r="CP58" s="5">
        <f t="shared" si="209"/>
        <v>5.4545454545454541</v>
      </c>
      <c r="CQ58" s="6">
        <f t="shared" si="210"/>
        <v>133</v>
      </c>
      <c r="CR58" s="5">
        <f t="shared" si="211"/>
        <v>3.7784090909090904</v>
      </c>
      <c r="CS58" s="21">
        <f t="shared" si="212"/>
        <v>0.69270833333333337</v>
      </c>
      <c r="CT58" s="6">
        <f t="shared" si="213"/>
        <v>104.48</v>
      </c>
      <c r="CU58" s="5">
        <f t="shared" si="214"/>
        <v>2.9681818181818183</v>
      </c>
      <c r="CV58" s="6">
        <f t="shared" si="215"/>
        <v>108.98</v>
      </c>
      <c r="CW58" s="5">
        <f t="shared" si="216"/>
        <v>3.096022727272727</v>
      </c>
      <c r="CX58" s="385">
        <f t="shared" si="217"/>
        <v>6.9773863636363638</v>
      </c>
      <c r="CY58" s="5">
        <f t="shared" si="218"/>
        <v>37.35795454545454</v>
      </c>
      <c r="CZ58" s="5">
        <f t="shared" si="219"/>
        <v>28.579545454545453</v>
      </c>
      <c r="DA58" s="6">
        <f t="shared" si="220"/>
        <v>48</v>
      </c>
      <c r="DB58" s="5">
        <f t="shared" si="221"/>
        <v>1.3636363636363635</v>
      </c>
      <c r="DC58" s="6">
        <f t="shared" si="222"/>
        <v>209</v>
      </c>
      <c r="DD58" s="5">
        <f t="shared" si="223"/>
        <v>5.9374999999999991</v>
      </c>
      <c r="DE58" s="6">
        <f t="shared" si="224"/>
        <v>147</v>
      </c>
      <c r="DF58" s="5">
        <f t="shared" si="225"/>
        <v>4.1761363636363633</v>
      </c>
      <c r="DG58" s="6">
        <f t="shared" si="226"/>
        <v>179</v>
      </c>
      <c r="DH58" s="5">
        <f t="shared" si="227"/>
        <v>5.0852272727272725</v>
      </c>
      <c r="DI58" s="5">
        <f t="shared" si="228"/>
        <v>15.4</v>
      </c>
      <c r="DJ58" s="5">
        <f t="shared" si="229"/>
        <v>359.8</v>
      </c>
      <c r="DK58" s="5">
        <f t="shared" si="230"/>
        <v>10.221590909090908</v>
      </c>
      <c r="DL58" s="286">
        <f t="shared" si="231"/>
        <v>186.56</v>
      </c>
      <c r="DM58" s="287">
        <f t="shared" si="232"/>
        <v>5.3</v>
      </c>
      <c r="DN58" s="60">
        <f t="shared" si="233"/>
        <v>6.95</v>
      </c>
      <c r="DO58"/>
      <c r="DP58" t="s">
        <v>1007</v>
      </c>
      <c r="DQ58" t="s">
        <v>1479</v>
      </c>
      <c r="DR58">
        <v>30</v>
      </c>
      <c r="DS58" t="s">
        <v>1480</v>
      </c>
      <c r="DT58" t="s">
        <v>696</v>
      </c>
      <c r="DU58" t="s">
        <v>1201</v>
      </c>
      <c r="DV58" t="s">
        <v>1202</v>
      </c>
      <c r="DW58" t="s">
        <v>1481</v>
      </c>
      <c r="DX58" s="430">
        <v>47118</v>
      </c>
      <c r="DY58">
        <v>3168</v>
      </c>
      <c r="DZ58">
        <v>39</v>
      </c>
      <c r="EA58">
        <v>4</v>
      </c>
      <c r="EB58">
        <v>17</v>
      </c>
      <c r="EC58">
        <v>1</v>
      </c>
      <c r="ED58">
        <v>3</v>
      </c>
      <c r="EE58">
        <v>15.4</v>
      </c>
      <c r="EF58" t="s">
        <v>1482</v>
      </c>
      <c r="EG58" t="s">
        <v>1483</v>
      </c>
      <c r="EH58">
        <v>39</v>
      </c>
      <c r="EI58">
        <v>61</v>
      </c>
      <c r="EJ58">
        <v>1075</v>
      </c>
      <c r="EK58">
        <v>955</v>
      </c>
      <c r="EL58">
        <v>27</v>
      </c>
      <c r="EM58">
        <v>21</v>
      </c>
      <c r="EN58">
        <v>36</v>
      </c>
      <c r="EO58">
        <v>117</v>
      </c>
      <c r="EP58">
        <v>64</v>
      </c>
      <c r="EQ58">
        <v>58</v>
      </c>
      <c r="ER58">
        <v>20</v>
      </c>
      <c r="ES58">
        <v>12</v>
      </c>
      <c r="ET58">
        <v>6</v>
      </c>
      <c r="EU58">
        <v>12</v>
      </c>
      <c r="EV58">
        <v>6</v>
      </c>
      <c r="EW58">
        <v>0</v>
      </c>
      <c r="EX58">
        <v>0.9</v>
      </c>
      <c r="EY58">
        <v>0</v>
      </c>
      <c r="EZ58">
        <v>7</v>
      </c>
      <c r="FA58">
        <v>4</v>
      </c>
      <c r="FB58">
        <v>5.3</v>
      </c>
      <c r="FC58" t="s">
        <v>1484</v>
      </c>
      <c r="FD58">
        <v>6.95</v>
      </c>
    </row>
    <row r="59" spans="1:160" ht="24.95" customHeight="1" thickBot="1" x14ac:dyDescent="0.3">
      <c r="A59" s="29" t="str">
        <f t="shared" si="0"/>
        <v>58º</v>
      </c>
      <c r="B59" s="67" t="str">
        <f t="shared" si="118"/>
        <v>Leonardo Heredia</v>
      </c>
      <c r="C59" s="83" t="str">
        <f t="shared" si="119"/>
        <v>ARG</v>
      </c>
      <c r="D59" s="9" t="str">
        <f t="shared" si="120"/>
        <v>Platense</v>
      </c>
      <c r="E59" s="91" t="str">
        <f t="shared" si="121"/>
        <v>Pé Direito</v>
      </c>
      <c r="F59" s="155">
        <f t="shared" si="122"/>
        <v>1.87</v>
      </c>
      <c r="G59" s="35">
        <f t="shared" si="123"/>
        <v>47118</v>
      </c>
      <c r="H59" s="7">
        <f t="shared" si="124"/>
        <v>30</v>
      </c>
      <c r="I59" s="299" t="str">
        <f t="shared" si="125"/>
        <v>11,25m € - 17,5m € p/m</v>
      </c>
      <c r="J59" s="3" t="str">
        <f t="shared" si="126"/>
        <v>700m € - 7,2M €</v>
      </c>
      <c r="K59" s="89">
        <f t="shared" si="10"/>
        <v>31.398046398046404</v>
      </c>
      <c r="L59" s="133">
        <f t="shared" si="127"/>
        <v>31.333333333333332</v>
      </c>
      <c r="M59" s="134">
        <f t="shared" si="128"/>
        <v>36</v>
      </c>
      <c r="N59" s="134">
        <f t="shared" si="129"/>
        <v>78.333333333333329</v>
      </c>
      <c r="O59" s="173">
        <f t="shared" si="130"/>
        <v>0.97</v>
      </c>
      <c r="P59" s="402">
        <f t="shared" si="131"/>
        <v>9</v>
      </c>
      <c r="Q59" s="402">
        <f t="shared" si="132"/>
        <v>10</v>
      </c>
      <c r="R59" s="402">
        <f t="shared" si="133"/>
        <v>19</v>
      </c>
      <c r="S59" s="6">
        <f t="shared" si="134"/>
        <v>3</v>
      </c>
      <c r="T59" s="24">
        <f t="shared" si="135"/>
        <v>940</v>
      </c>
      <c r="U59" s="21">
        <f t="shared" si="136"/>
        <v>9.5744680851063829E-2</v>
      </c>
      <c r="V59" s="298">
        <f t="shared" si="137"/>
        <v>0</v>
      </c>
      <c r="W59" s="300">
        <f t="shared" si="138"/>
        <v>0</v>
      </c>
      <c r="X59" s="298">
        <f t="shared" si="139"/>
        <v>0</v>
      </c>
      <c r="Y59" s="300">
        <f t="shared" si="140"/>
        <v>0</v>
      </c>
      <c r="Z59" s="290">
        <f t="shared" si="141"/>
        <v>0</v>
      </c>
      <c r="AA59" s="298">
        <f t="shared" si="142"/>
        <v>5</v>
      </c>
      <c r="AB59" s="286">
        <f t="shared" si="143"/>
        <v>2</v>
      </c>
      <c r="AC59" s="286">
        <f t="shared" si="144"/>
        <v>1</v>
      </c>
      <c r="AD59" s="286">
        <f t="shared" si="145"/>
        <v>1</v>
      </c>
      <c r="AE59" s="21">
        <f t="shared" si="146"/>
        <v>0.5</v>
      </c>
      <c r="AF59" s="421">
        <f t="shared" si="147"/>
        <v>9</v>
      </c>
      <c r="AG59" s="421">
        <f t="shared" si="148"/>
        <v>10</v>
      </c>
      <c r="AH59" s="421">
        <f t="shared" si="149"/>
        <v>19</v>
      </c>
      <c r="AI59" s="421">
        <f t="shared" si="150"/>
        <v>8</v>
      </c>
      <c r="AJ59" s="420">
        <f t="shared" si="151"/>
        <v>6</v>
      </c>
      <c r="AK59" s="422">
        <f t="shared" si="152"/>
        <v>0.28723404255319152</v>
      </c>
      <c r="AL59" s="422">
        <f t="shared" si="153"/>
        <v>0.31914893617021278</v>
      </c>
      <c r="AM59" s="422">
        <f t="shared" si="154"/>
        <v>0.6063829787234043</v>
      </c>
      <c r="AN59" s="5">
        <f t="shared" si="155"/>
        <v>13.18</v>
      </c>
      <c r="AO59" s="5">
        <f t="shared" si="156"/>
        <v>11.6</v>
      </c>
      <c r="AP59" s="5">
        <f t="shared" si="157"/>
        <v>0.37021276595744679</v>
      </c>
      <c r="AQ59" s="5">
        <f t="shared" si="158"/>
        <v>6.44</v>
      </c>
      <c r="AR59" s="5">
        <f t="shared" si="159"/>
        <v>0.20553191489361705</v>
      </c>
      <c r="AS59" s="5">
        <f t="shared" si="160"/>
        <v>18.04</v>
      </c>
      <c r="AT59" s="5">
        <f t="shared" si="161"/>
        <v>0.57574468085106378</v>
      </c>
      <c r="AU59" s="21">
        <f t="shared" si="162"/>
        <v>0.3917274939172749</v>
      </c>
      <c r="AV59" s="21">
        <f t="shared" si="163"/>
        <v>0.40577096483318303</v>
      </c>
      <c r="AW59" s="6">
        <f t="shared" si="164"/>
        <v>9</v>
      </c>
      <c r="AX59" s="6">
        <f t="shared" si="165"/>
        <v>1</v>
      </c>
      <c r="AY59" s="21">
        <f t="shared" si="166"/>
        <v>0.1111111111111111</v>
      </c>
      <c r="AZ59" s="304">
        <f t="shared" si="167"/>
        <v>24</v>
      </c>
      <c r="BA59" s="305">
        <f t="shared" si="168"/>
        <v>0.76595744680851063</v>
      </c>
      <c r="BB59" s="413">
        <f t="shared" si="169"/>
        <v>15.710999999999999</v>
      </c>
      <c r="BC59" s="413">
        <f t="shared" si="170"/>
        <v>0.5014148936170213</v>
      </c>
      <c r="BD59" s="6">
        <f t="shared" si="171"/>
        <v>981</v>
      </c>
      <c r="BE59" s="5">
        <f t="shared" si="172"/>
        <v>31.308510638297875</v>
      </c>
      <c r="BF59" s="6">
        <f t="shared" si="173"/>
        <v>890</v>
      </c>
      <c r="BG59" s="5">
        <f t="shared" si="174"/>
        <v>28.404255319148938</v>
      </c>
      <c r="BH59" s="21">
        <f t="shared" si="175"/>
        <v>0.90723751274209985</v>
      </c>
      <c r="BI59" s="417">
        <f t="shared" si="176"/>
        <v>91</v>
      </c>
      <c r="BJ59" s="418">
        <f t="shared" si="177"/>
        <v>2.9042553191489362</v>
      </c>
      <c r="BK59" s="195">
        <f t="shared" si="178"/>
        <v>19</v>
      </c>
      <c r="BL59" s="5">
        <f t="shared" si="179"/>
        <v>0.6063829787234043</v>
      </c>
      <c r="BM59" s="21">
        <f t="shared" si="180"/>
        <v>1.9367991845056064E-2</v>
      </c>
      <c r="BN59" s="195">
        <f t="shared" si="181"/>
        <v>35</v>
      </c>
      <c r="BO59" s="185">
        <f t="shared" si="182"/>
        <v>1.1170212765957448</v>
      </c>
      <c r="BP59" s="5">
        <f t="shared" si="183"/>
        <v>3.5</v>
      </c>
      <c r="BQ59" s="21">
        <f t="shared" si="184"/>
        <v>0.2857142857142857</v>
      </c>
      <c r="BR59" s="5">
        <f t="shared" si="185"/>
        <v>-3.5599999999999996</v>
      </c>
      <c r="BS59" s="5">
        <f t="shared" si="186"/>
        <v>0.18400000000000002</v>
      </c>
      <c r="BT59" s="24">
        <f t="shared" si="187"/>
        <v>80.571428571428569</v>
      </c>
      <c r="BU59" s="5">
        <f t="shared" si="188"/>
        <v>36.623376623376622</v>
      </c>
      <c r="BV59" s="5">
        <f t="shared" si="189"/>
        <v>-4.18</v>
      </c>
      <c r="BW59" s="5">
        <f t="shared" si="190"/>
        <v>-4.97</v>
      </c>
      <c r="BX59" s="6">
        <f t="shared" si="191"/>
        <v>98</v>
      </c>
      <c r="BY59" s="5">
        <f t="shared" si="192"/>
        <v>3.1276595744680851</v>
      </c>
      <c r="BZ59" s="6">
        <f t="shared" si="193"/>
        <v>65</v>
      </c>
      <c r="CA59" s="5">
        <f t="shared" si="194"/>
        <v>2.0744680851063833</v>
      </c>
      <c r="CB59" s="6">
        <f t="shared" si="195"/>
        <v>35</v>
      </c>
      <c r="CC59" s="5">
        <f t="shared" si="196"/>
        <v>1.1170212765957448</v>
      </c>
      <c r="CD59" s="5">
        <f t="shared" si="197"/>
        <v>1.0851063829787235</v>
      </c>
      <c r="CE59" s="21">
        <f t="shared" si="198"/>
        <v>0.34693877551020408</v>
      </c>
      <c r="CF59" s="5">
        <f t="shared" si="199"/>
        <v>12.25</v>
      </c>
      <c r="CG59" s="5">
        <f t="shared" si="200"/>
        <v>3.8888888888888888</v>
      </c>
      <c r="CH59" s="21">
        <f t="shared" si="201"/>
        <v>8.1632653061224483E-2</v>
      </c>
      <c r="CI59" s="298">
        <f t="shared" si="202"/>
        <v>1</v>
      </c>
      <c r="CJ59" s="298">
        <f t="shared" si="203"/>
        <v>6</v>
      </c>
      <c r="CK59" s="298">
        <f t="shared" si="204"/>
        <v>2</v>
      </c>
      <c r="CL59" s="21">
        <f t="shared" si="205"/>
        <v>0.15957446808510639</v>
      </c>
      <c r="CM59" s="6">
        <f t="shared" si="206"/>
        <v>17.899999999999999</v>
      </c>
      <c r="CN59" s="5">
        <f t="shared" si="207"/>
        <v>0.57127659574468082</v>
      </c>
      <c r="CO59" s="167">
        <f t="shared" si="208"/>
        <v>168</v>
      </c>
      <c r="CP59" s="5">
        <f t="shared" si="209"/>
        <v>5.3617021276595747</v>
      </c>
      <c r="CQ59" s="6">
        <f t="shared" si="210"/>
        <v>95</v>
      </c>
      <c r="CR59" s="5">
        <f t="shared" si="211"/>
        <v>3.0319148936170213</v>
      </c>
      <c r="CS59" s="21">
        <f t="shared" si="212"/>
        <v>0.56547619047619047</v>
      </c>
      <c r="CT59" s="6">
        <f t="shared" si="213"/>
        <v>99.94</v>
      </c>
      <c r="CU59" s="5">
        <f t="shared" si="214"/>
        <v>3.1895744680851066</v>
      </c>
      <c r="CV59" s="6">
        <f t="shared" si="215"/>
        <v>98.69</v>
      </c>
      <c r="CW59" s="5">
        <f t="shared" si="216"/>
        <v>3.1496808510638297</v>
      </c>
      <c r="CX59" s="385">
        <f t="shared" si="217"/>
        <v>9.5158723404255312</v>
      </c>
      <c r="CY59" s="5">
        <f t="shared" si="218"/>
        <v>38.074468085106382</v>
      </c>
      <c r="CZ59" s="5">
        <f t="shared" si="219"/>
        <v>30.414893617021278</v>
      </c>
      <c r="DA59" s="6">
        <f t="shared" si="220"/>
        <v>54</v>
      </c>
      <c r="DB59" s="5">
        <f t="shared" si="221"/>
        <v>1.7234042553191491</v>
      </c>
      <c r="DC59" s="6">
        <f t="shared" si="222"/>
        <v>194</v>
      </c>
      <c r="DD59" s="5">
        <f t="shared" si="223"/>
        <v>6.1914893617021276</v>
      </c>
      <c r="DE59" s="6">
        <f t="shared" si="224"/>
        <v>144</v>
      </c>
      <c r="DF59" s="5">
        <f t="shared" si="225"/>
        <v>4.5957446808510642</v>
      </c>
      <c r="DG59" s="6">
        <f t="shared" si="226"/>
        <v>164</v>
      </c>
      <c r="DH59" s="5">
        <f t="shared" si="227"/>
        <v>5.2340425531914896</v>
      </c>
      <c r="DI59" s="5">
        <f t="shared" si="228"/>
        <v>17.899999999999999</v>
      </c>
      <c r="DJ59" s="5">
        <f t="shared" si="229"/>
        <v>336.5</v>
      </c>
      <c r="DK59" s="5">
        <f t="shared" si="230"/>
        <v>10.73936170212766</v>
      </c>
      <c r="DL59" s="286">
        <f t="shared" si="231"/>
        <v>206.79999999999998</v>
      </c>
      <c r="DM59" s="287">
        <f t="shared" si="232"/>
        <v>6.6</v>
      </c>
      <c r="DN59" s="60">
        <f t="shared" si="233"/>
        <v>6.95</v>
      </c>
      <c r="DO59"/>
      <c r="DP59" t="s">
        <v>708</v>
      </c>
      <c r="DQ59" t="s">
        <v>1485</v>
      </c>
      <c r="DR59">
        <v>30</v>
      </c>
      <c r="DS59" t="s">
        <v>1486</v>
      </c>
      <c r="DT59" t="s">
        <v>713</v>
      </c>
      <c r="DU59" t="s">
        <v>573</v>
      </c>
      <c r="DV59" t="s">
        <v>1487</v>
      </c>
      <c r="DW59" t="s">
        <v>1488</v>
      </c>
      <c r="DX59" s="430">
        <v>47118</v>
      </c>
      <c r="DY59">
        <v>2820</v>
      </c>
      <c r="DZ59" t="s">
        <v>1489</v>
      </c>
      <c r="EA59">
        <v>3</v>
      </c>
      <c r="EB59">
        <v>9</v>
      </c>
      <c r="EC59">
        <v>10</v>
      </c>
      <c r="ED59">
        <v>9</v>
      </c>
      <c r="EE59">
        <v>17.899999999999999</v>
      </c>
      <c r="EF59" t="s">
        <v>1490</v>
      </c>
      <c r="EG59" t="s">
        <v>1491</v>
      </c>
      <c r="EH59">
        <v>24</v>
      </c>
      <c r="EI59">
        <v>65</v>
      </c>
      <c r="EJ59">
        <v>981</v>
      </c>
      <c r="EK59">
        <v>890</v>
      </c>
      <c r="EL59">
        <v>35</v>
      </c>
      <c r="EM59">
        <v>19</v>
      </c>
      <c r="EN59">
        <v>24</v>
      </c>
      <c r="EO59">
        <v>100</v>
      </c>
      <c r="EP59">
        <v>35</v>
      </c>
      <c r="EQ59">
        <v>41</v>
      </c>
      <c r="ER59">
        <v>17</v>
      </c>
      <c r="ES59">
        <v>9</v>
      </c>
      <c r="ET59">
        <v>1</v>
      </c>
      <c r="EU59">
        <v>9</v>
      </c>
      <c r="EV59">
        <v>1</v>
      </c>
      <c r="EW59">
        <v>6</v>
      </c>
      <c r="EX59">
        <v>1.2</v>
      </c>
      <c r="EY59">
        <v>5</v>
      </c>
      <c r="EZ59">
        <v>2</v>
      </c>
      <c r="FA59">
        <v>1</v>
      </c>
      <c r="FB59">
        <v>6.6</v>
      </c>
      <c r="FC59" t="s">
        <v>1492</v>
      </c>
      <c r="FD59">
        <v>6.95</v>
      </c>
    </row>
    <row r="60" spans="1:160" ht="24.95" customHeight="1" thickBot="1" x14ac:dyDescent="0.3">
      <c r="A60" s="29" t="str">
        <f t="shared" si="0"/>
        <v>59º</v>
      </c>
      <c r="B60" s="67" t="str">
        <f t="shared" si="118"/>
        <v>Nicolás Sosa</v>
      </c>
      <c r="C60" s="83" t="str">
        <f t="shared" si="119"/>
        <v>URU</v>
      </c>
      <c r="D60" s="9" t="str">
        <f t="shared" si="120"/>
        <v>Racing</v>
      </c>
      <c r="E60" s="91" t="str">
        <f t="shared" si="121"/>
        <v>Pé Preferido Desconhecido</v>
      </c>
      <c r="F60" s="155">
        <f t="shared" si="122"/>
        <v>1.78</v>
      </c>
      <c r="G60" s="35">
        <f t="shared" si="123"/>
        <v>47299</v>
      </c>
      <c r="H60" s="7">
        <f t="shared" si="124"/>
        <v>30</v>
      </c>
      <c r="I60" s="299" t="str">
        <f t="shared" si="125"/>
        <v>6,5m € - 10m € p/m</v>
      </c>
      <c r="J60" s="3" t="str">
        <f t="shared" si="126"/>
        <v>Desconhecido</v>
      </c>
      <c r="K60" s="89">
        <f t="shared" si="10"/>
        <v>31.398046398046404</v>
      </c>
      <c r="L60" s="133">
        <f t="shared" si="127"/>
        <v>28.6</v>
      </c>
      <c r="M60" s="134">
        <f t="shared" si="128"/>
        <v>32</v>
      </c>
      <c r="N60" s="134">
        <f t="shared" si="129"/>
        <v>80.4375</v>
      </c>
      <c r="O60" s="173">
        <f t="shared" si="130"/>
        <v>0.94</v>
      </c>
      <c r="P60" s="402">
        <f t="shared" si="131"/>
        <v>5</v>
      </c>
      <c r="Q60" s="402">
        <f t="shared" si="132"/>
        <v>3</v>
      </c>
      <c r="R60" s="402">
        <f t="shared" si="133"/>
        <v>8</v>
      </c>
      <c r="S60" s="6">
        <f t="shared" si="134"/>
        <v>1</v>
      </c>
      <c r="T60" s="24">
        <f t="shared" si="135"/>
        <v>2574</v>
      </c>
      <c r="U60" s="21">
        <f t="shared" si="136"/>
        <v>3.4965034965034961E-2</v>
      </c>
      <c r="V60" s="298">
        <f t="shared" si="137"/>
        <v>0</v>
      </c>
      <c r="W60" s="300">
        <f t="shared" si="138"/>
        <v>0</v>
      </c>
      <c r="X60" s="298">
        <f t="shared" si="139"/>
        <v>0</v>
      </c>
      <c r="Y60" s="300">
        <f t="shared" si="140"/>
        <v>0</v>
      </c>
      <c r="Z60" s="290">
        <f t="shared" si="141"/>
        <v>0</v>
      </c>
      <c r="AA60" s="298">
        <f t="shared" si="142"/>
        <v>0</v>
      </c>
      <c r="AB60" s="286">
        <f t="shared" si="143"/>
        <v>0</v>
      </c>
      <c r="AC60" s="286">
        <f t="shared" si="144"/>
        <v>0</v>
      </c>
      <c r="AD60" s="286">
        <f t="shared" si="145"/>
        <v>0</v>
      </c>
      <c r="AE60" s="21">
        <f t="shared" si="146"/>
        <v>9.9999999999999995E-8</v>
      </c>
      <c r="AF60" s="421">
        <f t="shared" si="147"/>
        <v>5</v>
      </c>
      <c r="AG60" s="421">
        <f t="shared" si="148"/>
        <v>3</v>
      </c>
      <c r="AH60" s="421">
        <f t="shared" si="149"/>
        <v>8</v>
      </c>
      <c r="AI60" s="421">
        <f t="shared" si="150"/>
        <v>5</v>
      </c>
      <c r="AJ60" s="420">
        <f t="shared" si="151"/>
        <v>1</v>
      </c>
      <c r="AK60" s="422">
        <f t="shared" si="152"/>
        <v>0.17482517482517482</v>
      </c>
      <c r="AL60" s="422">
        <f t="shared" si="153"/>
        <v>0.1048951048951049</v>
      </c>
      <c r="AM60" s="422">
        <f t="shared" si="154"/>
        <v>0.27972027972027969</v>
      </c>
      <c r="AN60" s="5">
        <f t="shared" si="155"/>
        <v>5.31</v>
      </c>
      <c r="AO60" s="5">
        <f t="shared" si="156"/>
        <v>5.31</v>
      </c>
      <c r="AP60" s="5">
        <f t="shared" si="157"/>
        <v>0.18566433566433563</v>
      </c>
      <c r="AQ60" s="5">
        <f t="shared" si="158"/>
        <v>2.14</v>
      </c>
      <c r="AR60" s="5">
        <f t="shared" si="159"/>
        <v>7.4825174825174826E-2</v>
      </c>
      <c r="AS60" s="5">
        <f t="shared" si="160"/>
        <v>7.4499999999999993</v>
      </c>
      <c r="AT60" s="5">
        <f t="shared" si="161"/>
        <v>0.26048951048951047</v>
      </c>
      <c r="AU60" s="21">
        <f t="shared" si="162"/>
        <v>0.41634241245136183</v>
      </c>
      <c r="AV60" s="21">
        <f t="shared" si="163"/>
        <v>0.48496605237633372</v>
      </c>
      <c r="AW60" s="6">
        <f t="shared" si="164"/>
        <v>18</v>
      </c>
      <c r="AX60" s="6">
        <f t="shared" si="165"/>
        <v>4</v>
      </c>
      <c r="AY60" s="21">
        <f t="shared" si="166"/>
        <v>0.22222222222222221</v>
      </c>
      <c r="AZ60" s="304">
        <f t="shared" si="167"/>
        <v>14</v>
      </c>
      <c r="BA60" s="305">
        <f t="shared" si="168"/>
        <v>0.48951048951048948</v>
      </c>
      <c r="BB60" s="413">
        <f t="shared" si="169"/>
        <v>10.665999999999999</v>
      </c>
      <c r="BC60" s="413">
        <f t="shared" si="170"/>
        <v>0.37293706293706291</v>
      </c>
      <c r="BD60" s="6">
        <f t="shared" si="171"/>
        <v>794</v>
      </c>
      <c r="BE60" s="5">
        <f t="shared" si="172"/>
        <v>27.76223776223776</v>
      </c>
      <c r="BF60" s="6">
        <f t="shared" si="173"/>
        <v>685</v>
      </c>
      <c r="BG60" s="5">
        <f t="shared" si="174"/>
        <v>23.95104895104895</v>
      </c>
      <c r="BH60" s="21">
        <f t="shared" si="175"/>
        <v>0.86272040302267006</v>
      </c>
      <c r="BI60" s="417">
        <f t="shared" si="176"/>
        <v>109</v>
      </c>
      <c r="BJ60" s="418">
        <f t="shared" si="177"/>
        <v>3.8111888111888108</v>
      </c>
      <c r="BK60" s="195">
        <f t="shared" si="178"/>
        <v>21</v>
      </c>
      <c r="BL60" s="5">
        <f t="shared" si="179"/>
        <v>0.73426573426573427</v>
      </c>
      <c r="BM60" s="21">
        <f t="shared" si="180"/>
        <v>2.6448362720403022E-2</v>
      </c>
      <c r="BN60" s="195">
        <f t="shared" si="181"/>
        <v>29</v>
      </c>
      <c r="BO60" s="185">
        <f t="shared" si="182"/>
        <v>1.013986013986014</v>
      </c>
      <c r="BP60" s="5">
        <f t="shared" si="183"/>
        <v>9.6666666666666661</v>
      </c>
      <c r="BQ60" s="21">
        <f t="shared" si="184"/>
        <v>0.10344827586206896</v>
      </c>
      <c r="BR60" s="5">
        <f t="shared" si="185"/>
        <v>-0.85999999999999988</v>
      </c>
      <c r="BS60" s="5">
        <f t="shared" si="186"/>
        <v>7.379310344827586E-2</v>
      </c>
      <c r="BT60" s="24">
        <f t="shared" si="187"/>
        <v>88.758620689655174</v>
      </c>
      <c r="BU60" s="5">
        <f t="shared" si="188"/>
        <v>42.9</v>
      </c>
      <c r="BV60" s="5">
        <f t="shared" si="189"/>
        <v>-0.30999999999999961</v>
      </c>
      <c r="BW60" s="5">
        <f t="shared" si="190"/>
        <v>-0.30999999999999961</v>
      </c>
      <c r="BX60" s="6">
        <f t="shared" si="191"/>
        <v>58</v>
      </c>
      <c r="BY60" s="5">
        <f t="shared" si="192"/>
        <v>2.0279720279720279</v>
      </c>
      <c r="BZ60" s="6">
        <f t="shared" si="193"/>
        <v>31</v>
      </c>
      <c r="CA60" s="5">
        <f t="shared" si="194"/>
        <v>1.083916083916084</v>
      </c>
      <c r="CB60" s="6">
        <f t="shared" si="195"/>
        <v>27</v>
      </c>
      <c r="CC60" s="5">
        <f t="shared" si="196"/>
        <v>0.94405594405594406</v>
      </c>
      <c r="CD60" s="5">
        <f t="shared" si="197"/>
        <v>0.94405594405594406</v>
      </c>
      <c r="CE60" s="21">
        <f t="shared" si="198"/>
        <v>0.46551724137931033</v>
      </c>
      <c r="CF60" s="5">
        <f t="shared" si="199"/>
        <v>11.6</v>
      </c>
      <c r="CG60" s="5">
        <f t="shared" si="200"/>
        <v>5.4</v>
      </c>
      <c r="CH60" s="21">
        <f t="shared" si="201"/>
        <v>8.6206896551724144E-2</v>
      </c>
      <c r="CI60" s="298">
        <f t="shared" si="202"/>
        <v>4</v>
      </c>
      <c r="CJ60" s="298">
        <f t="shared" si="203"/>
        <v>1</v>
      </c>
      <c r="CK60" s="298">
        <f t="shared" si="204"/>
        <v>0</v>
      </c>
      <c r="CL60" s="21">
        <f t="shared" si="205"/>
        <v>5.8275058275058272E-2</v>
      </c>
      <c r="CM60" s="6">
        <f t="shared" si="206"/>
        <v>20.9</v>
      </c>
      <c r="CN60" s="5">
        <f t="shared" si="207"/>
        <v>0.73076923076923073</v>
      </c>
      <c r="CO60" s="167">
        <f t="shared" si="208"/>
        <v>119</v>
      </c>
      <c r="CP60" s="5">
        <f t="shared" si="209"/>
        <v>4.1608391608391608</v>
      </c>
      <c r="CQ60" s="6">
        <f t="shared" si="210"/>
        <v>74</v>
      </c>
      <c r="CR60" s="5">
        <f t="shared" si="211"/>
        <v>2.5874125874125875</v>
      </c>
      <c r="CS60" s="21">
        <f t="shared" si="212"/>
        <v>0.62184873949579833</v>
      </c>
      <c r="CT60" s="6">
        <f t="shared" si="213"/>
        <v>71.14</v>
      </c>
      <c r="CU60" s="5">
        <f t="shared" si="214"/>
        <v>2.4874125874125874</v>
      </c>
      <c r="CV60" s="6">
        <f t="shared" si="215"/>
        <v>72.14</v>
      </c>
      <c r="CW60" s="5">
        <f t="shared" si="216"/>
        <v>2.5223776223776224</v>
      </c>
      <c r="CX60" s="385">
        <f t="shared" si="217"/>
        <v>6.7555244755244761</v>
      </c>
      <c r="CY60" s="5">
        <f t="shared" si="218"/>
        <v>33.076923076923073</v>
      </c>
      <c r="CZ60" s="5">
        <f t="shared" si="219"/>
        <v>25.839160839160837</v>
      </c>
      <c r="DA60" s="6">
        <f t="shared" si="220"/>
        <v>50</v>
      </c>
      <c r="DB60" s="5">
        <f t="shared" si="221"/>
        <v>1.7482517482517481</v>
      </c>
      <c r="DC60" s="6">
        <f t="shared" si="222"/>
        <v>144</v>
      </c>
      <c r="DD60" s="5">
        <f t="shared" si="223"/>
        <v>5.034965034965035</v>
      </c>
      <c r="DE60" s="6">
        <f t="shared" si="224"/>
        <v>91</v>
      </c>
      <c r="DF60" s="5">
        <f t="shared" si="225"/>
        <v>3.1818181818181817</v>
      </c>
      <c r="DG60" s="6">
        <f t="shared" si="226"/>
        <v>154</v>
      </c>
      <c r="DH60" s="5">
        <f t="shared" si="227"/>
        <v>5.3846153846153841</v>
      </c>
      <c r="DI60" s="5">
        <f t="shared" si="228"/>
        <v>20.9</v>
      </c>
      <c r="DJ60" s="5">
        <f t="shared" si="229"/>
        <v>293.89999999999998</v>
      </c>
      <c r="DK60" s="5">
        <f t="shared" si="230"/>
        <v>10.276223776223775</v>
      </c>
      <c r="DL60" s="286">
        <f t="shared" si="231"/>
        <v>245.96</v>
      </c>
      <c r="DM60" s="287">
        <f t="shared" si="232"/>
        <v>8.6</v>
      </c>
      <c r="DN60" s="60">
        <f t="shared" si="233"/>
        <v>6.7</v>
      </c>
      <c r="DO60"/>
      <c r="DP60" t="s">
        <v>1119</v>
      </c>
      <c r="DQ60" t="s">
        <v>1493</v>
      </c>
      <c r="DR60">
        <v>30</v>
      </c>
      <c r="DS60" t="s">
        <v>1494</v>
      </c>
      <c r="DT60" t="s">
        <v>524</v>
      </c>
      <c r="DU60" t="s">
        <v>1201</v>
      </c>
      <c r="DV60" t="s">
        <v>1202</v>
      </c>
      <c r="DW60" t="s">
        <v>1495</v>
      </c>
      <c r="DX60" s="430">
        <v>47299</v>
      </c>
      <c r="DY60">
        <v>2574</v>
      </c>
      <c r="DZ60" t="s">
        <v>1496</v>
      </c>
      <c r="EA60">
        <v>1</v>
      </c>
      <c r="EB60">
        <v>5</v>
      </c>
      <c r="EC60">
        <v>3</v>
      </c>
      <c r="ED60">
        <v>4</v>
      </c>
      <c r="EE60">
        <v>20.9</v>
      </c>
      <c r="EF60" t="s">
        <v>1497</v>
      </c>
      <c r="EG60" t="s">
        <v>1283</v>
      </c>
      <c r="EH60">
        <v>29</v>
      </c>
      <c r="EI60">
        <v>55</v>
      </c>
      <c r="EJ60">
        <v>794</v>
      </c>
      <c r="EK60">
        <v>685</v>
      </c>
      <c r="EL60">
        <v>29</v>
      </c>
      <c r="EM60">
        <v>21</v>
      </c>
      <c r="EN60">
        <v>14</v>
      </c>
      <c r="EO60">
        <v>58</v>
      </c>
      <c r="EP60">
        <v>27</v>
      </c>
      <c r="EQ60">
        <v>55</v>
      </c>
      <c r="ER60">
        <v>18</v>
      </c>
      <c r="ES60">
        <v>18</v>
      </c>
      <c r="ET60">
        <v>4</v>
      </c>
      <c r="EU60">
        <v>18</v>
      </c>
      <c r="EV60">
        <v>4</v>
      </c>
      <c r="EW60">
        <v>1</v>
      </c>
      <c r="EX60">
        <v>0.6</v>
      </c>
      <c r="EY60">
        <v>0</v>
      </c>
      <c r="EZ60">
        <v>0</v>
      </c>
      <c r="FA60">
        <v>0</v>
      </c>
      <c r="FB60">
        <v>8.6</v>
      </c>
      <c r="FC60" t="s">
        <v>1498</v>
      </c>
      <c r="FD60">
        <v>6.7</v>
      </c>
    </row>
    <row r="61" spans="1:160" ht="24.95" customHeight="1" thickBot="1" x14ac:dyDescent="0.3">
      <c r="A61" s="29" t="str">
        <f t="shared" si="0"/>
        <v>60º</v>
      </c>
      <c r="B61" s="67" t="str">
        <f t="shared" si="118"/>
        <v>Miguel Merentiel</v>
      </c>
      <c r="C61" s="83" t="str">
        <f t="shared" si="119"/>
        <v>URU</v>
      </c>
      <c r="D61" s="9" t="str">
        <f t="shared" si="120"/>
        <v>Boca Juniors</v>
      </c>
      <c r="E61" s="91" t="str">
        <f t="shared" si="121"/>
        <v>Pé Direito</v>
      </c>
      <c r="F61" s="155">
        <f t="shared" si="122"/>
        <v>1.76</v>
      </c>
      <c r="G61" s="35">
        <f t="shared" si="123"/>
        <v>47118</v>
      </c>
      <c r="H61" s="7">
        <f t="shared" si="124"/>
        <v>30</v>
      </c>
      <c r="I61" s="299" t="str">
        <f t="shared" si="125"/>
        <v>70m € - 114m € p/m</v>
      </c>
      <c r="J61" s="3" t="str">
        <f t="shared" si="126"/>
        <v>11,5M € - 18M €</v>
      </c>
      <c r="K61" s="89">
        <f t="shared" si="10"/>
        <v>31.398046398046404</v>
      </c>
      <c r="L61" s="133">
        <f t="shared" si="127"/>
        <v>42.744444444444447</v>
      </c>
      <c r="M61" s="134">
        <f t="shared" si="128"/>
        <v>45</v>
      </c>
      <c r="N61" s="134">
        <f t="shared" si="129"/>
        <v>85.488888888888894</v>
      </c>
      <c r="O61" s="173">
        <f t="shared" si="130"/>
        <v>1</v>
      </c>
      <c r="P61" s="402">
        <f t="shared" si="131"/>
        <v>19</v>
      </c>
      <c r="Q61" s="402">
        <f t="shared" si="132"/>
        <v>7</v>
      </c>
      <c r="R61" s="402">
        <f t="shared" si="133"/>
        <v>26</v>
      </c>
      <c r="S61" s="6">
        <f t="shared" si="134"/>
        <v>4</v>
      </c>
      <c r="T61" s="24">
        <f t="shared" si="135"/>
        <v>961.75</v>
      </c>
      <c r="U61" s="21">
        <f t="shared" si="136"/>
        <v>9.3579412529243566E-2</v>
      </c>
      <c r="V61" s="298">
        <f t="shared" si="137"/>
        <v>0</v>
      </c>
      <c r="W61" s="300">
        <f t="shared" si="138"/>
        <v>0</v>
      </c>
      <c r="X61" s="298">
        <f t="shared" si="139"/>
        <v>0</v>
      </c>
      <c r="Y61" s="300">
        <f t="shared" si="140"/>
        <v>0</v>
      </c>
      <c r="Z61" s="290">
        <f t="shared" si="141"/>
        <v>0</v>
      </c>
      <c r="AA61" s="298">
        <f t="shared" si="142"/>
        <v>0</v>
      </c>
      <c r="AB61" s="286">
        <f t="shared" si="143"/>
        <v>2</v>
      </c>
      <c r="AC61" s="286">
        <f t="shared" si="144"/>
        <v>2</v>
      </c>
      <c r="AD61" s="286">
        <f t="shared" si="145"/>
        <v>0</v>
      </c>
      <c r="AE61" s="21">
        <f t="shared" si="146"/>
        <v>1</v>
      </c>
      <c r="AF61" s="421">
        <f t="shared" si="147"/>
        <v>19</v>
      </c>
      <c r="AG61" s="421">
        <f t="shared" si="148"/>
        <v>7</v>
      </c>
      <c r="AH61" s="421">
        <f t="shared" si="149"/>
        <v>26</v>
      </c>
      <c r="AI61" s="421">
        <f t="shared" si="150"/>
        <v>17</v>
      </c>
      <c r="AJ61" s="420">
        <f t="shared" si="151"/>
        <v>5</v>
      </c>
      <c r="AK61" s="422">
        <f t="shared" si="152"/>
        <v>0.4445022095139069</v>
      </c>
      <c r="AL61" s="422">
        <f t="shared" si="153"/>
        <v>0.16376397192617623</v>
      </c>
      <c r="AM61" s="422">
        <f t="shared" si="154"/>
        <v>0.60826618144008315</v>
      </c>
      <c r="AN61" s="5">
        <f t="shared" si="155"/>
        <v>14.76</v>
      </c>
      <c r="AO61" s="5">
        <f t="shared" si="156"/>
        <v>13.18</v>
      </c>
      <c r="AP61" s="5">
        <f t="shared" si="157"/>
        <v>0.30834416428385752</v>
      </c>
      <c r="AQ61" s="5">
        <f t="shared" si="158"/>
        <v>4.28</v>
      </c>
      <c r="AR61" s="5">
        <f t="shared" si="159"/>
        <v>0.10012997140629061</v>
      </c>
      <c r="AS61" s="5">
        <f t="shared" si="160"/>
        <v>17.46</v>
      </c>
      <c r="AT61" s="5">
        <f t="shared" si="161"/>
        <v>0.40847413569014818</v>
      </c>
      <c r="AU61" s="21">
        <f t="shared" si="162"/>
        <v>0.37943262411347517</v>
      </c>
      <c r="AV61" s="21">
        <f t="shared" si="163"/>
        <v>0.5627962085308057</v>
      </c>
      <c r="AW61" s="6">
        <f t="shared" si="164"/>
        <v>25</v>
      </c>
      <c r="AX61" s="6">
        <f t="shared" si="165"/>
        <v>8</v>
      </c>
      <c r="AY61" s="21">
        <f t="shared" si="166"/>
        <v>0.32</v>
      </c>
      <c r="AZ61" s="304">
        <f t="shared" si="167"/>
        <v>28</v>
      </c>
      <c r="BA61" s="305">
        <f t="shared" si="168"/>
        <v>0.65505588770470491</v>
      </c>
      <c r="BB61" s="413">
        <f t="shared" si="169"/>
        <v>18.826999999999998</v>
      </c>
      <c r="BC61" s="413">
        <f t="shared" si="170"/>
        <v>0.44045489992201708</v>
      </c>
      <c r="BD61" s="6">
        <f t="shared" si="171"/>
        <v>1375</v>
      </c>
      <c r="BE61" s="5">
        <f t="shared" si="172"/>
        <v>32.167923056927471</v>
      </c>
      <c r="BF61" s="6">
        <f t="shared" si="173"/>
        <v>1202</v>
      </c>
      <c r="BG61" s="5">
        <f t="shared" si="174"/>
        <v>28.120613465037689</v>
      </c>
      <c r="BH61" s="21">
        <f t="shared" si="175"/>
        <v>0.87418181818181817</v>
      </c>
      <c r="BI61" s="417">
        <f t="shared" si="176"/>
        <v>173</v>
      </c>
      <c r="BJ61" s="418">
        <f t="shared" si="177"/>
        <v>4.0473095918897837</v>
      </c>
      <c r="BK61" s="195">
        <f t="shared" si="178"/>
        <v>40</v>
      </c>
      <c r="BL61" s="5">
        <f t="shared" si="179"/>
        <v>0.93579412529243555</v>
      </c>
      <c r="BM61" s="21">
        <f t="shared" si="180"/>
        <v>2.9090909090909091E-2</v>
      </c>
      <c r="BN61" s="195">
        <f t="shared" si="181"/>
        <v>45</v>
      </c>
      <c r="BO61" s="185">
        <f t="shared" si="182"/>
        <v>1.05276839095399</v>
      </c>
      <c r="BP61" s="5">
        <f t="shared" si="183"/>
        <v>6.4285714285714288</v>
      </c>
      <c r="BQ61" s="21">
        <f t="shared" si="184"/>
        <v>0.15555555555555556</v>
      </c>
      <c r="BR61" s="5">
        <f t="shared" si="185"/>
        <v>-2.7199999999999998</v>
      </c>
      <c r="BS61" s="5">
        <f t="shared" si="186"/>
        <v>9.5111111111111118E-2</v>
      </c>
      <c r="BT61" s="24">
        <f t="shared" si="187"/>
        <v>85.488888888888894</v>
      </c>
      <c r="BU61" s="5">
        <f t="shared" si="188"/>
        <v>36.638095238095239</v>
      </c>
      <c r="BV61" s="5">
        <f t="shared" si="189"/>
        <v>4.24</v>
      </c>
      <c r="BW61" s="5">
        <f t="shared" si="190"/>
        <v>2.66</v>
      </c>
      <c r="BX61" s="6">
        <f t="shared" si="191"/>
        <v>122</v>
      </c>
      <c r="BY61" s="5">
        <f t="shared" si="192"/>
        <v>2.8541720821419285</v>
      </c>
      <c r="BZ61" s="6">
        <f t="shared" si="193"/>
        <v>72</v>
      </c>
      <c r="CA61" s="5">
        <f t="shared" si="194"/>
        <v>1.6844294255263841</v>
      </c>
      <c r="CB61" s="6">
        <f t="shared" si="195"/>
        <v>52</v>
      </c>
      <c r="CC61" s="5">
        <f t="shared" si="196"/>
        <v>1.2165323628801663</v>
      </c>
      <c r="CD61" s="5">
        <f t="shared" si="197"/>
        <v>1.1697426566155444</v>
      </c>
      <c r="CE61" s="21">
        <f t="shared" si="198"/>
        <v>0.4098360655737705</v>
      </c>
      <c r="CF61" s="5">
        <f t="shared" si="199"/>
        <v>7.1764705882352944</v>
      </c>
      <c r="CG61" s="5">
        <f t="shared" si="200"/>
        <v>2.736842105263158</v>
      </c>
      <c r="CH61" s="21">
        <f t="shared" si="201"/>
        <v>0.13934426229508196</v>
      </c>
      <c r="CI61" s="298">
        <f t="shared" si="202"/>
        <v>12</v>
      </c>
      <c r="CJ61" s="298">
        <f t="shared" si="203"/>
        <v>5</v>
      </c>
      <c r="CK61" s="298">
        <f t="shared" si="204"/>
        <v>2</v>
      </c>
      <c r="CL61" s="21">
        <f t="shared" si="205"/>
        <v>0.11697426566155444</v>
      </c>
      <c r="CM61" s="6">
        <f t="shared" si="206"/>
        <v>14.7</v>
      </c>
      <c r="CN61" s="5">
        <f t="shared" si="207"/>
        <v>0.34390434104497009</v>
      </c>
      <c r="CO61" s="167">
        <f t="shared" si="208"/>
        <v>222</v>
      </c>
      <c r="CP61" s="5">
        <f t="shared" si="209"/>
        <v>5.1936573953730178</v>
      </c>
      <c r="CQ61" s="6">
        <f t="shared" si="210"/>
        <v>133</v>
      </c>
      <c r="CR61" s="5">
        <f t="shared" si="211"/>
        <v>3.1115154665973486</v>
      </c>
      <c r="CS61" s="21">
        <f t="shared" si="212"/>
        <v>0.59909909909909909</v>
      </c>
      <c r="CT61" s="6">
        <f t="shared" si="213"/>
        <v>135.28</v>
      </c>
      <c r="CU61" s="5">
        <f t="shared" si="214"/>
        <v>3.1648557317390171</v>
      </c>
      <c r="CV61" s="6">
        <f t="shared" si="215"/>
        <v>136.78</v>
      </c>
      <c r="CW61" s="5">
        <f t="shared" si="216"/>
        <v>3.1999480114374834</v>
      </c>
      <c r="CX61" s="385">
        <f t="shared" si="217"/>
        <v>9.2584663374057712</v>
      </c>
      <c r="CY61" s="5">
        <f t="shared" si="218"/>
        <v>38.975825318429941</v>
      </c>
      <c r="CZ61" s="5">
        <f t="shared" si="219"/>
        <v>30.343124512607226</v>
      </c>
      <c r="DA61" s="6">
        <f t="shared" si="220"/>
        <v>85</v>
      </c>
      <c r="DB61" s="5">
        <f t="shared" si="221"/>
        <v>1.9885625162464258</v>
      </c>
      <c r="DC61" s="6">
        <f t="shared" si="222"/>
        <v>270</v>
      </c>
      <c r="DD61" s="5">
        <f t="shared" si="223"/>
        <v>6.31661034572394</v>
      </c>
      <c r="DE61" s="6">
        <f t="shared" si="224"/>
        <v>179</v>
      </c>
      <c r="DF61" s="5">
        <f t="shared" si="225"/>
        <v>4.1876787106836497</v>
      </c>
      <c r="DG61" s="6">
        <f t="shared" si="226"/>
        <v>262</v>
      </c>
      <c r="DH61" s="5">
        <f t="shared" si="227"/>
        <v>6.1294515206654534</v>
      </c>
      <c r="DI61" s="5">
        <f t="shared" si="228"/>
        <v>14.7</v>
      </c>
      <c r="DJ61" s="5">
        <f t="shared" si="229"/>
        <v>464.2</v>
      </c>
      <c r="DK61" s="5">
        <f t="shared" si="230"/>
        <v>10.859890824018715</v>
      </c>
      <c r="DL61" s="286">
        <f t="shared" si="231"/>
        <v>294.93666666666672</v>
      </c>
      <c r="DM61" s="287">
        <f t="shared" si="232"/>
        <v>6.9</v>
      </c>
      <c r="DN61" s="60">
        <f t="shared" si="233"/>
        <v>7.07</v>
      </c>
      <c r="DO61"/>
      <c r="DP61" t="s">
        <v>1119</v>
      </c>
      <c r="DQ61" t="s">
        <v>1499</v>
      </c>
      <c r="DR61">
        <v>30</v>
      </c>
      <c r="DS61" t="s">
        <v>1500</v>
      </c>
      <c r="DT61" t="s">
        <v>545</v>
      </c>
      <c r="DU61" t="s">
        <v>573</v>
      </c>
      <c r="DV61" t="s">
        <v>1501</v>
      </c>
      <c r="DW61" t="s">
        <v>1502</v>
      </c>
      <c r="DX61" s="430">
        <v>47118</v>
      </c>
      <c r="DY61">
        <v>3847</v>
      </c>
      <c r="DZ61">
        <v>45</v>
      </c>
      <c r="EA61">
        <v>4</v>
      </c>
      <c r="EB61">
        <v>19</v>
      </c>
      <c r="EC61">
        <v>7</v>
      </c>
      <c r="ED61">
        <v>10</v>
      </c>
      <c r="EE61">
        <v>14.7</v>
      </c>
      <c r="EF61" t="s">
        <v>1503</v>
      </c>
      <c r="EG61" t="s">
        <v>1504</v>
      </c>
      <c r="EH61">
        <v>39</v>
      </c>
      <c r="EI61">
        <v>64</v>
      </c>
      <c r="EJ61">
        <v>1375</v>
      </c>
      <c r="EK61">
        <v>1202</v>
      </c>
      <c r="EL61">
        <v>45</v>
      </c>
      <c r="EM61">
        <v>40</v>
      </c>
      <c r="EN61">
        <v>28</v>
      </c>
      <c r="EO61">
        <v>124</v>
      </c>
      <c r="EP61">
        <v>52</v>
      </c>
      <c r="EQ61">
        <v>102</v>
      </c>
      <c r="ER61">
        <v>26</v>
      </c>
      <c r="ES61">
        <v>25</v>
      </c>
      <c r="ET61">
        <v>8</v>
      </c>
      <c r="EU61">
        <v>25</v>
      </c>
      <c r="EV61">
        <v>8</v>
      </c>
      <c r="EW61">
        <v>5</v>
      </c>
      <c r="EX61">
        <v>1</v>
      </c>
      <c r="EY61">
        <v>0</v>
      </c>
      <c r="EZ61">
        <v>2</v>
      </c>
      <c r="FA61">
        <v>2</v>
      </c>
      <c r="FB61">
        <v>6.9</v>
      </c>
      <c r="FC61" t="s">
        <v>1505</v>
      </c>
      <c r="FD61">
        <v>7.07</v>
      </c>
    </row>
    <row r="62" spans="1:160" ht="24.95" customHeight="1" thickBot="1" x14ac:dyDescent="0.3">
      <c r="A62" s="29" t="str">
        <f t="shared" si="0"/>
        <v>61º</v>
      </c>
      <c r="B62" s="67" t="str">
        <f t="shared" si="118"/>
        <v>Gonzalo Carneiro</v>
      </c>
      <c r="C62" s="83" t="str">
        <f t="shared" si="119"/>
        <v>URU</v>
      </c>
      <c r="D62" s="9" t="str">
        <f t="shared" si="120"/>
        <v>Nacional</v>
      </c>
      <c r="E62" s="91" t="str">
        <f t="shared" si="121"/>
        <v>Pé Preferido Desconhecido</v>
      </c>
      <c r="F62" s="155">
        <f t="shared" si="122"/>
        <v>1.91</v>
      </c>
      <c r="G62" s="35">
        <f t="shared" si="123"/>
        <v>47118</v>
      </c>
      <c r="H62" s="7">
        <f t="shared" si="124"/>
        <v>31</v>
      </c>
      <c r="I62" s="299" t="str">
        <f t="shared" si="125"/>
        <v>18,75m € - 29,5m € p/m</v>
      </c>
      <c r="J62" s="3" t="str">
        <f t="shared" si="126"/>
        <v>Desconhecido</v>
      </c>
      <c r="K62" s="89">
        <f t="shared" si="10"/>
        <v>31.398046398046404</v>
      </c>
      <c r="L62" s="133">
        <f t="shared" si="127"/>
        <v>25.655555555555555</v>
      </c>
      <c r="M62" s="134">
        <f t="shared" si="128"/>
        <v>38</v>
      </c>
      <c r="N62" s="134">
        <f t="shared" si="129"/>
        <v>60.763157894736842</v>
      </c>
      <c r="O62" s="173">
        <f t="shared" si="130"/>
        <v>0.71</v>
      </c>
      <c r="P62" s="402">
        <f t="shared" si="131"/>
        <v>11</v>
      </c>
      <c r="Q62" s="402">
        <f t="shared" si="132"/>
        <v>2</v>
      </c>
      <c r="R62" s="402">
        <f t="shared" si="133"/>
        <v>13</v>
      </c>
      <c r="S62" s="6">
        <f t="shared" si="134"/>
        <v>1</v>
      </c>
      <c r="T62" s="24">
        <f t="shared" si="135"/>
        <v>2309</v>
      </c>
      <c r="U62" s="21">
        <f t="shared" si="136"/>
        <v>3.8977912516240797E-2</v>
      </c>
      <c r="V62" s="298">
        <f t="shared" si="137"/>
        <v>0</v>
      </c>
      <c r="W62" s="300">
        <f t="shared" si="138"/>
        <v>0</v>
      </c>
      <c r="X62" s="298">
        <f t="shared" si="139"/>
        <v>0</v>
      </c>
      <c r="Y62" s="300">
        <f t="shared" si="140"/>
        <v>0</v>
      </c>
      <c r="Z62" s="290">
        <f t="shared" si="141"/>
        <v>0</v>
      </c>
      <c r="AA62" s="298">
        <f t="shared" si="142"/>
        <v>2</v>
      </c>
      <c r="AB62" s="286">
        <f t="shared" si="143"/>
        <v>0</v>
      </c>
      <c r="AC62" s="286">
        <f t="shared" si="144"/>
        <v>0</v>
      </c>
      <c r="AD62" s="286">
        <f t="shared" si="145"/>
        <v>0</v>
      </c>
      <c r="AE62" s="21">
        <f t="shared" si="146"/>
        <v>9.9999999999999995E-8</v>
      </c>
      <c r="AF62" s="421">
        <f t="shared" si="147"/>
        <v>11</v>
      </c>
      <c r="AG62" s="421">
        <f t="shared" si="148"/>
        <v>2</v>
      </c>
      <c r="AH62" s="421">
        <f t="shared" si="149"/>
        <v>13</v>
      </c>
      <c r="AI62" s="421">
        <f t="shared" si="150"/>
        <v>11</v>
      </c>
      <c r="AJ62" s="420">
        <f t="shared" si="151"/>
        <v>0</v>
      </c>
      <c r="AK62" s="422">
        <f t="shared" si="152"/>
        <v>0.42875703767864876</v>
      </c>
      <c r="AL62" s="422">
        <f t="shared" si="153"/>
        <v>7.7955825032481593E-2</v>
      </c>
      <c r="AM62" s="422">
        <f t="shared" si="154"/>
        <v>0.50671286271113036</v>
      </c>
      <c r="AN62" s="5">
        <f t="shared" si="155"/>
        <v>5.88</v>
      </c>
      <c r="AO62" s="5">
        <f t="shared" si="156"/>
        <v>5.88</v>
      </c>
      <c r="AP62" s="5">
        <f t="shared" si="157"/>
        <v>0.2291901255954959</v>
      </c>
      <c r="AQ62" s="5">
        <f t="shared" si="158"/>
        <v>1.93</v>
      </c>
      <c r="AR62" s="5">
        <f t="shared" si="159"/>
        <v>7.5227371156344744E-2</v>
      </c>
      <c r="AS62" s="5">
        <f t="shared" si="160"/>
        <v>7.81</v>
      </c>
      <c r="AT62" s="5">
        <f t="shared" si="161"/>
        <v>0.3044174967518406</v>
      </c>
      <c r="AU62" s="21">
        <f t="shared" si="162"/>
        <v>0.4910941475826972</v>
      </c>
      <c r="AV62" s="21">
        <f t="shared" si="163"/>
        <v>0.65165876777251186</v>
      </c>
      <c r="AW62" s="6">
        <f t="shared" si="164"/>
        <v>10</v>
      </c>
      <c r="AX62" s="6">
        <f t="shared" si="165"/>
        <v>4</v>
      </c>
      <c r="AY62" s="21">
        <f t="shared" si="166"/>
        <v>0.4</v>
      </c>
      <c r="AZ62" s="304">
        <f t="shared" si="167"/>
        <v>20</v>
      </c>
      <c r="BA62" s="305">
        <f t="shared" si="168"/>
        <v>0.77955825032481596</v>
      </c>
      <c r="BB62" s="413">
        <f t="shared" si="169"/>
        <v>10.439499999999999</v>
      </c>
      <c r="BC62" s="413">
        <f t="shared" si="170"/>
        <v>0.40690991771329582</v>
      </c>
      <c r="BD62" s="6">
        <f t="shared" si="171"/>
        <v>618</v>
      </c>
      <c r="BE62" s="5">
        <f t="shared" si="172"/>
        <v>24.088349935036813</v>
      </c>
      <c r="BF62" s="6">
        <f t="shared" si="173"/>
        <v>556</v>
      </c>
      <c r="BG62" s="5">
        <f t="shared" si="174"/>
        <v>21.671719359029883</v>
      </c>
      <c r="BH62" s="21">
        <f t="shared" si="175"/>
        <v>0.89967637540453071</v>
      </c>
      <c r="BI62" s="417">
        <f t="shared" si="176"/>
        <v>62</v>
      </c>
      <c r="BJ62" s="418">
        <f t="shared" si="177"/>
        <v>2.4166305760069293</v>
      </c>
      <c r="BK62" s="195">
        <f t="shared" si="178"/>
        <v>18</v>
      </c>
      <c r="BL62" s="5">
        <f t="shared" si="179"/>
        <v>0.70160242529233441</v>
      </c>
      <c r="BM62" s="21">
        <f t="shared" si="180"/>
        <v>2.9126213592233011E-2</v>
      </c>
      <c r="BN62" s="195">
        <f t="shared" si="181"/>
        <v>25</v>
      </c>
      <c r="BO62" s="185">
        <f t="shared" si="182"/>
        <v>0.97444781290601989</v>
      </c>
      <c r="BP62" s="5">
        <f t="shared" si="183"/>
        <v>12.5</v>
      </c>
      <c r="BQ62" s="21">
        <f t="shared" si="184"/>
        <v>0.08</v>
      </c>
      <c r="BR62" s="5">
        <f t="shared" si="185"/>
        <v>-7.0000000000000062E-2</v>
      </c>
      <c r="BS62" s="5">
        <f t="shared" si="186"/>
        <v>7.7199999999999991E-2</v>
      </c>
      <c r="BT62" s="24">
        <f t="shared" si="187"/>
        <v>92.36</v>
      </c>
      <c r="BU62" s="5">
        <f t="shared" si="188"/>
        <v>41.232142857142854</v>
      </c>
      <c r="BV62" s="5">
        <f t="shared" si="189"/>
        <v>5.12</v>
      </c>
      <c r="BW62" s="5">
        <f t="shared" si="190"/>
        <v>5.12</v>
      </c>
      <c r="BX62" s="6">
        <f t="shared" si="191"/>
        <v>67</v>
      </c>
      <c r="BY62" s="5">
        <f t="shared" si="192"/>
        <v>2.6115201385881335</v>
      </c>
      <c r="BZ62" s="6">
        <f t="shared" si="193"/>
        <v>40</v>
      </c>
      <c r="CA62" s="5">
        <f t="shared" si="194"/>
        <v>1.5591165006496319</v>
      </c>
      <c r="CB62" s="6">
        <f t="shared" si="195"/>
        <v>27</v>
      </c>
      <c r="CC62" s="5">
        <f t="shared" si="196"/>
        <v>1.0524036379385016</v>
      </c>
      <c r="CD62" s="5">
        <f t="shared" si="197"/>
        <v>1.0524036379385016</v>
      </c>
      <c r="CE62" s="21">
        <f t="shared" si="198"/>
        <v>0.40298507462686567</v>
      </c>
      <c r="CF62" s="5">
        <f t="shared" si="199"/>
        <v>6.0909090909090908</v>
      </c>
      <c r="CG62" s="5">
        <f t="shared" si="200"/>
        <v>2.4545454545454546</v>
      </c>
      <c r="CH62" s="21">
        <f t="shared" si="201"/>
        <v>0.16417910447761194</v>
      </c>
      <c r="CI62" s="298">
        <f t="shared" si="202"/>
        <v>11</v>
      </c>
      <c r="CJ62" s="298">
        <f t="shared" si="203"/>
        <v>0</v>
      </c>
      <c r="CK62" s="298">
        <f t="shared" si="204"/>
        <v>0</v>
      </c>
      <c r="CL62" s="21">
        <f t="shared" si="205"/>
        <v>0</v>
      </c>
      <c r="CM62" s="6">
        <f t="shared" si="206"/>
        <v>14</v>
      </c>
      <c r="CN62" s="5">
        <f t="shared" si="207"/>
        <v>0.54569077522737119</v>
      </c>
      <c r="CO62" s="167">
        <f t="shared" si="208"/>
        <v>122</v>
      </c>
      <c r="CP62" s="5">
        <f t="shared" si="209"/>
        <v>4.755305326981377</v>
      </c>
      <c r="CQ62" s="6">
        <f t="shared" si="210"/>
        <v>76</v>
      </c>
      <c r="CR62" s="5">
        <f t="shared" si="211"/>
        <v>2.9623213512343005</v>
      </c>
      <c r="CS62" s="21">
        <f t="shared" si="212"/>
        <v>0.62295081967213117</v>
      </c>
      <c r="CT62" s="6">
        <f t="shared" si="213"/>
        <v>68.430000000000007</v>
      </c>
      <c r="CU62" s="5">
        <f t="shared" si="214"/>
        <v>2.667258553486358</v>
      </c>
      <c r="CV62" s="6">
        <f t="shared" si="215"/>
        <v>71.680000000000007</v>
      </c>
      <c r="CW62" s="5">
        <f t="shared" si="216"/>
        <v>2.7939367691641408</v>
      </c>
      <c r="CX62" s="385">
        <f t="shared" si="217"/>
        <v>7.3016933737548717</v>
      </c>
      <c r="CY62" s="5">
        <f t="shared" si="218"/>
        <v>30.168904287570378</v>
      </c>
      <c r="CZ62" s="5">
        <f t="shared" si="219"/>
        <v>23.503681247293201</v>
      </c>
      <c r="DA62" s="6">
        <f t="shared" si="220"/>
        <v>43</v>
      </c>
      <c r="DB62" s="5">
        <f t="shared" si="221"/>
        <v>1.6760502381983542</v>
      </c>
      <c r="DC62" s="6">
        <f t="shared" si="222"/>
        <v>144</v>
      </c>
      <c r="DD62" s="5">
        <f t="shared" si="223"/>
        <v>5.6128194023386753</v>
      </c>
      <c r="DE62" s="6">
        <f t="shared" si="224"/>
        <v>96</v>
      </c>
      <c r="DF62" s="5">
        <f t="shared" si="225"/>
        <v>3.7418796015591167</v>
      </c>
      <c r="DG62" s="6">
        <f t="shared" si="226"/>
        <v>108</v>
      </c>
      <c r="DH62" s="5">
        <f t="shared" si="227"/>
        <v>4.2096145517540062</v>
      </c>
      <c r="DI62" s="5">
        <f t="shared" si="228"/>
        <v>14</v>
      </c>
      <c r="DJ62" s="5">
        <f t="shared" si="229"/>
        <v>264.3</v>
      </c>
      <c r="DK62" s="5">
        <f t="shared" si="230"/>
        <v>10.301862278042444</v>
      </c>
      <c r="DL62" s="286">
        <f t="shared" si="231"/>
        <v>153.93333333333334</v>
      </c>
      <c r="DM62" s="287">
        <f t="shared" si="232"/>
        <v>6</v>
      </c>
      <c r="DN62" s="60">
        <f t="shared" si="233"/>
        <v>6.75</v>
      </c>
      <c r="DO62"/>
      <c r="DP62" t="s">
        <v>1119</v>
      </c>
      <c r="DQ62" t="s">
        <v>1506</v>
      </c>
      <c r="DR62">
        <v>31</v>
      </c>
      <c r="DS62" t="s">
        <v>830</v>
      </c>
      <c r="DT62" t="s">
        <v>744</v>
      </c>
      <c r="DU62" t="s">
        <v>1201</v>
      </c>
      <c r="DV62" t="s">
        <v>1202</v>
      </c>
      <c r="DW62" t="s">
        <v>1507</v>
      </c>
      <c r="DX62" s="430">
        <v>47118</v>
      </c>
      <c r="DY62">
        <v>2309</v>
      </c>
      <c r="DZ62" t="s">
        <v>1508</v>
      </c>
      <c r="EA62">
        <v>1</v>
      </c>
      <c r="EB62">
        <v>11</v>
      </c>
      <c r="EC62">
        <v>2</v>
      </c>
      <c r="ED62">
        <v>4</v>
      </c>
      <c r="EE62">
        <v>14</v>
      </c>
      <c r="EF62" t="s">
        <v>1476</v>
      </c>
      <c r="EG62" t="s">
        <v>1509</v>
      </c>
      <c r="EH62">
        <v>29</v>
      </c>
      <c r="EI62">
        <v>53</v>
      </c>
      <c r="EJ62">
        <v>618</v>
      </c>
      <c r="EK62">
        <v>556</v>
      </c>
      <c r="EL62">
        <v>25</v>
      </c>
      <c r="EM62">
        <v>18</v>
      </c>
      <c r="EN62">
        <v>20</v>
      </c>
      <c r="EO62">
        <v>67</v>
      </c>
      <c r="EP62">
        <v>27</v>
      </c>
      <c r="EQ62">
        <v>45</v>
      </c>
      <c r="ER62">
        <v>12</v>
      </c>
      <c r="ES62">
        <v>10</v>
      </c>
      <c r="ET62">
        <v>4</v>
      </c>
      <c r="EU62">
        <v>10</v>
      </c>
      <c r="EV62">
        <v>4</v>
      </c>
      <c r="EW62">
        <v>0</v>
      </c>
      <c r="EX62">
        <v>0.8</v>
      </c>
      <c r="EY62">
        <v>2</v>
      </c>
      <c r="EZ62">
        <v>0</v>
      </c>
      <c r="FA62">
        <v>0</v>
      </c>
      <c r="FB62">
        <v>6</v>
      </c>
      <c r="FC62" t="s">
        <v>1510</v>
      </c>
      <c r="FD62">
        <v>6.75</v>
      </c>
    </row>
    <row r="63" spans="1:160" ht="24.95" customHeight="1" thickBot="1" x14ac:dyDescent="0.3">
      <c r="A63" s="29" t="str">
        <f t="shared" si="0"/>
        <v>62º</v>
      </c>
      <c r="B63" s="67" t="str">
        <f t="shared" si="118"/>
        <v>Diego Coelho</v>
      </c>
      <c r="C63" s="83" t="str">
        <f t="shared" si="119"/>
        <v>URU</v>
      </c>
      <c r="D63" s="9" t="str">
        <f t="shared" si="120"/>
        <v>Audax</v>
      </c>
      <c r="E63" s="91" t="str">
        <f t="shared" si="121"/>
        <v>Pé Esquerdo</v>
      </c>
      <c r="F63" s="155">
        <f t="shared" si="122"/>
        <v>1.83</v>
      </c>
      <c r="G63" s="35">
        <f t="shared" si="123"/>
        <v>46752</v>
      </c>
      <c r="H63" s="7">
        <f t="shared" si="124"/>
        <v>31</v>
      </c>
      <c r="I63" s="299" t="str">
        <f t="shared" si="125"/>
        <v>3,8m € - 6,5m € p/m</v>
      </c>
      <c r="J63" s="3" t="str">
        <f t="shared" si="126"/>
        <v>120m € - 1,2M €</v>
      </c>
      <c r="K63" s="89">
        <f t="shared" si="10"/>
        <v>31.398046398046404</v>
      </c>
      <c r="L63" s="133">
        <f t="shared" si="127"/>
        <v>26.111111111111111</v>
      </c>
      <c r="M63" s="134">
        <f t="shared" si="128"/>
        <v>34</v>
      </c>
      <c r="N63" s="134">
        <f t="shared" si="129"/>
        <v>69.117647058823536</v>
      </c>
      <c r="O63" s="173">
        <f t="shared" si="130"/>
        <v>0.74</v>
      </c>
      <c r="P63" s="402">
        <f t="shared" si="131"/>
        <v>15</v>
      </c>
      <c r="Q63" s="402">
        <f t="shared" si="132"/>
        <v>0</v>
      </c>
      <c r="R63" s="402">
        <f t="shared" si="133"/>
        <v>15</v>
      </c>
      <c r="S63" s="6">
        <f t="shared" si="134"/>
        <v>1</v>
      </c>
      <c r="T63" s="24">
        <f t="shared" si="135"/>
        <v>2350</v>
      </c>
      <c r="U63" s="21">
        <f t="shared" si="136"/>
        <v>3.8297872340425532E-2</v>
      </c>
      <c r="V63" s="298">
        <f t="shared" si="137"/>
        <v>0</v>
      </c>
      <c r="W63" s="300">
        <f t="shared" si="138"/>
        <v>0</v>
      </c>
      <c r="X63" s="298">
        <f t="shared" si="139"/>
        <v>0</v>
      </c>
      <c r="Y63" s="300">
        <f t="shared" si="140"/>
        <v>0</v>
      </c>
      <c r="Z63" s="290">
        <f t="shared" si="141"/>
        <v>0</v>
      </c>
      <c r="AA63" s="298">
        <f t="shared" si="142"/>
        <v>0</v>
      </c>
      <c r="AB63" s="286">
        <f t="shared" si="143"/>
        <v>4</v>
      </c>
      <c r="AC63" s="286">
        <f t="shared" si="144"/>
        <v>4</v>
      </c>
      <c r="AD63" s="286">
        <f t="shared" si="145"/>
        <v>0</v>
      </c>
      <c r="AE63" s="21">
        <f t="shared" si="146"/>
        <v>1</v>
      </c>
      <c r="AF63" s="421">
        <f t="shared" si="147"/>
        <v>15</v>
      </c>
      <c r="AG63" s="421">
        <f t="shared" si="148"/>
        <v>0</v>
      </c>
      <c r="AH63" s="421">
        <f t="shared" si="149"/>
        <v>15</v>
      </c>
      <c r="AI63" s="421">
        <f t="shared" si="150"/>
        <v>11</v>
      </c>
      <c r="AJ63" s="420">
        <f t="shared" si="151"/>
        <v>0</v>
      </c>
      <c r="AK63" s="422">
        <f t="shared" si="152"/>
        <v>0.57446808510638303</v>
      </c>
      <c r="AL63" s="422">
        <f t="shared" si="153"/>
        <v>0</v>
      </c>
      <c r="AM63" s="422">
        <f t="shared" si="154"/>
        <v>0.57446808510638303</v>
      </c>
      <c r="AN63" s="5">
        <f t="shared" si="155"/>
        <v>6.91</v>
      </c>
      <c r="AO63" s="5">
        <f t="shared" si="156"/>
        <v>3.75</v>
      </c>
      <c r="AP63" s="5">
        <f t="shared" si="157"/>
        <v>0.14361702127659576</v>
      </c>
      <c r="AQ63" s="5">
        <f t="shared" si="158"/>
        <v>0.7</v>
      </c>
      <c r="AR63" s="5">
        <f t="shared" si="159"/>
        <v>2.680851063829787E-2</v>
      </c>
      <c r="AS63" s="5">
        <f t="shared" si="160"/>
        <v>4.45</v>
      </c>
      <c r="AT63" s="5">
        <f t="shared" si="161"/>
        <v>0.17042553191489362</v>
      </c>
      <c r="AU63" s="21">
        <f t="shared" si="162"/>
        <v>1</v>
      </c>
      <c r="AV63" s="21">
        <f t="shared" si="163"/>
        <v>0.68461889548151533</v>
      </c>
      <c r="AW63" s="6">
        <f t="shared" si="164"/>
        <v>9</v>
      </c>
      <c r="AX63" s="6">
        <f t="shared" si="165"/>
        <v>4</v>
      </c>
      <c r="AY63" s="21">
        <f t="shared" si="166"/>
        <v>0.44444444444444442</v>
      </c>
      <c r="AZ63" s="304">
        <f t="shared" si="167"/>
        <v>17</v>
      </c>
      <c r="BA63" s="305">
        <f t="shared" si="168"/>
        <v>0.65106382978723409</v>
      </c>
      <c r="BB63" s="413">
        <f t="shared" si="169"/>
        <v>6.68</v>
      </c>
      <c r="BC63" s="413">
        <f t="shared" si="170"/>
        <v>0.25582978723404259</v>
      </c>
      <c r="BD63" s="6">
        <f t="shared" si="171"/>
        <v>697</v>
      </c>
      <c r="BE63" s="5">
        <f t="shared" si="172"/>
        <v>26.693617021276594</v>
      </c>
      <c r="BF63" s="6">
        <f t="shared" si="173"/>
        <v>632</v>
      </c>
      <c r="BG63" s="5">
        <f t="shared" si="174"/>
        <v>24.204255319148938</v>
      </c>
      <c r="BH63" s="21">
        <f t="shared" si="175"/>
        <v>0.90674318507890961</v>
      </c>
      <c r="BI63" s="417">
        <f t="shared" si="176"/>
        <v>65</v>
      </c>
      <c r="BJ63" s="418">
        <f t="shared" si="177"/>
        <v>2.4893617021276597</v>
      </c>
      <c r="BK63" s="195">
        <f t="shared" si="178"/>
        <v>11</v>
      </c>
      <c r="BL63" s="5">
        <f t="shared" si="179"/>
        <v>0.42127659574468085</v>
      </c>
      <c r="BM63" s="21">
        <f t="shared" si="180"/>
        <v>1.5781922525107604E-2</v>
      </c>
      <c r="BN63" s="195">
        <f t="shared" si="181"/>
        <v>17</v>
      </c>
      <c r="BO63" s="185">
        <f t="shared" si="182"/>
        <v>0.65106382978723409</v>
      </c>
      <c r="BP63" s="5">
        <f t="shared" si="183"/>
        <v>25</v>
      </c>
      <c r="BQ63" s="21">
        <f t="shared" si="184"/>
        <v>0</v>
      </c>
      <c r="BR63" s="5">
        <f t="shared" si="185"/>
        <v>0.7</v>
      </c>
      <c r="BS63" s="5">
        <f t="shared" si="186"/>
        <v>4.1176470588235294E-2</v>
      </c>
      <c r="BT63" s="24">
        <f t="shared" si="187"/>
        <v>138.23529411764707</v>
      </c>
      <c r="BU63" s="5">
        <f t="shared" si="188"/>
        <v>45.192307692307693</v>
      </c>
      <c r="BV63" s="5">
        <f t="shared" si="189"/>
        <v>8.09</v>
      </c>
      <c r="BW63" s="5">
        <f t="shared" si="190"/>
        <v>4.93</v>
      </c>
      <c r="BX63" s="6">
        <f t="shared" si="191"/>
        <v>71</v>
      </c>
      <c r="BY63" s="5">
        <f t="shared" si="192"/>
        <v>2.719148936170213</v>
      </c>
      <c r="BZ63" s="6">
        <f t="shared" si="193"/>
        <v>36</v>
      </c>
      <c r="CA63" s="5">
        <f t="shared" si="194"/>
        <v>1.3787234042553191</v>
      </c>
      <c r="CB63" s="6">
        <f t="shared" si="195"/>
        <v>39</v>
      </c>
      <c r="CC63" s="5">
        <f t="shared" si="196"/>
        <v>1.4936170212765958</v>
      </c>
      <c r="CD63" s="5">
        <f t="shared" si="197"/>
        <v>1.3404255319148937</v>
      </c>
      <c r="CE63" s="21">
        <f t="shared" si="198"/>
        <v>0.49295774647887325</v>
      </c>
      <c r="CF63" s="5">
        <f t="shared" si="199"/>
        <v>6.4545454545454541</v>
      </c>
      <c r="CG63" s="5">
        <f t="shared" si="200"/>
        <v>2.6</v>
      </c>
      <c r="CH63" s="21">
        <f t="shared" si="201"/>
        <v>0.15492957746478872</v>
      </c>
      <c r="CI63" s="298">
        <f t="shared" si="202"/>
        <v>11</v>
      </c>
      <c r="CJ63" s="298">
        <f t="shared" si="203"/>
        <v>0</v>
      </c>
      <c r="CK63" s="298">
        <f t="shared" si="204"/>
        <v>4</v>
      </c>
      <c r="CL63" s="21">
        <f t="shared" si="205"/>
        <v>0</v>
      </c>
      <c r="CM63" s="6">
        <f t="shared" si="206"/>
        <v>18.5</v>
      </c>
      <c r="CN63" s="5">
        <f t="shared" si="207"/>
        <v>0.70851063829787231</v>
      </c>
      <c r="CO63" s="167">
        <f t="shared" si="208"/>
        <v>118</v>
      </c>
      <c r="CP63" s="5">
        <f t="shared" si="209"/>
        <v>4.5191489361702128</v>
      </c>
      <c r="CQ63" s="6">
        <f t="shared" si="210"/>
        <v>77</v>
      </c>
      <c r="CR63" s="5">
        <f t="shared" si="211"/>
        <v>2.9489361702127659</v>
      </c>
      <c r="CS63" s="21">
        <f t="shared" si="212"/>
        <v>0.65254237288135597</v>
      </c>
      <c r="CT63" s="6">
        <f t="shared" si="213"/>
        <v>64.2</v>
      </c>
      <c r="CU63" s="5">
        <f t="shared" si="214"/>
        <v>2.4587234042553194</v>
      </c>
      <c r="CV63" s="6">
        <f t="shared" si="215"/>
        <v>67.95</v>
      </c>
      <c r="CW63" s="5">
        <f t="shared" si="216"/>
        <v>2.6023404255319149</v>
      </c>
      <c r="CX63" s="385">
        <f t="shared" si="217"/>
        <v>5.1054127659574471</v>
      </c>
      <c r="CY63" s="5">
        <f t="shared" si="218"/>
        <v>32.323404255319147</v>
      </c>
      <c r="CZ63" s="5">
        <f t="shared" si="219"/>
        <v>25.276595744680851</v>
      </c>
      <c r="DA63" s="6">
        <f t="shared" si="220"/>
        <v>28</v>
      </c>
      <c r="DB63" s="5">
        <f t="shared" si="221"/>
        <v>1.0723404255319149</v>
      </c>
      <c r="DC63" s="6">
        <f t="shared" si="222"/>
        <v>125</v>
      </c>
      <c r="DD63" s="5">
        <f t="shared" si="223"/>
        <v>4.7872340425531918</v>
      </c>
      <c r="DE63" s="6">
        <f t="shared" si="224"/>
        <v>92</v>
      </c>
      <c r="DF63" s="5">
        <f t="shared" si="225"/>
        <v>3.5234042553191491</v>
      </c>
      <c r="DG63" s="6">
        <f t="shared" si="226"/>
        <v>106</v>
      </c>
      <c r="DH63" s="5">
        <f t="shared" si="227"/>
        <v>4.0595744680851062</v>
      </c>
      <c r="DI63" s="5">
        <f t="shared" si="228"/>
        <v>18.5</v>
      </c>
      <c r="DJ63" s="5">
        <f t="shared" si="229"/>
        <v>269.2</v>
      </c>
      <c r="DK63" s="5">
        <f t="shared" si="230"/>
        <v>10.309787234042552</v>
      </c>
      <c r="DL63" s="286">
        <f t="shared" si="231"/>
        <v>208.88888888888889</v>
      </c>
      <c r="DM63" s="287">
        <f t="shared" si="232"/>
        <v>8</v>
      </c>
      <c r="DN63" s="60">
        <f t="shared" si="233"/>
        <v>6.82</v>
      </c>
      <c r="DO63"/>
      <c r="DP63" t="s">
        <v>1119</v>
      </c>
      <c r="DQ63" t="s">
        <v>1511</v>
      </c>
      <c r="DR63">
        <v>31</v>
      </c>
      <c r="DS63" t="s">
        <v>1512</v>
      </c>
      <c r="DT63" t="s">
        <v>696</v>
      </c>
      <c r="DU63" t="s">
        <v>579</v>
      </c>
      <c r="DV63" t="s">
        <v>624</v>
      </c>
      <c r="DW63" t="s">
        <v>1513</v>
      </c>
      <c r="DX63" s="430">
        <v>46752</v>
      </c>
      <c r="DY63">
        <v>2350</v>
      </c>
      <c r="DZ63" t="s">
        <v>1413</v>
      </c>
      <c r="EA63">
        <v>1</v>
      </c>
      <c r="EB63">
        <v>15</v>
      </c>
      <c r="EC63">
        <v>0</v>
      </c>
      <c r="ED63">
        <v>0</v>
      </c>
      <c r="EE63">
        <v>18.5</v>
      </c>
      <c r="EF63" t="s">
        <v>1514</v>
      </c>
      <c r="EG63" t="s">
        <v>1515</v>
      </c>
      <c r="EH63">
        <v>24</v>
      </c>
      <c r="EI63">
        <v>51</v>
      </c>
      <c r="EJ63">
        <v>697</v>
      </c>
      <c r="EK63">
        <v>632</v>
      </c>
      <c r="EL63">
        <v>17</v>
      </c>
      <c r="EM63">
        <v>11</v>
      </c>
      <c r="EN63">
        <v>17</v>
      </c>
      <c r="EO63">
        <v>75</v>
      </c>
      <c r="EP63">
        <v>39</v>
      </c>
      <c r="EQ63">
        <v>41</v>
      </c>
      <c r="ER63">
        <v>15</v>
      </c>
      <c r="ES63">
        <v>9</v>
      </c>
      <c r="ET63">
        <v>4</v>
      </c>
      <c r="EU63">
        <v>9</v>
      </c>
      <c r="EV63">
        <v>4</v>
      </c>
      <c r="EW63">
        <v>0</v>
      </c>
      <c r="EX63">
        <v>1.1000000000000001</v>
      </c>
      <c r="EY63">
        <v>0</v>
      </c>
      <c r="EZ63">
        <v>4</v>
      </c>
      <c r="FA63">
        <v>4</v>
      </c>
      <c r="FB63">
        <v>8</v>
      </c>
      <c r="FC63" t="s">
        <v>1516</v>
      </c>
      <c r="FD63">
        <v>6.82</v>
      </c>
    </row>
    <row r="64" spans="1:160" ht="24.95" customHeight="1" thickBot="1" x14ac:dyDescent="0.3">
      <c r="A64" s="29" t="str">
        <f t="shared" si="0"/>
        <v>63º</v>
      </c>
      <c r="B64" s="67" t="str">
        <f t="shared" si="118"/>
        <v>Santiago Paiva</v>
      </c>
      <c r="C64" s="83" t="str">
        <f t="shared" si="119"/>
        <v>URU</v>
      </c>
      <c r="D64" s="9" t="str">
        <f t="shared" si="120"/>
        <v>Cerro</v>
      </c>
      <c r="E64" s="91" t="str">
        <f t="shared" si="121"/>
        <v>Pé Preferido Desconhecido</v>
      </c>
      <c r="F64" s="155">
        <f t="shared" si="122"/>
        <v>1.8</v>
      </c>
      <c r="G64" s="35">
        <f t="shared" si="123"/>
        <v>47299</v>
      </c>
      <c r="H64" s="7">
        <f t="shared" si="124"/>
        <v>27</v>
      </c>
      <c r="I64" s="299" t="str">
        <f t="shared" si="125"/>
        <v>4,2m € - 6,75m € p/m</v>
      </c>
      <c r="J64" s="3" t="str">
        <f t="shared" si="126"/>
        <v>Desconhecido</v>
      </c>
      <c r="K64" s="89">
        <f t="shared" si="10"/>
        <v>31.398046398046404</v>
      </c>
      <c r="L64" s="133">
        <f t="shared" si="127"/>
        <v>24.233333333333334</v>
      </c>
      <c r="M64" s="134">
        <f t="shared" si="128"/>
        <v>31</v>
      </c>
      <c r="N64" s="134">
        <f t="shared" si="129"/>
        <v>70.354838709677423</v>
      </c>
      <c r="O64" s="173">
        <f t="shared" si="130"/>
        <v>1</v>
      </c>
      <c r="P64" s="402">
        <f t="shared" si="131"/>
        <v>4</v>
      </c>
      <c r="Q64" s="402">
        <f t="shared" si="132"/>
        <v>1</v>
      </c>
      <c r="R64" s="402">
        <f t="shared" si="133"/>
        <v>5</v>
      </c>
      <c r="S64" s="6">
        <f t="shared" si="134"/>
        <v>0</v>
      </c>
      <c r="T64" s="24">
        <f t="shared" si="135"/>
        <v>5000</v>
      </c>
      <c r="U64" s="21">
        <f t="shared" si="136"/>
        <v>0</v>
      </c>
      <c r="V64" s="298">
        <f t="shared" si="137"/>
        <v>0</v>
      </c>
      <c r="W64" s="300">
        <f t="shared" si="138"/>
        <v>0</v>
      </c>
      <c r="X64" s="298">
        <f t="shared" si="139"/>
        <v>0</v>
      </c>
      <c r="Y64" s="300">
        <f t="shared" si="140"/>
        <v>0</v>
      </c>
      <c r="Z64" s="290">
        <f t="shared" si="141"/>
        <v>0</v>
      </c>
      <c r="AA64" s="298">
        <f t="shared" si="142"/>
        <v>0</v>
      </c>
      <c r="AB64" s="286">
        <f t="shared" si="143"/>
        <v>0</v>
      </c>
      <c r="AC64" s="286">
        <f t="shared" si="144"/>
        <v>0</v>
      </c>
      <c r="AD64" s="286">
        <f t="shared" si="145"/>
        <v>0</v>
      </c>
      <c r="AE64" s="21">
        <f t="shared" si="146"/>
        <v>9.9999999999999995E-8</v>
      </c>
      <c r="AF64" s="421">
        <f t="shared" si="147"/>
        <v>4</v>
      </c>
      <c r="AG64" s="421">
        <f t="shared" si="148"/>
        <v>1</v>
      </c>
      <c r="AH64" s="421">
        <f t="shared" si="149"/>
        <v>5</v>
      </c>
      <c r="AI64" s="421">
        <f t="shared" si="150"/>
        <v>4</v>
      </c>
      <c r="AJ64" s="420">
        <f t="shared" si="151"/>
        <v>1</v>
      </c>
      <c r="AK64" s="422">
        <f t="shared" si="152"/>
        <v>0.16506189821182943</v>
      </c>
      <c r="AL64" s="422">
        <f t="shared" si="153"/>
        <v>4.1265474552957357E-2</v>
      </c>
      <c r="AM64" s="422">
        <f t="shared" si="154"/>
        <v>0.2063273727647868</v>
      </c>
      <c r="AN64" s="5">
        <f t="shared" si="155"/>
        <v>4.95</v>
      </c>
      <c r="AO64" s="5">
        <f t="shared" si="156"/>
        <v>4.95</v>
      </c>
      <c r="AP64" s="5">
        <f t="shared" si="157"/>
        <v>0.20426409903713894</v>
      </c>
      <c r="AQ64" s="5">
        <f t="shared" si="158"/>
        <v>1.24</v>
      </c>
      <c r="AR64" s="5">
        <f t="shared" si="159"/>
        <v>5.1169188445667126E-2</v>
      </c>
      <c r="AS64" s="5">
        <f t="shared" si="160"/>
        <v>6.19</v>
      </c>
      <c r="AT64" s="5">
        <f t="shared" si="161"/>
        <v>0.25543328748280608</v>
      </c>
      <c r="AU64" s="21">
        <f t="shared" si="162"/>
        <v>0.55357142857142849</v>
      </c>
      <c r="AV64" s="21">
        <f t="shared" si="163"/>
        <v>0.44692737430167601</v>
      </c>
      <c r="AW64" s="6">
        <f t="shared" si="164"/>
        <v>8</v>
      </c>
      <c r="AX64" s="6">
        <f t="shared" si="165"/>
        <v>4</v>
      </c>
      <c r="AY64" s="21">
        <f t="shared" si="166"/>
        <v>0.5</v>
      </c>
      <c r="AZ64" s="304">
        <f t="shared" si="167"/>
        <v>12</v>
      </c>
      <c r="BA64" s="305">
        <f t="shared" si="168"/>
        <v>0.49518569463548828</v>
      </c>
      <c r="BB64" s="413">
        <f t="shared" si="169"/>
        <v>8.2810000000000006</v>
      </c>
      <c r="BC64" s="413">
        <f t="shared" si="170"/>
        <v>0.34171939477303986</v>
      </c>
      <c r="BD64" s="6">
        <f t="shared" si="171"/>
        <v>621</v>
      </c>
      <c r="BE64" s="5">
        <f t="shared" si="172"/>
        <v>25.62585969738652</v>
      </c>
      <c r="BF64" s="6">
        <f t="shared" si="173"/>
        <v>552</v>
      </c>
      <c r="BG64" s="5">
        <f t="shared" si="174"/>
        <v>22.778541953232462</v>
      </c>
      <c r="BH64" s="21">
        <f t="shared" si="175"/>
        <v>0.88888888888888884</v>
      </c>
      <c r="BI64" s="417">
        <f t="shared" si="176"/>
        <v>69</v>
      </c>
      <c r="BJ64" s="418">
        <f t="shared" si="177"/>
        <v>2.8473177441540578</v>
      </c>
      <c r="BK64" s="195">
        <f t="shared" si="178"/>
        <v>11</v>
      </c>
      <c r="BL64" s="5">
        <f t="shared" si="179"/>
        <v>0.45392022008253091</v>
      </c>
      <c r="BM64" s="21">
        <f t="shared" si="180"/>
        <v>1.7713365539452495E-2</v>
      </c>
      <c r="BN64" s="195">
        <f t="shared" si="181"/>
        <v>22</v>
      </c>
      <c r="BO64" s="185">
        <f t="shared" si="182"/>
        <v>0.90784044016506182</v>
      </c>
      <c r="BP64" s="5">
        <f t="shared" si="183"/>
        <v>22</v>
      </c>
      <c r="BQ64" s="21">
        <f t="shared" si="184"/>
        <v>4.5454545454545456E-2</v>
      </c>
      <c r="BR64" s="5">
        <f t="shared" si="185"/>
        <v>0.24</v>
      </c>
      <c r="BS64" s="5">
        <f t="shared" si="186"/>
        <v>5.6363636363636366E-2</v>
      </c>
      <c r="BT64" s="24">
        <f t="shared" si="187"/>
        <v>99.13636363636364</v>
      </c>
      <c r="BU64" s="5">
        <f t="shared" si="188"/>
        <v>46.404255319148938</v>
      </c>
      <c r="BV64" s="5">
        <f t="shared" si="189"/>
        <v>-0.95000000000000018</v>
      </c>
      <c r="BW64" s="5">
        <f t="shared" si="190"/>
        <v>-0.95000000000000018</v>
      </c>
      <c r="BX64" s="6">
        <f t="shared" si="191"/>
        <v>47</v>
      </c>
      <c r="BY64" s="5">
        <f t="shared" si="192"/>
        <v>1.9394773039889959</v>
      </c>
      <c r="BZ64" s="6">
        <f t="shared" si="193"/>
        <v>25</v>
      </c>
      <c r="CA64" s="5">
        <f t="shared" si="194"/>
        <v>1.0316368638239339</v>
      </c>
      <c r="CB64" s="6">
        <f t="shared" si="195"/>
        <v>22</v>
      </c>
      <c r="CC64" s="5">
        <f t="shared" si="196"/>
        <v>0.90784044016506182</v>
      </c>
      <c r="CD64" s="5">
        <f t="shared" si="197"/>
        <v>0.90784044016506182</v>
      </c>
      <c r="CE64" s="21">
        <f t="shared" si="198"/>
        <v>0.46808510638297873</v>
      </c>
      <c r="CF64" s="5">
        <f t="shared" si="199"/>
        <v>11.75</v>
      </c>
      <c r="CG64" s="5">
        <f t="shared" si="200"/>
        <v>5.5</v>
      </c>
      <c r="CH64" s="21">
        <f t="shared" si="201"/>
        <v>8.5106382978723402E-2</v>
      </c>
      <c r="CI64" s="298">
        <f t="shared" si="202"/>
        <v>3</v>
      </c>
      <c r="CJ64" s="298">
        <f t="shared" si="203"/>
        <v>1</v>
      </c>
      <c r="CK64" s="298">
        <f t="shared" si="204"/>
        <v>0</v>
      </c>
      <c r="CL64" s="21">
        <f t="shared" si="205"/>
        <v>8.2530949105914714E-2</v>
      </c>
      <c r="CM64" s="6">
        <f t="shared" si="206"/>
        <v>21.9</v>
      </c>
      <c r="CN64" s="5">
        <f t="shared" si="207"/>
        <v>0.9037138927097661</v>
      </c>
      <c r="CO64" s="167">
        <f t="shared" si="208"/>
        <v>89</v>
      </c>
      <c r="CP64" s="5">
        <f t="shared" si="209"/>
        <v>3.6726272352132048</v>
      </c>
      <c r="CQ64" s="6">
        <f t="shared" si="210"/>
        <v>60</v>
      </c>
      <c r="CR64" s="5">
        <f t="shared" si="211"/>
        <v>2.4759284731774414</v>
      </c>
      <c r="CS64" s="21">
        <f t="shared" si="212"/>
        <v>0.6741573033707865</v>
      </c>
      <c r="CT64" s="6">
        <f t="shared" si="213"/>
        <v>55.739999999999995</v>
      </c>
      <c r="CU64" s="5">
        <f t="shared" si="214"/>
        <v>2.3001375515818427</v>
      </c>
      <c r="CV64" s="6">
        <f t="shared" si="215"/>
        <v>55.989999999999995</v>
      </c>
      <c r="CW64" s="5">
        <f t="shared" si="216"/>
        <v>2.3104539202200822</v>
      </c>
      <c r="CX64" s="385">
        <f t="shared" si="217"/>
        <v>5.6240715268225578</v>
      </c>
      <c r="CY64" s="5">
        <f t="shared" si="218"/>
        <v>30.45392022008253</v>
      </c>
      <c r="CZ64" s="5">
        <f t="shared" si="219"/>
        <v>24.264099037138926</v>
      </c>
      <c r="DA64" s="6">
        <f t="shared" si="220"/>
        <v>33</v>
      </c>
      <c r="DB64" s="5">
        <f t="shared" si="221"/>
        <v>1.3617606602475929</v>
      </c>
      <c r="DC64" s="6">
        <f t="shared" si="222"/>
        <v>103</v>
      </c>
      <c r="DD64" s="5">
        <f t="shared" si="223"/>
        <v>4.2503438789546077</v>
      </c>
      <c r="DE64" s="6">
        <f t="shared" si="224"/>
        <v>72</v>
      </c>
      <c r="DF64" s="5">
        <f t="shared" si="225"/>
        <v>2.9711141678129298</v>
      </c>
      <c r="DG64" s="6">
        <f t="shared" si="226"/>
        <v>98</v>
      </c>
      <c r="DH64" s="5">
        <f t="shared" si="227"/>
        <v>4.0440165061898208</v>
      </c>
      <c r="DI64" s="5">
        <f t="shared" si="228"/>
        <v>21.9</v>
      </c>
      <c r="DJ64" s="5">
        <f t="shared" si="229"/>
        <v>239.7</v>
      </c>
      <c r="DK64" s="5">
        <f t="shared" si="230"/>
        <v>9.8913342503438777</v>
      </c>
      <c r="DL64" s="286">
        <f t="shared" si="231"/>
        <v>118.74333333333335</v>
      </c>
      <c r="DM64" s="287">
        <f t="shared" si="232"/>
        <v>4.9000000000000004</v>
      </c>
      <c r="DN64" s="60">
        <f t="shared" si="233"/>
        <v>6.61</v>
      </c>
      <c r="DO64" t="s">
        <v>19</v>
      </c>
      <c r="DP64" t="s">
        <v>1119</v>
      </c>
      <c r="DQ64" t="s">
        <v>1517</v>
      </c>
      <c r="DR64">
        <v>27</v>
      </c>
      <c r="DS64" t="s">
        <v>1518</v>
      </c>
      <c r="DT64" t="s">
        <v>711</v>
      </c>
      <c r="DU64" t="s">
        <v>1201</v>
      </c>
      <c r="DV64" t="s">
        <v>1202</v>
      </c>
      <c r="DW64" t="s">
        <v>1519</v>
      </c>
      <c r="DX64" s="430">
        <v>47299</v>
      </c>
      <c r="DY64">
        <v>2181</v>
      </c>
      <c r="DZ64">
        <v>31</v>
      </c>
      <c r="EA64">
        <v>0</v>
      </c>
      <c r="EB64">
        <v>4</v>
      </c>
      <c r="EC64">
        <v>1</v>
      </c>
      <c r="ED64">
        <v>3</v>
      </c>
      <c r="EE64">
        <v>21.9</v>
      </c>
      <c r="EF64" t="s">
        <v>1520</v>
      </c>
      <c r="EG64" t="s">
        <v>1521</v>
      </c>
      <c r="EH64">
        <v>27</v>
      </c>
      <c r="EI64">
        <v>57</v>
      </c>
      <c r="EJ64">
        <v>621</v>
      </c>
      <c r="EK64">
        <v>552</v>
      </c>
      <c r="EL64">
        <v>22</v>
      </c>
      <c r="EM64">
        <v>11</v>
      </c>
      <c r="EN64">
        <v>12</v>
      </c>
      <c r="EO64">
        <v>47</v>
      </c>
      <c r="EP64">
        <v>22</v>
      </c>
      <c r="EQ64">
        <v>44</v>
      </c>
      <c r="ER64">
        <v>14</v>
      </c>
      <c r="ES64">
        <v>8</v>
      </c>
      <c r="ET64">
        <v>4</v>
      </c>
      <c r="EU64">
        <v>8</v>
      </c>
      <c r="EV64">
        <v>4</v>
      </c>
      <c r="EW64">
        <v>1</v>
      </c>
      <c r="EX64">
        <v>0.5</v>
      </c>
      <c r="EY64">
        <v>0</v>
      </c>
      <c r="EZ64">
        <v>0</v>
      </c>
      <c r="FA64">
        <v>0</v>
      </c>
      <c r="FB64">
        <v>4.9000000000000004</v>
      </c>
      <c r="FC64" t="s">
        <v>1522</v>
      </c>
      <c r="FD64">
        <v>6.61</v>
      </c>
    </row>
    <row r="65" spans="1:160" ht="24.95" customHeight="1" thickBot="1" x14ac:dyDescent="0.3">
      <c r="A65" s="29" t="str">
        <f t="shared" si="0"/>
        <v>64º</v>
      </c>
      <c r="B65" s="67" t="str">
        <f t="shared" si="118"/>
        <v>Pablo López</v>
      </c>
      <c r="C65" s="83" t="str">
        <f t="shared" si="119"/>
        <v>URU</v>
      </c>
      <c r="D65" s="9" t="str">
        <f t="shared" si="120"/>
        <v>Tacuarembó FC</v>
      </c>
      <c r="E65" s="91" t="str">
        <f t="shared" si="121"/>
        <v>Pé Preferido Desconhecido</v>
      </c>
      <c r="F65" s="155">
        <f t="shared" si="122"/>
        <v>1.69</v>
      </c>
      <c r="G65" s="35">
        <f t="shared" si="123"/>
        <v>46387</v>
      </c>
      <c r="H65" s="7">
        <f t="shared" si="124"/>
        <v>30</v>
      </c>
      <c r="I65" s="299" t="str">
        <f t="shared" si="125"/>
        <v>1,2m € - 1,9m € p/m</v>
      </c>
      <c r="J65" s="3" t="str">
        <f t="shared" si="126"/>
        <v>Desconhecido</v>
      </c>
      <c r="K65" s="89">
        <f t="shared" si="10"/>
        <v>31.398046398046404</v>
      </c>
      <c r="L65" s="133">
        <f t="shared" si="127"/>
        <v>25.255555555555556</v>
      </c>
      <c r="M65" s="134">
        <f t="shared" si="128"/>
        <v>27</v>
      </c>
      <c r="N65" s="134">
        <f t="shared" si="129"/>
        <v>84.18518518518519</v>
      </c>
      <c r="O65" s="173">
        <f t="shared" si="130"/>
        <v>0.96</v>
      </c>
      <c r="P65" s="402">
        <f t="shared" si="131"/>
        <v>8</v>
      </c>
      <c r="Q65" s="402">
        <f t="shared" si="132"/>
        <v>0</v>
      </c>
      <c r="R65" s="402">
        <f t="shared" si="133"/>
        <v>8</v>
      </c>
      <c r="S65" s="6">
        <f t="shared" si="134"/>
        <v>0</v>
      </c>
      <c r="T65" s="24">
        <f t="shared" si="135"/>
        <v>5000</v>
      </c>
      <c r="U65" s="21">
        <f t="shared" si="136"/>
        <v>0</v>
      </c>
      <c r="V65" s="298">
        <f t="shared" si="137"/>
        <v>0</v>
      </c>
      <c r="W65" s="300">
        <f t="shared" si="138"/>
        <v>0</v>
      </c>
      <c r="X65" s="298">
        <f t="shared" si="139"/>
        <v>0</v>
      </c>
      <c r="Y65" s="300">
        <f t="shared" si="140"/>
        <v>0</v>
      </c>
      <c r="Z65" s="290">
        <f t="shared" si="141"/>
        <v>0</v>
      </c>
      <c r="AA65" s="298">
        <f t="shared" si="142"/>
        <v>0</v>
      </c>
      <c r="AB65" s="286">
        <f t="shared" si="143"/>
        <v>0</v>
      </c>
      <c r="AC65" s="286">
        <f t="shared" si="144"/>
        <v>0</v>
      </c>
      <c r="AD65" s="286">
        <f t="shared" si="145"/>
        <v>0</v>
      </c>
      <c r="AE65" s="21">
        <f t="shared" si="146"/>
        <v>9.9999999999999995E-8</v>
      </c>
      <c r="AF65" s="421">
        <f t="shared" si="147"/>
        <v>8</v>
      </c>
      <c r="AG65" s="421">
        <f t="shared" si="148"/>
        <v>0</v>
      </c>
      <c r="AH65" s="421">
        <f t="shared" si="149"/>
        <v>8</v>
      </c>
      <c r="AI65" s="421">
        <f t="shared" si="150"/>
        <v>8</v>
      </c>
      <c r="AJ65" s="420">
        <f t="shared" si="151"/>
        <v>0</v>
      </c>
      <c r="AK65" s="422">
        <f t="shared" si="152"/>
        <v>0.31676198856137261</v>
      </c>
      <c r="AL65" s="422">
        <f t="shared" si="153"/>
        <v>0</v>
      </c>
      <c r="AM65" s="422">
        <f t="shared" si="154"/>
        <v>0.31676198856137261</v>
      </c>
      <c r="AN65" s="5">
        <f t="shared" si="155"/>
        <v>4.09</v>
      </c>
      <c r="AO65" s="5">
        <f t="shared" si="156"/>
        <v>4.09</v>
      </c>
      <c r="AP65" s="5">
        <f t="shared" si="157"/>
        <v>0.16194456665200174</v>
      </c>
      <c r="AQ65" s="5">
        <f t="shared" si="158"/>
        <v>1.7</v>
      </c>
      <c r="AR65" s="5">
        <f t="shared" si="159"/>
        <v>6.7311922569291679E-2</v>
      </c>
      <c r="AS65" s="5">
        <f t="shared" si="160"/>
        <v>5.79</v>
      </c>
      <c r="AT65" s="5">
        <f t="shared" si="161"/>
        <v>0.22925648922129344</v>
      </c>
      <c r="AU65" s="21">
        <f t="shared" si="162"/>
        <v>1</v>
      </c>
      <c r="AV65" s="21">
        <f t="shared" si="163"/>
        <v>0.66170388751033915</v>
      </c>
      <c r="AW65" s="6">
        <f t="shared" si="164"/>
        <v>10</v>
      </c>
      <c r="AX65" s="6">
        <f t="shared" si="165"/>
        <v>2</v>
      </c>
      <c r="AY65" s="21">
        <f t="shared" si="166"/>
        <v>0.2</v>
      </c>
      <c r="AZ65" s="304">
        <f t="shared" si="167"/>
        <v>24</v>
      </c>
      <c r="BA65" s="305">
        <f t="shared" si="168"/>
        <v>0.95028596568411783</v>
      </c>
      <c r="BB65" s="413">
        <f t="shared" si="169"/>
        <v>14.34</v>
      </c>
      <c r="BC65" s="413">
        <f t="shared" si="170"/>
        <v>0.56779586449626041</v>
      </c>
      <c r="BD65" s="6">
        <f t="shared" si="171"/>
        <v>644</v>
      </c>
      <c r="BE65" s="5">
        <f t="shared" si="172"/>
        <v>25.499340079190496</v>
      </c>
      <c r="BF65" s="6">
        <f t="shared" si="173"/>
        <v>571</v>
      </c>
      <c r="BG65" s="5">
        <f t="shared" si="174"/>
        <v>22.60888693356797</v>
      </c>
      <c r="BH65" s="21">
        <f t="shared" si="175"/>
        <v>0.88664596273291929</v>
      </c>
      <c r="BI65" s="417">
        <f t="shared" si="176"/>
        <v>73</v>
      </c>
      <c r="BJ65" s="418">
        <f t="shared" si="177"/>
        <v>2.8904531456225251</v>
      </c>
      <c r="BK65" s="195">
        <f t="shared" si="178"/>
        <v>25</v>
      </c>
      <c r="BL65" s="5">
        <f t="shared" si="179"/>
        <v>0.98988121425428943</v>
      </c>
      <c r="BM65" s="21">
        <f t="shared" si="180"/>
        <v>3.8819875776397512E-2</v>
      </c>
      <c r="BN65" s="195">
        <f t="shared" si="181"/>
        <v>49</v>
      </c>
      <c r="BO65" s="185">
        <f t="shared" si="182"/>
        <v>1.9401671799384073</v>
      </c>
      <c r="BP65" s="5">
        <f t="shared" si="183"/>
        <v>25</v>
      </c>
      <c r="BQ65" s="21">
        <f t="shared" si="184"/>
        <v>0</v>
      </c>
      <c r="BR65" s="5">
        <f t="shared" si="185"/>
        <v>1.7</v>
      </c>
      <c r="BS65" s="5">
        <f t="shared" si="186"/>
        <v>3.4693877551020408E-2</v>
      </c>
      <c r="BT65" s="24">
        <f t="shared" si="187"/>
        <v>46.387755102040813</v>
      </c>
      <c r="BU65" s="5">
        <f t="shared" si="188"/>
        <v>34.439393939393938</v>
      </c>
      <c r="BV65" s="5">
        <f t="shared" si="189"/>
        <v>3.91</v>
      </c>
      <c r="BW65" s="5">
        <f t="shared" si="190"/>
        <v>3.91</v>
      </c>
      <c r="BX65" s="6">
        <f t="shared" si="191"/>
        <v>31</v>
      </c>
      <c r="BY65" s="5">
        <f t="shared" si="192"/>
        <v>1.2274527056753188</v>
      </c>
      <c r="BZ65" s="6">
        <f t="shared" si="193"/>
        <v>16</v>
      </c>
      <c r="CA65" s="5">
        <f t="shared" si="194"/>
        <v>0.63352397712274522</v>
      </c>
      <c r="CB65" s="6">
        <f t="shared" si="195"/>
        <v>15</v>
      </c>
      <c r="CC65" s="5">
        <f t="shared" si="196"/>
        <v>0.59392872855257373</v>
      </c>
      <c r="CD65" s="5">
        <f t="shared" si="197"/>
        <v>0.59392872855257373</v>
      </c>
      <c r="CE65" s="21">
        <f t="shared" si="198"/>
        <v>0.4838709677419355</v>
      </c>
      <c r="CF65" s="5">
        <f t="shared" si="199"/>
        <v>3.875</v>
      </c>
      <c r="CG65" s="5">
        <f t="shared" si="200"/>
        <v>1.875</v>
      </c>
      <c r="CH65" s="21">
        <f t="shared" si="201"/>
        <v>0.25806451612903225</v>
      </c>
      <c r="CI65" s="298">
        <f t="shared" si="202"/>
        <v>8</v>
      </c>
      <c r="CJ65" s="298">
        <f t="shared" si="203"/>
        <v>0</v>
      </c>
      <c r="CK65" s="298">
        <f t="shared" si="204"/>
        <v>0</v>
      </c>
      <c r="CL65" s="21">
        <f t="shared" si="205"/>
        <v>0</v>
      </c>
      <c r="CM65" s="6">
        <f t="shared" si="206"/>
        <v>19.7</v>
      </c>
      <c r="CN65" s="5">
        <f t="shared" si="207"/>
        <v>0.78002639683238006</v>
      </c>
      <c r="CO65" s="167">
        <f t="shared" si="208"/>
        <v>114</v>
      </c>
      <c r="CP65" s="5">
        <f t="shared" si="209"/>
        <v>4.5138583369995597</v>
      </c>
      <c r="CQ65" s="6">
        <f t="shared" si="210"/>
        <v>90</v>
      </c>
      <c r="CR65" s="5">
        <f t="shared" si="211"/>
        <v>3.5635723713154421</v>
      </c>
      <c r="CS65" s="21">
        <f t="shared" si="212"/>
        <v>0.78947368421052633</v>
      </c>
      <c r="CT65" s="6">
        <f t="shared" si="213"/>
        <v>73.7</v>
      </c>
      <c r="CU65" s="5">
        <f t="shared" si="214"/>
        <v>2.9181698196216455</v>
      </c>
      <c r="CV65" s="6">
        <f t="shared" si="215"/>
        <v>75.7</v>
      </c>
      <c r="CW65" s="5">
        <f t="shared" si="216"/>
        <v>2.9973603167619887</v>
      </c>
      <c r="CX65" s="385">
        <f t="shared" si="217"/>
        <v>9.1184689837219537</v>
      </c>
      <c r="CY65" s="5">
        <f t="shared" si="218"/>
        <v>31.557413110426747</v>
      </c>
      <c r="CZ65" s="5">
        <f t="shared" si="219"/>
        <v>25.618125824901011</v>
      </c>
      <c r="DA65" s="6">
        <f t="shared" si="220"/>
        <v>74</v>
      </c>
      <c r="DB65" s="5">
        <f t="shared" si="221"/>
        <v>2.9300483941926969</v>
      </c>
      <c r="DC65" s="6">
        <f t="shared" si="222"/>
        <v>141</v>
      </c>
      <c r="DD65" s="5">
        <f t="shared" si="223"/>
        <v>5.5829300483941928</v>
      </c>
      <c r="DE65" s="6">
        <f t="shared" si="224"/>
        <v>82</v>
      </c>
      <c r="DF65" s="5">
        <f t="shared" si="225"/>
        <v>3.2468103827540693</v>
      </c>
      <c r="DG65" s="6">
        <f t="shared" si="226"/>
        <v>97</v>
      </c>
      <c r="DH65" s="5">
        <f t="shared" si="227"/>
        <v>3.8407391113066431</v>
      </c>
      <c r="DI65" s="5">
        <f t="shared" si="228"/>
        <v>19.7</v>
      </c>
      <c r="DJ65" s="5">
        <f t="shared" si="229"/>
        <v>258.89999999999998</v>
      </c>
      <c r="DK65" s="5">
        <f t="shared" si="230"/>
        <v>10.251209854817422</v>
      </c>
      <c r="DL65" s="286">
        <f t="shared" si="231"/>
        <v>143.95666666666668</v>
      </c>
      <c r="DM65" s="287">
        <f t="shared" si="232"/>
        <v>5.7</v>
      </c>
      <c r="DN65" s="60">
        <f t="shared" si="233"/>
        <v>6.69</v>
      </c>
      <c r="DO65" t="s">
        <v>746</v>
      </c>
      <c r="DP65" t="s">
        <v>1119</v>
      </c>
      <c r="DQ65" t="s">
        <v>1523</v>
      </c>
      <c r="DR65">
        <v>30</v>
      </c>
      <c r="DS65" t="s">
        <v>1524</v>
      </c>
      <c r="DT65" t="s">
        <v>1525</v>
      </c>
      <c r="DU65" t="s">
        <v>1201</v>
      </c>
      <c r="DV65" t="s">
        <v>1202</v>
      </c>
      <c r="DW65" t="s">
        <v>1526</v>
      </c>
      <c r="DX65" s="430">
        <v>46387</v>
      </c>
      <c r="DY65">
        <v>2273</v>
      </c>
      <c r="DZ65" t="s">
        <v>1527</v>
      </c>
      <c r="EA65">
        <v>0</v>
      </c>
      <c r="EB65">
        <v>8</v>
      </c>
      <c r="EC65">
        <v>0</v>
      </c>
      <c r="ED65">
        <v>2</v>
      </c>
      <c r="EE65">
        <v>19.7</v>
      </c>
      <c r="EF65" t="s">
        <v>1528</v>
      </c>
      <c r="EG65" t="s">
        <v>1529</v>
      </c>
      <c r="EH65">
        <v>16</v>
      </c>
      <c r="EI65">
        <v>47</v>
      </c>
      <c r="EJ65">
        <v>644</v>
      </c>
      <c r="EK65">
        <v>571</v>
      </c>
      <c r="EL65">
        <v>49</v>
      </c>
      <c r="EM65">
        <v>25</v>
      </c>
      <c r="EN65">
        <v>24</v>
      </c>
      <c r="EO65">
        <v>31</v>
      </c>
      <c r="EP65">
        <v>15</v>
      </c>
      <c r="EQ65">
        <v>37</v>
      </c>
      <c r="ER65">
        <v>18</v>
      </c>
      <c r="ES65">
        <v>10</v>
      </c>
      <c r="ET65">
        <v>2</v>
      </c>
      <c r="EU65">
        <v>10</v>
      </c>
      <c r="EV65">
        <v>2</v>
      </c>
      <c r="EW65">
        <v>0</v>
      </c>
      <c r="EX65">
        <v>0.4</v>
      </c>
      <c r="EY65">
        <v>0</v>
      </c>
      <c r="EZ65">
        <v>0</v>
      </c>
      <c r="FA65">
        <v>0</v>
      </c>
      <c r="FB65">
        <v>5.7</v>
      </c>
      <c r="FC65" t="s">
        <v>1530</v>
      </c>
      <c r="FD65">
        <v>6.69</v>
      </c>
    </row>
    <row r="66" spans="1:160" ht="24.95" customHeight="1" thickBot="1" x14ac:dyDescent="0.3">
      <c r="A66" s="29" t="str">
        <f t="shared" ref="A66:A92" si="234">ROW()-1 &amp; "º"</f>
        <v>65º</v>
      </c>
      <c r="B66" s="67" t="str">
        <f t="shared" si="118"/>
        <v>José Neris</v>
      </c>
      <c r="C66" s="83" t="str">
        <f t="shared" si="119"/>
        <v>URU</v>
      </c>
      <c r="D66" s="9" t="str">
        <f t="shared" si="120"/>
        <v>Emelec</v>
      </c>
      <c r="E66" s="91" t="str">
        <f t="shared" si="121"/>
        <v>Pé Preferido Desconhecido</v>
      </c>
      <c r="F66" s="155">
        <f t="shared" si="122"/>
        <v>1.83</v>
      </c>
      <c r="G66" s="35">
        <f t="shared" si="123"/>
        <v>47118</v>
      </c>
      <c r="H66" s="7">
        <f t="shared" si="124"/>
        <v>26</v>
      </c>
      <c r="I66" s="299" t="str">
        <f t="shared" si="125"/>
        <v>8,75m € - 15,5m € p/m</v>
      </c>
      <c r="J66" s="3" t="str">
        <f t="shared" si="126"/>
        <v>Não está à venda</v>
      </c>
      <c r="K66" s="89">
        <f t="shared" ref="K66:K92" si="235">AVERAGE(L:L)</f>
        <v>31.398046398046404</v>
      </c>
      <c r="L66" s="133">
        <f t="shared" si="127"/>
        <v>25.055555555555557</v>
      </c>
      <c r="M66" s="134">
        <f t="shared" si="128"/>
        <v>30</v>
      </c>
      <c r="N66" s="134">
        <f t="shared" si="129"/>
        <v>75.166666666666671</v>
      </c>
      <c r="O66" s="173">
        <f t="shared" si="130"/>
        <v>0.97</v>
      </c>
      <c r="P66" s="402">
        <f t="shared" si="131"/>
        <v>10</v>
      </c>
      <c r="Q66" s="402">
        <f t="shared" si="132"/>
        <v>2</v>
      </c>
      <c r="R66" s="402">
        <f t="shared" si="133"/>
        <v>12</v>
      </c>
      <c r="S66" s="6">
        <f t="shared" si="134"/>
        <v>2</v>
      </c>
      <c r="T66" s="24">
        <f t="shared" si="135"/>
        <v>1127.5</v>
      </c>
      <c r="U66" s="21">
        <f t="shared" si="136"/>
        <v>7.9822616407982258E-2</v>
      </c>
      <c r="V66" s="298">
        <f t="shared" si="137"/>
        <v>79</v>
      </c>
      <c r="W66" s="300">
        <f t="shared" si="138"/>
        <v>3.1529933481152992</v>
      </c>
      <c r="X66" s="298">
        <f t="shared" si="139"/>
        <v>14</v>
      </c>
      <c r="Y66" s="300">
        <f t="shared" si="140"/>
        <v>0.55875831485587579</v>
      </c>
      <c r="Z66" s="290">
        <f t="shared" si="141"/>
        <v>0.17721518987341772</v>
      </c>
      <c r="AA66" s="298">
        <f t="shared" si="142"/>
        <v>5</v>
      </c>
      <c r="AB66" s="286">
        <f t="shared" si="143"/>
        <v>6</v>
      </c>
      <c r="AC66" s="286">
        <f t="shared" si="144"/>
        <v>5</v>
      </c>
      <c r="AD66" s="286">
        <f t="shared" si="145"/>
        <v>1</v>
      </c>
      <c r="AE66" s="21">
        <f t="shared" si="146"/>
        <v>0.83333333333333337</v>
      </c>
      <c r="AF66" s="421">
        <f t="shared" si="147"/>
        <v>10</v>
      </c>
      <c r="AG66" s="421">
        <f t="shared" si="148"/>
        <v>2</v>
      </c>
      <c r="AH66" s="421">
        <f t="shared" si="149"/>
        <v>12</v>
      </c>
      <c r="AI66" s="421">
        <f t="shared" si="150"/>
        <v>5</v>
      </c>
      <c r="AJ66" s="420">
        <f t="shared" si="151"/>
        <v>3</v>
      </c>
      <c r="AK66" s="422">
        <f t="shared" si="152"/>
        <v>0.3991130820399113</v>
      </c>
      <c r="AL66" s="422">
        <f t="shared" si="153"/>
        <v>7.9822616407982258E-2</v>
      </c>
      <c r="AM66" s="422">
        <f t="shared" si="154"/>
        <v>0.47893569844789352</v>
      </c>
      <c r="AN66" s="5">
        <f t="shared" si="155"/>
        <v>6.39</v>
      </c>
      <c r="AO66" s="5">
        <f t="shared" si="156"/>
        <v>1.6499999999999995</v>
      </c>
      <c r="AP66" s="5">
        <f t="shared" si="157"/>
        <v>6.5853658536585341E-2</v>
      </c>
      <c r="AQ66" s="5">
        <f t="shared" si="158"/>
        <v>2.29</v>
      </c>
      <c r="AR66" s="5">
        <f t="shared" si="159"/>
        <v>9.1396895787139679E-2</v>
      </c>
      <c r="AS66" s="5">
        <f t="shared" si="160"/>
        <v>3.9399999999999995</v>
      </c>
      <c r="AT66" s="5">
        <f t="shared" si="161"/>
        <v>0.15725055432372503</v>
      </c>
      <c r="AU66" s="21">
        <f t="shared" si="162"/>
        <v>0.53379953379953382</v>
      </c>
      <c r="AV66" s="21">
        <f t="shared" si="163"/>
        <v>0.61012812690665041</v>
      </c>
      <c r="AW66" s="6">
        <f t="shared" si="164"/>
        <v>11</v>
      </c>
      <c r="AX66" s="6">
        <f t="shared" si="165"/>
        <v>2</v>
      </c>
      <c r="AY66" s="21">
        <f t="shared" si="166"/>
        <v>0.18181818181818182</v>
      </c>
      <c r="AZ66" s="304">
        <f t="shared" si="167"/>
        <v>14</v>
      </c>
      <c r="BA66" s="305">
        <f t="shared" si="168"/>
        <v>0.55875831485587579</v>
      </c>
      <c r="BB66" s="413">
        <f t="shared" si="169"/>
        <v>11.423500000000001</v>
      </c>
      <c r="BC66" s="413">
        <f t="shared" si="170"/>
        <v>0.45592682926829264</v>
      </c>
      <c r="BD66" s="6">
        <f t="shared" si="171"/>
        <v>682</v>
      </c>
      <c r="BE66" s="5">
        <f t="shared" si="172"/>
        <v>27.219512195121951</v>
      </c>
      <c r="BF66" s="6">
        <f t="shared" si="173"/>
        <v>612</v>
      </c>
      <c r="BG66" s="5">
        <f t="shared" si="174"/>
        <v>24.425720620842572</v>
      </c>
      <c r="BH66" s="21">
        <f t="shared" si="175"/>
        <v>0.8973607038123167</v>
      </c>
      <c r="BI66" s="417">
        <f t="shared" si="176"/>
        <v>70</v>
      </c>
      <c r="BJ66" s="418">
        <f t="shared" si="177"/>
        <v>2.7937915742793789</v>
      </c>
      <c r="BK66" s="195">
        <f t="shared" si="178"/>
        <v>26</v>
      </c>
      <c r="BL66" s="5">
        <f t="shared" si="179"/>
        <v>1.0376940133037693</v>
      </c>
      <c r="BM66" s="21">
        <f t="shared" si="180"/>
        <v>3.8123167155425221E-2</v>
      </c>
      <c r="BN66" s="195">
        <f t="shared" si="181"/>
        <v>27</v>
      </c>
      <c r="BO66" s="185">
        <f t="shared" si="182"/>
        <v>1.0776053215077606</v>
      </c>
      <c r="BP66" s="5">
        <f t="shared" si="183"/>
        <v>13.5</v>
      </c>
      <c r="BQ66" s="21">
        <f t="shared" si="184"/>
        <v>7.407407407407407E-2</v>
      </c>
      <c r="BR66" s="5">
        <f t="shared" si="185"/>
        <v>0.29000000000000004</v>
      </c>
      <c r="BS66" s="5">
        <f t="shared" si="186"/>
        <v>8.4814814814814815E-2</v>
      </c>
      <c r="BT66" s="24">
        <f t="shared" si="187"/>
        <v>83.518518518518519</v>
      </c>
      <c r="BU66" s="5">
        <f t="shared" si="188"/>
        <v>41.75925925925926</v>
      </c>
      <c r="BV66" s="5">
        <f t="shared" si="189"/>
        <v>3.6100000000000003</v>
      </c>
      <c r="BW66" s="5">
        <f t="shared" si="190"/>
        <v>-0.33999999999999986</v>
      </c>
      <c r="BX66" s="6">
        <f t="shared" si="191"/>
        <v>58</v>
      </c>
      <c r="BY66" s="5">
        <f t="shared" si="192"/>
        <v>2.3148558758314852</v>
      </c>
      <c r="BZ66" s="6">
        <f t="shared" si="193"/>
        <v>37</v>
      </c>
      <c r="CA66" s="5">
        <f t="shared" si="194"/>
        <v>1.4767184035476717</v>
      </c>
      <c r="CB66" s="6">
        <f t="shared" si="195"/>
        <v>27</v>
      </c>
      <c r="CC66" s="5">
        <f t="shared" si="196"/>
        <v>1.0776053215077606</v>
      </c>
      <c r="CD66" s="5">
        <f t="shared" si="197"/>
        <v>0.87804878048780477</v>
      </c>
      <c r="CE66" s="21">
        <f t="shared" si="198"/>
        <v>0.37931034482758619</v>
      </c>
      <c r="CF66" s="5">
        <f t="shared" si="199"/>
        <v>11.6</v>
      </c>
      <c r="CG66" s="5">
        <f t="shared" si="200"/>
        <v>2.7</v>
      </c>
      <c r="CH66" s="21">
        <f t="shared" si="201"/>
        <v>8.6206896551724144E-2</v>
      </c>
      <c r="CI66" s="298">
        <f t="shared" si="202"/>
        <v>1</v>
      </c>
      <c r="CJ66" s="298">
        <f t="shared" si="203"/>
        <v>3</v>
      </c>
      <c r="CK66" s="298">
        <f t="shared" si="204"/>
        <v>6</v>
      </c>
      <c r="CL66" s="21">
        <f t="shared" si="205"/>
        <v>0.11973392461197338</v>
      </c>
      <c r="CM66" s="6">
        <f t="shared" si="206"/>
        <v>18.600000000000001</v>
      </c>
      <c r="CN66" s="5">
        <f t="shared" si="207"/>
        <v>0.742350332594235</v>
      </c>
      <c r="CO66" s="167">
        <f t="shared" si="208"/>
        <v>116</v>
      </c>
      <c r="CP66" s="5">
        <f t="shared" si="209"/>
        <v>4.6297117516629704</v>
      </c>
      <c r="CQ66" s="6">
        <f t="shared" si="210"/>
        <v>70</v>
      </c>
      <c r="CR66" s="5">
        <f t="shared" si="211"/>
        <v>2.7937915742793789</v>
      </c>
      <c r="CS66" s="21">
        <f t="shared" si="212"/>
        <v>0.60344827586206895</v>
      </c>
      <c r="CT66" s="6">
        <f t="shared" si="213"/>
        <v>67.289999999999992</v>
      </c>
      <c r="CU66" s="5">
        <f t="shared" si="214"/>
        <v>2.6856319290465627</v>
      </c>
      <c r="CV66" s="6">
        <f t="shared" si="215"/>
        <v>67.289999999999992</v>
      </c>
      <c r="CW66" s="5">
        <f t="shared" si="216"/>
        <v>2.6856319290465627</v>
      </c>
      <c r="CX66" s="385">
        <f t="shared" si="217"/>
        <v>8.6961552106430133</v>
      </c>
      <c r="CY66" s="5">
        <f t="shared" si="218"/>
        <v>34.603104212860309</v>
      </c>
      <c r="CZ66" s="5">
        <f t="shared" si="219"/>
        <v>26.780487804878046</v>
      </c>
      <c r="DA66" s="6">
        <f t="shared" si="220"/>
        <v>53</v>
      </c>
      <c r="DB66" s="5">
        <f t="shared" si="221"/>
        <v>2.1152993348115299</v>
      </c>
      <c r="DC66" s="6">
        <f t="shared" si="222"/>
        <v>142</v>
      </c>
      <c r="DD66" s="5">
        <f t="shared" si="223"/>
        <v>5.6674057649667402</v>
      </c>
      <c r="DE66" s="6">
        <f t="shared" si="224"/>
        <v>97</v>
      </c>
      <c r="DF66" s="5">
        <f t="shared" si="225"/>
        <v>3.8713968957871394</v>
      </c>
      <c r="DG66" s="6">
        <f t="shared" si="226"/>
        <v>116</v>
      </c>
      <c r="DH66" s="5">
        <f t="shared" si="227"/>
        <v>4.6297117516629704</v>
      </c>
      <c r="DI66" s="5">
        <f t="shared" si="228"/>
        <v>18.600000000000001</v>
      </c>
      <c r="DJ66" s="5">
        <f t="shared" si="229"/>
        <v>259.7</v>
      </c>
      <c r="DK66" s="5">
        <f t="shared" si="230"/>
        <v>10.364966740576495</v>
      </c>
      <c r="DL66" s="286">
        <f t="shared" si="231"/>
        <v>147.82777777777778</v>
      </c>
      <c r="DM66" s="287">
        <f t="shared" si="232"/>
        <v>5.9</v>
      </c>
      <c r="DN66" s="60">
        <f t="shared" si="233"/>
        <v>6.89</v>
      </c>
      <c r="DO66"/>
      <c r="DP66" t="s">
        <v>1119</v>
      </c>
      <c r="DQ66" t="s">
        <v>1531</v>
      </c>
      <c r="DR66">
        <v>26</v>
      </c>
      <c r="DS66" t="s">
        <v>1532</v>
      </c>
      <c r="DT66" t="s">
        <v>696</v>
      </c>
      <c r="DU66" t="s">
        <v>1201</v>
      </c>
      <c r="DV66" t="s">
        <v>394</v>
      </c>
      <c r="DW66" t="s">
        <v>1533</v>
      </c>
      <c r="DX66" s="430">
        <v>47118</v>
      </c>
      <c r="DY66">
        <v>2255</v>
      </c>
      <c r="DZ66" t="s">
        <v>1389</v>
      </c>
      <c r="EA66">
        <v>2</v>
      </c>
      <c r="EB66">
        <v>10</v>
      </c>
      <c r="EC66">
        <v>2</v>
      </c>
      <c r="ED66">
        <v>6</v>
      </c>
      <c r="EE66">
        <v>18.600000000000001</v>
      </c>
      <c r="EF66" t="s">
        <v>1534</v>
      </c>
      <c r="EG66" t="s">
        <v>1535</v>
      </c>
      <c r="EH66">
        <v>27</v>
      </c>
      <c r="EI66">
        <v>42</v>
      </c>
      <c r="EJ66">
        <v>682</v>
      </c>
      <c r="EK66">
        <v>612</v>
      </c>
      <c r="EL66">
        <v>27</v>
      </c>
      <c r="EM66">
        <v>26</v>
      </c>
      <c r="EN66">
        <v>14</v>
      </c>
      <c r="EO66">
        <v>64</v>
      </c>
      <c r="EP66">
        <v>27</v>
      </c>
      <c r="EQ66">
        <v>38</v>
      </c>
      <c r="ER66">
        <v>20</v>
      </c>
      <c r="ES66">
        <v>11</v>
      </c>
      <c r="ET66">
        <v>2</v>
      </c>
      <c r="EU66">
        <v>90</v>
      </c>
      <c r="EV66">
        <v>16</v>
      </c>
      <c r="EW66">
        <v>3</v>
      </c>
      <c r="EX66">
        <v>1</v>
      </c>
      <c r="EY66">
        <v>5</v>
      </c>
      <c r="EZ66">
        <v>6</v>
      </c>
      <c r="FA66">
        <v>5</v>
      </c>
      <c r="FB66">
        <v>5.9</v>
      </c>
      <c r="FC66" t="s">
        <v>1536</v>
      </c>
      <c r="FD66">
        <v>6.89</v>
      </c>
    </row>
    <row r="67" spans="1:160" ht="24.95" customHeight="1" thickBot="1" x14ac:dyDescent="0.3">
      <c r="A67" s="29" t="str">
        <f t="shared" si="234"/>
        <v>66º</v>
      </c>
      <c r="B67" s="67" t="str">
        <f t="shared" si="118"/>
        <v>Thiago Vecino</v>
      </c>
      <c r="C67" s="83" t="str">
        <f t="shared" si="119"/>
        <v>URU</v>
      </c>
      <c r="D67" s="9" t="str">
        <f t="shared" si="120"/>
        <v>O'Higgins</v>
      </c>
      <c r="E67" s="91" t="str">
        <f t="shared" si="121"/>
        <v>Pé Preferido Desconhecido</v>
      </c>
      <c r="F67" s="155">
        <f t="shared" si="122"/>
        <v>1.84</v>
      </c>
      <c r="G67" s="35">
        <f t="shared" si="123"/>
        <v>47118</v>
      </c>
      <c r="H67" s="7">
        <f t="shared" si="124"/>
        <v>27</v>
      </c>
      <c r="I67" s="299" t="str">
        <f t="shared" si="125"/>
        <v>4,8m € - 7,5m € p/m</v>
      </c>
      <c r="J67" s="3" t="str">
        <f t="shared" si="126"/>
        <v>Desconhecido</v>
      </c>
      <c r="K67" s="89">
        <f t="shared" si="235"/>
        <v>31.398046398046404</v>
      </c>
      <c r="L67" s="133">
        <f t="shared" si="127"/>
        <v>34.044444444444444</v>
      </c>
      <c r="M67" s="134">
        <f t="shared" si="128"/>
        <v>41</v>
      </c>
      <c r="N67" s="134">
        <f t="shared" si="129"/>
        <v>74.731707317073173</v>
      </c>
      <c r="O67" s="173">
        <f t="shared" si="130"/>
        <v>1</v>
      </c>
      <c r="P67" s="402">
        <f t="shared" si="131"/>
        <v>9</v>
      </c>
      <c r="Q67" s="402">
        <f t="shared" si="132"/>
        <v>2</v>
      </c>
      <c r="R67" s="402">
        <f t="shared" si="133"/>
        <v>11</v>
      </c>
      <c r="S67" s="6">
        <f t="shared" si="134"/>
        <v>1</v>
      </c>
      <c r="T67" s="24">
        <f t="shared" si="135"/>
        <v>3064</v>
      </c>
      <c r="U67" s="21">
        <f t="shared" si="136"/>
        <v>2.93733681462141E-2</v>
      </c>
      <c r="V67" s="298">
        <f t="shared" si="137"/>
        <v>60</v>
      </c>
      <c r="W67" s="300">
        <f t="shared" si="138"/>
        <v>1.762402088772846</v>
      </c>
      <c r="X67" s="298">
        <f t="shared" si="139"/>
        <v>11</v>
      </c>
      <c r="Y67" s="300">
        <f t="shared" si="140"/>
        <v>0.32310704960835507</v>
      </c>
      <c r="Z67" s="290">
        <f t="shared" si="141"/>
        <v>0.18333333333333332</v>
      </c>
      <c r="AA67" s="298">
        <f t="shared" si="142"/>
        <v>4</v>
      </c>
      <c r="AB67" s="286">
        <f t="shared" si="143"/>
        <v>4</v>
      </c>
      <c r="AC67" s="286">
        <f t="shared" si="144"/>
        <v>1</v>
      </c>
      <c r="AD67" s="286">
        <f t="shared" si="145"/>
        <v>3</v>
      </c>
      <c r="AE67" s="21">
        <f t="shared" si="146"/>
        <v>0.25</v>
      </c>
      <c r="AF67" s="421">
        <f t="shared" si="147"/>
        <v>9</v>
      </c>
      <c r="AG67" s="421">
        <f t="shared" si="148"/>
        <v>2</v>
      </c>
      <c r="AH67" s="421">
        <f t="shared" si="149"/>
        <v>11</v>
      </c>
      <c r="AI67" s="421">
        <f t="shared" si="150"/>
        <v>8</v>
      </c>
      <c r="AJ67" s="420">
        <f t="shared" si="151"/>
        <v>1</v>
      </c>
      <c r="AK67" s="422">
        <f t="shared" si="152"/>
        <v>0.26436031331592691</v>
      </c>
      <c r="AL67" s="422">
        <f t="shared" si="153"/>
        <v>5.87467362924282E-2</v>
      </c>
      <c r="AM67" s="422">
        <f t="shared" si="154"/>
        <v>0.32310704960835507</v>
      </c>
      <c r="AN67" s="5">
        <f t="shared" si="155"/>
        <v>11.96</v>
      </c>
      <c r="AO67" s="5">
        <f t="shared" si="156"/>
        <v>8.8000000000000007</v>
      </c>
      <c r="AP67" s="5">
        <f t="shared" si="157"/>
        <v>0.25848563968668409</v>
      </c>
      <c r="AQ67" s="5">
        <f t="shared" si="158"/>
        <v>2.2999999999999998</v>
      </c>
      <c r="AR67" s="5">
        <f t="shared" si="159"/>
        <v>6.7558746736292419E-2</v>
      </c>
      <c r="AS67" s="5">
        <f t="shared" si="160"/>
        <v>11.100000000000001</v>
      </c>
      <c r="AT67" s="5">
        <f t="shared" si="161"/>
        <v>0.32604438642297656</v>
      </c>
      <c r="AU67" s="21">
        <f t="shared" si="162"/>
        <v>0.53488372093023251</v>
      </c>
      <c r="AV67" s="21">
        <f t="shared" si="163"/>
        <v>0.4293893129770992</v>
      </c>
      <c r="AW67" s="6">
        <f t="shared" si="164"/>
        <v>17</v>
      </c>
      <c r="AX67" s="6">
        <f t="shared" si="165"/>
        <v>0</v>
      </c>
      <c r="AY67" s="21">
        <f t="shared" si="166"/>
        <v>0</v>
      </c>
      <c r="AZ67" s="304">
        <f t="shared" si="167"/>
        <v>16</v>
      </c>
      <c r="BA67" s="305">
        <f t="shared" si="168"/>
        <v>0.4699738903394256</v>
      </c>
      <c r="BB67" s="413">
        <f t="shared" si="169"/>
        <v>15.37</v>
      </c>
      <c r="BC67" s="413">
        <f t="shared" si="170"/>
        <v>0.45146866840731076</v>
      </c>
      <c r="BD67" s="6">
        <f t="shared" si="171"/>
        <v>852</v>
      </c>
      <c r="BE67" s="5">
        <f t="shared" si="172"/>
        <v>25.026109660574413</v>
      </c>
      <c r="BF67" s="6">
        <f t="shared" si="173"/>
        <v>752</v>
      </c>
      <c r="BG67" s="5">
        <f t="shared" si="174"/>
        <v>22.088772845953002</v>
      </c>
      <c r="BH67" s="21">
        <f t="shared" si="175"/>
        <v>0.88262910798122063</v>
      </c>
      <c r="BI67" s="417">
        <f t="shared" si="176"/>
        <v>100</v>
      </c>
      <c r="BJ67" s="418">
        <f t="shared" si="177"/>
        <v>2.9373368146214101</v>
      </c>
      <c r="BK67" s="195">
        <f t="shared" si="178"/>
        <v>29</v>
      </c>
      <c r="BL67" s="5">
        <f t="shared" si="179"/>
        <v>0.85182767624020883</v>
      </c>
      <c r="BM67" s="21">
        <f t="shared" si="180"/>
        <v>3.4037558685446008E-2</v>
      </c>
      <c r="BN67" s="195">
        <f t="shared" si="181"/>
        <v>59</v>
      </c>
      <c r="BO67" s="185">
        <f t="shared" si="182"/>
        <v>1.7330287206266319</v>
      </c>
      <c r="BP67" s="5">
        <f t="shared" si="183"/>
        <v>29.5</v>
      </c>
      <c r="BQ67" s="21">
        <f t="shared" si="184"/>
        <v>3.3898305084745763E-2</v>
      </c>
      <c r="BR67" s="5">
        <f t="shared" si="185"/>
        <v>0.29999999999999982</v>
      </c>
      <c r="BS67" s="5">
        <f t="shared" si="186"/>
        <v>3.8983050847457623E-2</v>
      </c>
      <c r="BT67" s="24">
        <f t="shared" si="187"/>
        <v>51.932203389830505</v>
      </c>
      <c r="BU67" s="5">
        <f t="shared" si="188"/>
        <v>30.03921568627451</v>
      </c>
      <c r="BV67" s="5">
        <f t="shared" si="189"/>
        <v>-2.9600000000000009</v>
      </c>
      <c r="BW67" s="5">
        <f t="shared" si="190"/>
        <v>-3.7500000000000009</v>
      </c>
      <c r="BX67" s="6">
        <f t="shared" si="191"/>
        <v>79</v>
      </c>
      <c r="BY67" s="5">
        <f t="shared" si="192"/>
        <v>2.3204960835509136</v>
      </c>
      <c r="BZ67" s="6">
        <f t="shared" si="193"/>
        <v>39</v>
      </c>
      <c r="CA67" s="5">
        <f t="shared" si="194"/>
        <v>1.1455613577023498</v>
      </c>
      <c r="CB67" s="6">
        <f t="shared" si="195"/>
        <v>44</v>
      </c>
      <c r="CC67" s="5">
        <f t="shared" si="196"/>
        <v>1.2924281984334203</v>
      </c>
      <c r="CD67" s="5">
        <f t="shared" si="197"/>
        <v>1.2630548302872062</v>
      </c>
      <c r="CE67" s="21">
        <f t="shared" si="198"/>
        <v>0.54430379746835444</v>
      </c>
      <c r="CF67" s="5">
        <f t="shared" si="199"/>
        <v>9.875</v>
      </c>
      <c r="CG67" s="5">
        <f t="shared" si="200"/>
        <v>4.8888888888888893</v>
      </c>
      <c r="CH67" s="21">
        <f t="shared" si="201"/>
        <v>0.10126582278481013</v>
      </c>
      <c r="CI67" s="298">
        <f t="shared" si="202"/>
        <v>4</v>
      </c>
      <c r="CJ67" s="298">
        <f t="shared" si="203"/>
        <v>1</v>
      </c>
      <c r="CK67" s="298">
        <f t="shared" si="204"/>
        <v>4</v>
      </c>
      <c r="CL67" s="21">
        <f t="shared" si="205"/>
        <v>3.671671018276762E-2</v>
      </c>
      <c r="CM67" s="6">
        <f t="shared" si="206"/>
        <v>19.5</v>
      </c>
      <c r="CN67" s="5">
        <f t="shared" si="207"/>
        <v>0.5727806788511749</v>
      </c>
      <c r="CO67" s="167">
        <f t="shared" si="208"/>
        <v>175</v>
      </c>
      <c r="CP67" s="5">
        <f t="shared" si="209"/>
        <v>5.1403394255874675</v>
      </c>
      <c r="CQ67" s="6">
        <f t="shared" si="210"/>
        <v>119</v>
      </c>
      <c r="CR67" s="5">
        <f t="shared" si="211"/>
        <v>3.4954308093994779</v>
      </c>
      <c r="CS67" s="21">
        <f t="shared" si="212"/>
        <v>0.68</v>
      </c>
      <c r="CT67" s="6">
        <f t="shared" si="213"/>
        <v>110.8</v>
      </c>
      <c r="CU67" s="5">
        <f t="shared" si="214"/>
        <v>3.2545691906005221</v>
      </c>
      <c r="CV67" s="6">
        <f t="shared" si="215"/>
        <v>112.55</v>
      </c>
      <c r="CW67" s="5">
        <f t="shared" si="216"/>
        <v>3.3059725848563968</v>
      </c>
      <c r="CX67" s="385">
        <f t="shared" si="217"/>
        <v>8.9617558746736279</v>
      </c>
      <c r="CY67" s="5">
        <f t="shared" si="218"/>
        <v>31.899477806788511</v>
      </c>
      <c r="CZ67" s="5">
        <f t="shared" si="219"/>
        <v>24.761749347258487</v>
      </c>
      <c r="DA67" s="6">
        <f t="shared" si="220"/>
        <v>88</v>
      </c>
      <c r="DB67" s="5">
        <f t="shared" si="221"/>
        <v>2.5848563968668405</v>
      </c>
      <c r="DC67" s="6">
        <f t="shared" si="222"/>
        <v>203</v>
      </c>
      <c r="DD67" s="5">
        <f t="shared" si="223"/>
        <v>5.9627937336814618</v>
      </c>
      <c r="DE67" s="6">
        <f t="shared" si="224"/>
        <v>145</v>
      </c>
      <c r="DF67" s="5">
        <f t="shared" si="225"/>
        <v>4.2591383812010442</v>
      </c>
      <c r="DG67" s="6">
        <f t="shared" si="226"/>
        <v>156</v>
      </c>
      <c r="DH67" s="5">
        <f t="shared" si="227"/>
        <v>4.5822454308093992</v>
      </c>
      <c r="DI67" s="5">
        <f t="shared" si="228"/>
        <v>19.5</v>
      </c>
      <c r="DJ67" s="5">
        <f t="shared" si="229"/>
        <v>348.4</v>
      </c>
      <c r="DK67" s="5">
        <f t="shared" si="230"/>
        <v>10.233681462140991</v>
      </c>
      <c r="DL67" s="286">
        <f t="shared" si="231"/>
        <v>180.43555555555554</v>
      </c>
      <c r="DM67" s="287">
        <f t="shared" si="232"/>
        <v>5.3</v>
      </c>
      <c r="DN67" s="60">
        <f t="shared" si="233"/>
        <v>6.7</v>
      </c>
      <c r="DO67"/>
      <c r="DP67" t="s">
        <v>1119</v>
      </c>
      <c r="DQ67" t="s">
        <v>1537</v>
      </c>
      <c r="DR67">
        <v>27</v>
      </c>
      <c r="DS67" t="s">
        <v>1538</v>
      </c>
      <c r="DT67" t="s">
        <v>540</v>
      </c>
      <c r="DU67" t="s">
        <v>1201</v>
      </c>
      <c r="DV67" t="s">
        <v>1202</v>
      </c>
      <c r="DW67" t="s">
        <v>1539</v>
      </c>
      <c r="DX67" s="430">
        <v>47118</v>
      </c>
      <c r="DY67">
        <v>3064</v>
      </c>
      <c r="DZ67">
        <v>41</v>
      </c>
      <c r="EA67">
        <v>1</v>
      </c>
      <c r="EB67">
        <v>9</v>
      </c>
      <c r="EC67">
        <v>2</v>
      </c>
      <c r="ED67">
        <v>3</v>
      </c>
      <c r="EE67">
        <v>19.5</v>
      </c>
      <c r="EF67" t="s">
        <v>1540</v>
      </c>
      <c r="EG67" t="s">
        <v>923</v>
      </c>
      <c r="EH67">
        <v>26</v>
      </c>
      <c r="EI67">
        <v>64</v>
      </c>
      <c r="EJ67">
        <v>852</v>
      </c>
      <c r="EK67">
        <v>752</v>
      </c>
      <c r="EL67">
        <v>59</v>
      </c>
      <c r="EM67">
        <v>29</v>
      </c>
      <c r="EN67">
        <v>16</v>
      </c>
      <c r="EO67">
        <v>83</v>
      </c>
      <c r="EP67">
        <v>44</v>
      </c>
      <c r="EQ67">
        <v>55</v>
      </c>
      <c r="ER67">
        <v>28</v>
      </c>
      <c r="ES67">
        <v>17</v>
      </c>
      <c r="ET67">
        <v>0</v>
      </c>
      <c r="EU67">
        <v>77</v>
      </c>
      <c r="EV67">
        <v>11</v>
      </c>
      <c r="EW67">
        <v>1</v>
      </c>
      <c r="EX67">
        <v>0.8</v>
      </c>
      <c r="EY67">
        <v>4</v>
      </c>
      <c r="EZ67">
        <v>4</v>
      </c>
      <c r="FA67">
        <v>1</v>
      </c>
      <c r="FB67">
        <v>5.3</v>
      </c>
      <c r="FC67" t="s">
        <v>1541</v>
      </c>
      <c r="FD67">
        <v>6.7</v>
      </c>
    </row>
    <row r="68" spans="1:160" ht="24.95" customHeight="1" thickBot="1" x14ac:dyDescent="0.3">
      <c r="A68" s="29" t="str">
        <f t="shared" si="234"/>
        <v>67º</v>
      </c>
      <c r="B68" s="67" t="str">
        <f t="shared" si="118"/>
        <v>Matías Arezo</v>
      </c>
      <c r="C68" s="83" t="str">
        <f t="shared" si="119"/>
        <v>URU</v>
      </c>
      <c r="D68" s="9" t="str">
        <f t="shared" si="120"/>
        <v>Peñarol</v>
      </c>
      <c r="E68" s="91" t="str">
        <f t="shared" si="121"/>
        <v>Pé Direito</v>
      </c>
      <c r="F68" s="155">
        <f t="shared" si="122"/>
        <v>1.78</v>
      </c>
      <c r="G68" s="35">
        <f t="shared" si="123"/>
        <v>47118</v>
      </c>
      <c r="H68" s="7">
        <f t="shared" si="124"/>
        <v>24</v>
      </c>
      <c r="I68" s="299" t="str">
        <f t="shared" si="125"/>
        <v>107m € - 161m € p/m</v>
      </c>
      <c r="J68" s="3" t="str">
        <f t="shared" si="126"/>
        <v>85m € - 850m €</v>
      </c>
      <c r="K68" s="89">
        <f t="shared" si="235"/>
        <v>31.398046398046404</v>
      </c>
      <c r="L68" s="133">
        <f t="shared" si="127"/>
        <v>45.788888888888891</v>
      </c>
      <c r="M68" s="134">
        <f t="shared" si="128"/>
        <v>48</v>
      </c>
      <c r="N68" s="134">
        <f t="shared" si="129"/>
        <v>85.854166666666671</v>
      </c>
      <c r="O68" s="173">
        <f t="shared" si="130"/>
        <v>0.96</v>
      </c>
      <c r="P68" s="402">
        <f t="shared" si="131"/>
        <v>25</v>
      </c>
      <c r="Q68" s="402">
        <f t="shared" si="132"/>
        <v>3</v>
      </c>
      <c r="R68" s="402">
        <f t="shared" si="133"/>
        <v>28</v>
      </c>
      <c r="S68" s="6">
        <f t="shared" si="134"/>
        <v>3</v>
      </c>
      <c r="T68" s="24">
        <f t="shared" si="135"/>
        <v>1373.6666666666667</v>
      </c>
      <c r="U68" s="21">
        <f t="shared" si="136"/>
        <v>6.5518078136374669E-2</v>
      </c>
      <c r="V68" s="298">
        <f t="shared" si="137"/>
        <v>0</v>
      </c>
      <c r="W68" s="300">
        <f t="shared" si="138"/>
        <v>0</v>
      </c>
      <c r="X68" s="298">
        <f t="shared" si="139"/>
        <v>0</v>
      </c>
      <c r="Y68" s="300">
        <f t="shared" si="140"/>
        <v>0</v>
      </c>
      <c r="Z68" s="290">
        <f t="shared" si="141"/>
        <v>0</v>
      </c>
      <c r="AA68" s="298">
        <f t="shared" si="142"/>
        <v>6</v>
      </c>
      <c r="AB68" s="286">
        <f t="shared" si="143"/>
        <v>5</v>
      </c>
      <c r="AC68" s="286">
        <f t="shared" si="144"/>
        <v>4</v>
      </c>
      <c r="AD68" s="286">
        <f t="shared" si="145"/>
        <v>1</v>
      </c>
      <c r="AE68" s="21">
        <f t="shared" si="146"/>
        <v>0.8</v>
      </c>
      <c r="AF68" s="421">
        <f t="shared" si="147"/>
        <v>25</v>
      </c>
      <c r="AG68" s="421">
        <f t="shared" si="148"/>
        <v>3</v>
      </c>
      <c r="AH68" s="421">
        <f t="shared" si="149"/>
        <v>28</v>
      </c>
      <c r="AI68" s="421">
        <f t="shared" si="150"/>
        <v>21</v>
      </c>
      <c r="AJ68" s="420">
        <f t="shared" si="151"/>
        <v>6</v>
      </c>
      <c r="AK68" s="422">
        <f t="shared" si="152"/>
        <v>0.54598398446978891</v>
      </c>
      <c r="AL68" s="422">
        <f t="shared" si="153"/>
        <v>6.5518078136374669E-2</v>
      </c>
      <c r="AM68" s="422">
        <f t="shared" si="154"/>
        <v>0.61150206260616347</v>
      </c>
      <c r="AN68" s="5">
        <f t="shared" si="155"/>
        <v>17.420000000000002</v>
      </c>
      <c r="AO68" s="5">
        <f t="shared" si="156"/>
        <v>13.470000000000002</v>
      </c>
      <c r="AP68" s="5">
        <f t="shared" si="157"/>
        <v>0.29417617083232228</v>
      </c>
      <c r="AQ68" s="5">
        <f t="shared" si="158"/>
        <v>3.95</v>
      </c>
      <c r="AR68" s="5">
        <f t="shared" si="159"/>
        <v>8.6265469546226645E-2</v>
      </c>
      <c r="AS68" s="5">
        <f t="shared" si="160"/>
        <v>17.420000000000002</v>
      </c>
      <c r="AT68" s="5">
        <f t="shared" si="161"/>
        <v>0.38044164037854894</v>
      </c>
      <c r="AU68" s="21">
        <f t="shared" si="162"/>
        <v>0.56834532374100721</v>
      </c>
      <c r="AV68" s="21">
        <f t="shared" si="163"/>
        <v>0.58934464875058934</v>
      </c>
      <c r="AW68" s="6">
        <f t="shared" si="164"/>
        <v>10</v>
      </c>
      <c r="AX68" s="6">
        <f t="shared" si="165"/>
        <v>3</v>
      </c>
      <c r="AY68" s="21">
        <f t="shared" si="166"/>
        <v>0.3</v>
      </c>
      <c r="AZ68" s="304">
        <f t="shared" si="167"/>
        <v>40</v>
      </c>
      <c r="BA68" s="305">
        <f t="shared" si="168"/>
        <v>0.87357437515166214</v>
      </c>
      <c r="BB68" s="413">
        <f t="shared" si="169"/>
        <v>17.3125</v>
      </c>
      <c r="BC68" s="413">
        <f t="shared" si="170"/>
        <v>0.37809390924532876</v>
      </c>
      <c r="BD68" s="6">
        <f t="shared" si="171"/>
        <v>1216</v>
      </c>
      <c r="BE68" s="5">
        <f t="shared" si="172"/>
        <v>26.556661004610529</v>
      </c>
      <c r="BF68" s="6">
        <f t="shared" si="173"/>
        <v>1085</v>
      </c>
      <c r="BG68" s="5">
        <f t="shared" si="174"/>
        <v>23.695704925988835</v>
      </c>
      <c r="BH68" s="21">
        <f t="shared" si="175"/>
        <v>0.89226973684210531</v>
      </c>
      <c r="BI68" s="417">
        <f t="shared" si="176"/>
        <v>131</v>
      </c>
      <c r="BJ68" s="418">
        <f t="shared" si="177"/>
        <v>2.8609560786216934</v>
      </c>
      <c r="BK68" s="195">
        <f t="shared" si="178"/>
        <v>19</v>
      </c>
      <c r="BL68" s="5">
        <f t="shared" si="179"/>
        <v>0.41494782819703951</v>
      </c>
      <c r="BM68" s="21">
        <f t="shared" si="180"/>
        <v>1.5625E-2</v>
      </c>
      <c r="BN68" s="195">
        <f t="shared" si="181"/>
        <v>36</v>
      </c>
      <c r="BO68" s="185">
        <f t="shared" si="182"/>
        <v>0.78621693763649592</v>
      </c>
      <c r="BP68" s="5">
        <f t="shared" si="183"/>
        <v>12</v>
      </c>
      <c r="BQ68" s="21">
        <f t="shared" si="184"/>
        <v>8.3333333333333329E-2</v>
      </c>
      <c r="BR68" s="5">
        <f t="shared" si="185"/>
        <v>0.95000000000000018</v>
      </c>
      <c r="BS68" s="5">
        <f t="shared" si="186"/>
        <v>0.10972222222222222</v>
      </c>
      <c r="BT68" s="24">
        <f t="shared" si="187"/>
        <v>114.47222222222223</v>
      </c>
      <c r="BU68" s="5">
        <f t="shared" si="188"/>
        <v>34.341666666666669</v>
      </c>
      <c r="BV68" s="5">
        <f t="shared" si="189"/>
        <v>7.5799999999999983</v>
      </c>
      <c r="BW68" s="5">
        <f t="shared" si="190"/>
        <v>4.4199999999999982</v>
      </c>
      <c r="BX68" s="6">
        <f t="shared" si="191"/>
        <v>137</v>
      </c>
      <c r="BY68" s="5">
        <f t="shared" si="192"/>
        <v>2.9919922348944428</v>
      </c>
      <c r="BZ68" s="6">
        <f t="shared" si="193"/>
        <v>61</v>
      </c>
      <c r="CA68" s="5">
        <f t="shared" si="194"/>
        <v>1.3322009221062847</v>
      </c>
      <c r="CB68" s="6">
        <f t="shared" si="195"/>
        <v>81</v>
      </c>
      <c r="CC68" s="5">
        <f t="shared" si="196"/>
        <v>1.7689881096821158</v>
      </c>
      <c r="CD68" s="5">
        <f t="shared" si="197"/>
        <v>1.6816306721669496</v>
      </c>
      <c r="CE68" s="21">
        <f t="shared" si="198"/>
        <v>0.56204379562043794</v>
      </c>
      <c r="CF68" s="5">
        <f t="shared" si="199"/>
        <v>6.5238095238095237</v>
      </c>
      <c r="CG68" s="5">
        <f t="shared" si="200"/>
        <v>3.24</v>
      </c>
      <c r="CH68" s="21">
        <f t="shared" si="201"/>
        <v>0.15328467153284672</v>
      </c>
      <c r="CI68" s="298">
        <f t="shared" si="202"/>
        <v>14</v>
      </c>
      <c r="CJ68" s="298">
        <f t="shared" si="203"/>
        <v>6</v>
      </c>
      <c r="CK68" s="298">
        <f t="shared" si="204"/>
        <v>5</v>
      </c>
      <c r="CL68" s="21">
        <f t="shared" si="205"/>
        <v>0.14559572919194372</v>
      </c>
      <c r="CM68" s="6">
        <f t="shared" si="206"/>
        <v>15.4</v>
      </c>
      <c r="CN68" s="5">
        <f t="shared" si="207"/>
        <v>0.33632613443338993</v>
      </c>
      <c r="CO68" s="167">
        <f t="shared" si="208"/>
        <v>228</v>
      </c>
      <c r="CP68" s="5">
        <f t="shared" si="209"/>
        <v>4.979373938364474</v>
      </c>
      <c r="CQ68" s="6">
        <f t="shared" si="210"/>
        <v>160</v>
      </c>
      <c r="CR68" s="5">
        <f t="shared" si="211"/>
        <v>3.4942975006066486</v>
      </c>
      <c r="CS68" s="21">
        <f t="shared" si="212"/>
        <v>0.70175438596491224</v>
      </c>
      <c r="CT68" s="6">
        <f t="shared" si="213"/>
        <v>146.94999999999999</v>
      </c>
      <c r="CU68" s="5">
        <f t="shared" si="214"/>
        <v>3.2092938607134185</v>
      </c>
      <c r="CV68" s="6">
        <f t="shared" si="215"/>
        <v>147.94999999999999</v>
      </c>
      <c r="CW68" s="5">
        <f t="shared" si="216"/>
        <v>3.23113322009221</v>
      </c>
      <c r="CX68" s="385">
        <f t="shared" si="217"/>
        <v>6.9595704925988837</v>
      </c>
      <c r="CY68" s="5">
        <f t="shared" si="218"/>
        <v>32.60616355253579</v>
      </c>
      <c r="CZ68" s="5">
        <f t="shared" si="219"/>
        <v>25.071584566852703</v>
      </c>
      <c r="DA68" s="6">
        <f t="shared" si="220"/>
        <v>55</v>
      </c>
      <c r="DB68" s="5">
        <f t="shared" si="221"/>
        <v>1.2011647658335354</v>
      </c>
      <c r="DC68" s="6">
        <f t="shared" si="222"/>
        <v>250</v>
      </c>
      <c r="DD68" s="5">
        <f t="shared" si="223"/>
        <v>5.4598398446978882</v>
      </c>
      <c r="DE68" s="6">
        <f t="shared" si="224"/>
        <v>186</v>
      </c>
      <c r="DF68" s="5">
        <f t="shared" si="225"/>
        <v>4.0621208444552295</v>
      </c>
      <c r="DG68" s="6">
        <f t="shared" si="226"/>
        <v>199</v>
      </c>
      <c r="DH68" s="5">
        <f t="shared" si="227"/>
        <v>4.3460325163795197</v>
      </c>
      <c r="DI68" s="5">
        <f t="shared" si="228"/>
        <v>15.4</v>
      </c>
      <c r="DJ68" s="5">
        <f t="shared" si="229"/>
        <v>464.9</v>
      </c>
      <c r="DK68" s="5">
        <f t="shared" si="230"/>
        <v>10.153118175200193</v>
      </c>
      <c r="DL68" s="286">
        <f t="shared" si="231"/>
        <v>334.25888888888892</v>
      </c>
      <c r="DM68" s="287">
        <f t="shared" si="232"/>
        <v>7.3</v>
      </c>
      <c r="DN68" s="60">
        <f t="shared" si="233"/>
        <v>6.96</v>
      </c>
      <c r="DO68"/>
      <c r="DP68" t="s">
        <v>1119</v>
      </c>
      <c r="DQ68" t="s">
        <v>1542</v>
      </c>
      <c r="DR68">
        <v>24</v>
      </c>
      <c r="DS68" t="s">
        <v>1543</v>
      </c>
      <c r="DT68" t="s">
        <v>524</v>
      </c>
      <c r="DU68" t="s">
        <v>573</v>
      </c>
      <c r="DV68" t="s">
        <v>1544</v>
      </c>
      <c r="DW68" t="s">
        <v>1545</v>
      </c>
      <c r="DX68" s="430">
        <v>47118</v>
      </c>
      <c r="DY68">
        <v>4121</v>
      </c>
      <c r="DZ68" t="s">
        <v>1546</v>
      </c>
      <c r="EA68">
        <v>3</v>
      </c>
      <c r="EB68">
        <v>25</v>
      </c>
      <c r="EC68">
        <v>3</v>
      </c>
      <c r="ED68">
        <v>8</v>
      </c>
      <c r="EE68">
        <v>15.4</v>
      </c>
      <c r="EF68" t="s">
        <v>1547</v>
      </c>
      <c r="EG68" t="s">
        <v>1548</v>
      </c>
      <c r="EH68">
        <v>50</v>
      </c>
      <c r="EI68">
        <v>58</v>
      </c>
      <c r="EJ68">
        <v>1216</v>
      </c>
      <c r="EK68">
        <v>1085</v>
      </c>
      <c r="EL68">
        <v>36</v>
      </c>
      <c r="EM68">
        <v>19</v>
      </c>
      <c r="EN68">
        <v>40</v>
      </c>
      <c r="EO68">
        <v>142</v>
      </c>
      <c r="EP68">
        <v>81</v>
      </c>
      <c r="EQ68">
        <v>67</v>
      </c>
      <c r="ER68">
        <v>16</v>
      </c>
      <c r="ES68">
        <v>10</v>
      </c>
      <c r="ET68">
        <v>3</v>
      </c>
      <c r="EU68">
        <v>10</v>
      </c>
      <c r="EV68">
        <v>3</v>
      </c>
      <c r="EW68">
        <v>6</v>
      </c>
      <c r="EX68">
        <v>0.9</v>
      </c>
      <c r="EY68">
        <v>6</v>
      </c>
      <c r="EZ68">
        <v>5</v>
      </c>
      <c r="FA68">
        <v>4</v>
      </c>
      <c r="FB68">
        <v>7.3</v>
      </c>
      <c r="FC68" t="s">
        <v>1549</v>
      </c>
      <c r="FD68">
        <v>6.96</v>
      </c>
    </row>
    <row r="69" spans="1:160" ht="24.95" customHeight="1" thickBot="1" x14ac:dyDescent="0.3">
      <c r="A69" s="29" t="str">
        <f t="shared" si="234"/>
        <v>68º</v>
      </c>
      <c r="B69" s="67" t="str">
        <f t="shared" si="118"/>
        <v>Salomón Rodríguez</v>
      </c>
      <c r="C69" s="83" t="str">
        <f t="shared" si="119"/>
        <v>URU</v>
      </c>
      <c r="D69" s="9" t="str">
        <f t="shared" si="120"/>
        <v>MC Torque</v>
      </c>
      <c r="E69" s="91" t="str">
        <f t="shared" si="121"/>
        <v>Pé Preferido Desconhecido</v>
      </c>
      <c r="F69" s="155">
        <f t="shared" si="122"/>
        <v>1.87</v>
      </c>
      <c r="G69" s="35">
        <f t="shared" si="123"/>
        <v>47848</v>
      </c>
      <c r="H69" s="7">
        <f t="shared" si="124"/>
        <v>26</v>
      </c>
      <c r="I69" s="299" t="str">
        <f t="shared" si="125"/>
        <v>12,75m € - 19,25m € p/m</v>
      </c>
      <c r="J69" s="3" t="str">
        <f t="shared" si="126"/>
        <v>Desconhecido</v>
      </c>
      <c r="K69" s="89">
        <f t="shared" si="235"/>
        <v>31.398046398046404</v>
      </c>
      <c r="L69" s="133">
        <f t="shared" si="127"/>
        <v>31.777777777777779</v>
      </c>
      <c r="M69" s="134">
        <f t="shared" si="128"/>
        <v>37</v>
      </c>
      <c r="N69" s="134">
        <f t="shared" si="129"/>
        <v>77.297297297297291</v>
      </c>
      <c r="O69" s="173">
        <f t="shared" si="130"/>
        <v>0.95</v>
      </c>
      <c r="P69" s="402">
        <f t="shared" si="131"/>
        <v>18</v>
      </c>
      <c r="Q69" s="402">
        <f t="shared" si="132"/>
        <v>1</v>
      </c>
      <c r="R69" s="402">
        <f t="shared" si="133"/>
        <v>19</v>
      </c>
      <c r="S69" s="6">
        <f t="shared" si="134"/>
        <v>1</v>
      </c>
      <c r="T69" s="24">
        <f t="shared" si="135"/>
        <v>2860</v>
      </c>
      <c r="U69" s="21">
        <f t="shared" si="136"/>
        <v>3.1468531468531465E-2</v>
      </c>
      <c r="V69" s="298">
        <f t="shared" si="137"/>
        <v>0</v>
      </c>
      <c r="W69" s="300">
        <f t="shared" si="138"/>
        <v>0</v>
      </c>
      <c r="X69" s="298">
        <f t="shared" si="139"/>
        <v>0</v>
      </c>
      <c r="Y69" s="300">
        <f t="shared" si="140"/>
        <v>0</v>
      </c>
      <c r="Z69" s="290">
        <f t="shared" si="141"/>
        <v>0</v>
      </c>
      <c r="AA69" s="298">
        <f t="shared" si="142"/>
        <v>6</v>
      </c>
      <c r="AB69" s="286">
        <f t="shared" si="143"/>
        <v>0</v>
      </c>
      <c r="AC69" s="286">
        <f t="shared" si="144"/>
        <v>0</v>
      </c>
      <c r="AD69" s="286">
        <f t="shared" si="145"/>
        <v>0</v>
      </c>
      <c r="AE69" s="21">
        <f t="shared" si="146"/>
        <v>9.9999999999999995E-8</v>
      </c>
      <c r="AF69" s="421">
        <f t="shared" si="147"/>
        <v>18</v>
      </c>
      <c r="AG69" s="421">
        <f t="shared" si="148"/>
        <v>1</v>
      </c>
      <c r="AH69" s="421">
        <f t="shared" si="149"/>
        <v>19</v>
      </c>
      <c r="AI69" s="421">
        <f t="shared" si="150"/>
        <v>18</v>
      </c>
      <c r="AJ69" s="420">
        <f t="shared" si="151"/>
        <v>5</v>
      </c>
      <c r="AK69" s="422">
        <f t="shared" si="152"/>
        <v>0.56643356643356646</v>
      </c>
      <c r="AL69" s="422">
        <f t="shared" si="153"/>
        <v>3.1468531468531465E-2</v>
      </c>
      <c r="AM69" s="422">
        <f t="shared" si="154"/>
        <v>0.59790209790209792</v>
      </c>
      <c r="AN69" s="5">
        <f t="shared" si="155"/>
        <v>9.2899999999999991</v>
      </c>
      <c r="AO69" s="5">
        <f t="shared" si="156"/>
        <v>9.2899999999999991</v>
      </c>
      <c r="AP69" s="5">
        <f t="shared" si="157"/>
        <v>0.2923426573426573</v>
      </c>
      <c r="AQ69" s="5">
        <f t="shared" si="158"/>
        <v>1.3</v>
      </c>
      <c r="AR69" s="5">
        <f t="shared" si="159"/>
        <v>4.0909090909090909E-2</v>
      </c>
      <c r="AS69" s="5">
        <f t="shared" si="160"/>
        <v>10.59</v>
      </c>
      <c r="AT69" s="5">
        <f t="shared" si="161"/>
        <v>0.33325174825174825</v>
      </c>
      <c r="AU69" s="21">
        <f t="shared" si="162"/>
        <v>0.56521739130434789</v>
      </c>
      <c r="AV69" s="21">
        <f t="shared" si="163"/>
        <v>0.65958226456577507</v>
      </c>
      <c r="AW69" s="6">
        <f t="shared" si="164"/>
        <v>13</v>
      </c>
      <c r="AX69" s="6">
        <f t="shared" si="165"/>
        <v>2</v>
      </c>
      <c r="AY69" s="21">
        <f t="shared" si="166"/>
        <v>0.15384615384615385</v>
      </c>
      <c r="AZ69" s="304">
        <f t="shared" si="167"/>
        <v>21</v>
      </c>
      <c r="BA69" s="305">
        <f t="shared" si="168"/>
        <v>0.66083916083916083</v>
      </c>
      <c r="BB69" s="413">
        <f t="shared" si="169"/>
        <v>12.38</v>
      </c>
      <c r="BC69" s="413">
        <f t="shared" si="170"/>
        <v>0.38958041958041956</v>
      </c>
      <c r="BD69" s="6">
        <f t="shared" si="171"/>
        <v>845</v>
      </c>
      <c r="BE69" s="5">
        <f t="shared" si="172"/>
        <v>26.59090909090909</v>
      </c>
      <c r="BF69" s="6">
        <f t="shared" si="173"/>
        <v>760</v>
      </c>
      <c r="BG69" s="5">
        <f t="shared" si="174"/>
        <v>23.916083916083917</v>
      </c>
      <c r="BH69" s="21">
        <f t="shared" si="175"/>
        <v>0.89940828402366868</v>
      </c>
      <c r="BI69" s="417">
        <f t="shared" si="176"/>
        <v>85</v>
      </c>
      <c r="BJ69" s="418">
        <f t="shared" si="177"/>
        <v>2.6748251748251746</v>
      </c>
      <c r="BK69" s="195">
        <f t="shared" si="178"/>
        <v>18</v>
      </c>
      <c r="BL69" s="5">
        <f t="shared" si="179"/>
        <v>0.56643356643356646</v>
      </c>
      <c r="BM69" s="21">
        <f t="shared" si="180"/>
        <v>2.1301775147928994E-2</v>
      </c>
      <c r="BN69" s="195">
        <f t="shared" si="181"/>
        <v>36</v>
      </c>
      <c r="BO69" s="185">
        <f t="shared" si="182"/>
        <v>1.1328671328671329</v>
      </c>
      <c r="BP69" s="5">
        <f t="shared" si="183"/>
        <v>36</v>
      </c>
      <c r="BQ69" s="21">
        <f t="shared" si="184"/>
        <v>2.7777777777777776E-2</v>
      </c>
      <c r="BR69" s="5">
        <f t="shared" si="185"/>
        <v>0.30000000000000004</v>
      </c>
      <c r="BS69" s="5">
        <f t="shared" si="186"/>
        <v>3.6111111111111115E-2</v>
      </c>
      <c r="BT69" s="24">
        <f t="shared" si="187"/>
        <v>79.444444444444443</v>
      </c>
      <c r="BU69" s="5">
        <f t="shared" si="188"/>
        <v>31.777777777777779</v>
      </c>
      <c r="BV69" s="5">
        <f t="shared" si="189"/>
        <v>8.7100000000000009</v>
      </c>
      <c r="BW69" s="5">
        <f t="shared" si="190"/>
        <v>8.7100000000000009</v>
      </c>
      <c r="BX69" s="6">
        <f t="shared" si="191"/>
        <v>98</v>
      </c>
      <c r="BY69" s="5">
        <f t="shared" si="192"/>
        <v>3.0839160839160837</v>
      </c>
      <c r="BZ69" s="6">
        <f t="shared" si="193"/>
        <v>48</v>
      </c>
      <c r="CA69" s="5">
        <f t="shared" si="194"/>
        <v>1.5104895104895104</v>
      </c>
      <c r="CB69" s="6">
        <f t="shared" si="195"/>
        <v>50</v>
      </c>
      <c r="CC69" s="5">
        <f t="shared" si="196"/>
        <v>1.5734265734265733</v>
      </c>
      <c r="CD69" s="5">
        <f t="shared" si="197"/>
        <v>1.5734265734265733</v>
      </c>
      <c r="CE69" s="21">
        <f t="shared" si="198"/>
        <v>0.51020408163265307</v>
      </c>
      <c r="CF69" s="5">
        <f t="shared" si="199"/>
        <v>5.4444444444444446</v>
      </c>
      <c r="CG69" s="5">
        <f t="shared" si="200"/>
        <v>2.7777777777777777</v>
      </c>
      <c r="CH69" s="21">
        <f t="shared" si="201"/>
        <v>0.18367346938775511</v>
      </c>
      <c r="CI69" s="298">
        <f t="shared" si="202"/>
        <v>13</v>
      </c>
      <c r="CJ69" s="298">
        <f t="shared" si="203"/>
        <v>5</v>
      </c>
      <c r="CK69" s="298">
        <f t="shared" si="204"/>
        <v>0</v>
      </c>
      <c r="CL69" s="21">
        <f t="shared" si="205"/>
        <v>0.14303877940241574</v>
      </c>
      <c r="CM69" s="6">
        <f t="shared" si="206"/>
        <v>18.7</v>
      </c>
      <c r="CN69" s="5">
        <f t="shared" si="207"/>
        <v>0.58846153846153837</v>
      </c>
      <c r="CO69" s="167">
        <f t="shared" si="208"/>
        <v>168</v>
      </c>
      <c r="CP69" s="5">
        <f t="shared" si="209"/>
        <v>5.2867132867132867</v>
      </c>
      <c r="CQ69" s="6">
        <f t="shared" si="210"/>
        <v>109</v>
      </c>
      <c r="CR69" s="5">
        <f t="shared" si="211"/>
        <v>3.43006993006993</v>
      </c>
      <c r="CS69" s="21">
        <f t="shared" si="212"/>
        <v>0.64880952380952384</v>
      </c>
      <c r="CT69" s="6">
        <f t="shared" si="213"/>
        <v>107.8</v>
      </c>
      <c r="CU69" s="5">
        <f t="shared" si="214"/>
        <v>3.3923076923076922</v>
      </c>
      <c r="CV69" s="6">
        <f t="shared" si="215"/>
        <v>107.55</v>
      </c>
      <c r="CW69" s="5">
        <f t="shared" si="216"/>
        <v>3.3844405594405593</v>
      </c>
      <c r="CX69" s="385">
        <f t="shared" si="217"/>
        <v>7.3275104895104901</v>
      </c>
      <c r="CY69" s="5">
        <f t="shared" si="218"/>
        <v>33.325174825174827</v>
      </c>
      <c r="CZ69" s="5">
        <f t="shared" si="219"/>
        <v>25.74125874125874</v>
      </c>
      <c r="DA69" s="6">
        <f t="shared" si="220"/>
        <v>54</v>
      </c>
      <c r="DB69" s="5">
        <f t="shared" si="221"/>
        <v>1.6993006993006992</v>
      </c>
      <c r="DC69" s="6">
        <f t="shared" si="222"/>
        <v>190</v>
      </c>
      <c r="DD69" s="5">
        <f t="shared" si="223"/>
        <v>5.9790209790209792</v>
      </c>
      <c r="DE69" s="6">
        <f t="shared" si="224"/>
        <v>138</v>
      </c>
      <c r="DF69" s="5">
        <f t="shared" si="225"/>
        <v>4.3426573426573425</v>
      </c>
      <c r="DG69" s="6">
        <f t="shared" si="226"/>
        <v>144</v>
      </c>
      <c r="DH69" s="5">
        <f t="shared" si="227"/>
        <v>4.5314685314685317</v>
      </c>
      <c r="DI69" s="5">
        <f t="shared" si="228"/>
        <v>18.7</v>
      </c>
      <c r="DJ69" s="5">
        <f t="shared" si="229"/>
        <v>318.89999999999998</v>
      </c>
      <c r="DK69" s="5">
        <f t="shared" si="230"/>
        <v>10.035314685314685</v>
      </c>
      <c r="DL69" s="286">
        <f t="shared" si="231"/>
        <v>171.60000000000002</v>
      </c>
      <c r="DM69" s="287">
        <f t="shared" si="232"/>
        <v>5.4</v>
      </c>
      <c r="DN69" s="60">
        <f t="shared" si="233"/>
        <v>6.88</v>
      </c>
      <c r="DO69"/>
      <c r="DP69" t="s">
        <v>1119</v>
      </c>
      <c r="DQ69" t="s">
        <v>1550</v>
      </c>
      <c r="DR69">
        <v>26</v>
      </c>
      <c r="DS69" t="s">
        <v>1551</v>
      </c>
      <c r="DT69" t="s">
        <v>713</v>
      </c>
      <c r="DU69" t="s">
        <v>1201</v>
      </c>
      <c r="DV69" t="s">
        <v>1202</v>
      </c>
      <c r="DW69" t="s">
        <v>1552</v>
      </c>
      <c r="DX69" s="430">
        <v>47848</v>
      </c>
      <c r="DY69">
        <v>2860</v>
      </c>
      <c r="DZ69" t="s">
        <v>986</v>
      </c>
      <c r="EA69">
        <v>1</v>
      </c>
      <c r="EB69">
        <v>18</v>
      </c>
      <c r="EC69">
        <v>1</v>
      </c>
      <c r="ED69">
        <v>4</v>
      </c>
      <c r="EE69">
        <v>18.7</v>
      </c>
      <c r="EF69" t="s">
        <v>1188</v>
      </c>
      <c r="EG69" t="s">
        <v>1553</v>
      </c>
      <c r="EH69">
        <v>30</v>
      </c>
      <c r="EI69">
        <v>64</v>
      </c>
      <c r="EJ69">
        <v>845</v>
      </c>
      <c r="EK69">
        <v>760</v>
      </c>
      <c r="EL69">
        <v>36</v>
      </c>
      <c r="EM69">
        <v>18</v>
      </c>
      <c r="EN69">
        <v>21</v>
      </c>
      <c r="EO69">
        <v>98</v>
      </c>
      <c r="EP69">
        <v>50</v>
      </c>
      <c r="EQ69">
        <v>55</v>
      </c>
      <c r="ER69">
        <v>27</v>
      </c>
      <c r="ES69">
        <v>13</v>
      </c>
      <c r="ET69">
        <v>2</v>
      </c>
      <c r="EU69">
        <v>13</v>
      </c>
      <c r="EV69">
        <v>2</v>
      </c>
      <c r="EW69">
        <v>5</v>
      </c>
      <c r="EX69">
        <v>1.1000000000000001</v>
      </c>
      <c r="EY69">
        <v>6</v>
      </c>
      <c r="EZ69">
        <v>0</v>
      </c>
      <c r="FA69">
        <v>0</v>
      </c>
      <c r="FB69">
        <v>5.4</v>
      </c>
      <c r="FC69" t="s">
        <v>1554</v>
      </c>
      <c r="FD69">
        <v>6.88</v>
      </c>
    </row>
    <row r="70" spans="1:160" ht="24.95" customHeight="1" thickBot="1" x14ac:dyDescent="0.3">
      <c r="A70" s="29" t="str">
        <f t="shared" si="234"/>
        <v>69º</v>
      </c>
      <c r="B70" s="67" t="str">
        <f t="shared" si="118"/>
        <v>Walter González</v>
      </c>
      <c r="C70" s="83" t="str">
        <f t="shared" si="119"/>
        <v>PAR</v>
      </c>
      <c r="D70" s="9" t="str">
        <f t="shared" si="120"/>
        <v>Sportivo Luqueño</v>
      </c>
      <c r="E70" s="91" t="str">
        <f t="shared" si="121"/>
        <v>Pé Preferido Desconhecido</v>
      </c>
      <c r="F70" s="155">
        <f t="shared" si="122"/>
        <v>1.83</v>
      </c>
      <c r="G70" s="35">
        <f t="shared" si="123"/>
        <v>47149</v>
      </c>
      <c r="H70" s="7">
        <f t="shared" si="124"/>
        <v>31</v>
      </c>
      <c r="I70" s="299" t="str">
        <f t="shared" si="125"/>
        <v>4,7m € - 8m € p/m</v>
      </c>
      <c r="J70" s="3" t="str">
        <f t="shared" si="126"/>
        <v>Não está à venda</v>
      </c>
      <c r="K70" s="89">
        <f t="shared" si="235"/>
        <v>31.398046398046404</v>
      </c>
      <c r="L70" s="133">
        <f t="shared" si="127"/>
        <v>29.866666666666667</v>
      </c>
      <c r="M70" s="134">
        <f t="shared" si="128"/>
        <v>34</v>
      </c>
      <c r="N70" s="134">
        <f t="shared" si="129"/>
        <v>79.058823529411768</v>
      </c>
      <c r="O70" s="173">
        <f t="shared" si="130"/>
        <v>0.97</v>
      </c>
      <c r="P70" s="402">
        <f t="shared" si="131"/>
        <v>10</v>
      </c>
      <c r="Q70" s="402">
        <f t="shared" si="132"/>
        <v>0</v>
      </c>
      <c r="R70" s="402">
        <f t="shared" si="133"/>
        <v>10</v>
      </c>
      <c r="S70" s="6">
        <f t="shared" si="134"/>
        <v>3</v>
      </c>
      <c r="T70" s="24">
        <f t="shared" si="135"/>
        <v>896</v>
      </c>
      <c r="U70" s="21">
        <f t="shared" si="136"/>
        <v>0.10044642857142858</v>
      </c>
      <c r="V70" s="298">
        <f t="shared" si="137"/>
        <v>0</v>
      </c>
      <c r="W70" s="300">
        <f t="shared" si="138"/>
        <v>0</v>
      </c>
      <c r="X70" s="298">
        <f t="shared" si="139"/>
        <v>0</v>
      </c>
      <c r="Y70" s="300">
        <f t="shared" si="140"/>
        <v>0</v>
      </c>
      <c r="Z70" s="290">
        <f t="shared" si="141"/>
        <v>0</v>
      </c>
      <c r="AA70" s="298">
        <f t="shared" si="142"/>
        <v>0</v>
      </c>
      <c r="AB70" s="286">
        <f t="shared" si="143"/>
        <v>4</v>
      </c>
      <c r="AC70" s="286">
        <f t="shared" si="144"/>
        <v>4</v>
      </c>
      <c r="AD70" s="286">
        <f t="shared" si="145"/>
        <v>0</v>
      </c>
      <c r="AE70" s="21">
        <f t="shared" si="146"/>
        <v>1</v>
      </c>
      <c r="AF70" s="421">
        <f t="shared" si="147"/>
        <v>10</v>
      </c>
      <c r="AG70" s="421">
        <f t="shared" si="148"/>
        <v>0</v>
      </c>
      <c r="AH70" s="421">
        <f t="shared" si="149"/>
        <v>10</v>
      </c>
      <c r="AI70" s="421">
        <f t="shared" si="150"/>
        <v>6</v>
      </c>
      <c r="AJ70" s="420">
        <f t="shared" si="151"/>
        <v>2</v>
      </c>
      <c r="AK70" s="422">
        <f t="shared" si="152"/>
        <v>0.33482142857142855</v>
      </c>
      <c r="AL70" s="422">
        <f t="shared" si="153"/>
        <v>0</v>
      </c>
      <c r="AM70" s="422">
        <f t="shared" si="154"/>
        <v>0.33482142857142855</v>
      </c>
      <c r="AN70" s="5">
        <f t="shared" si="155"/>
        <v>9.33</v>
      </c>
      <c r="AO70" s="5">
        <f t="shared" si="156"/>
        <v>6.17</v>
      </c>
      <c r="AP70" s="5">
        <f t="shared" si="157"/>
        <v>0.20658482142857143</v>
      </c>
      <c r="AQ70" s="5">
        <f t="shared" si="158"/>
        <v>2.13</v>
      </c>
      <c r="AR70" s="5">
        <f t="shared" si="159"/>
        <v>7.1316964285714282E-2</v>
      </c>
      <c r="AS70" s="5">
        <f t="shared" si="160"/>
        <v>8.3000000000000007</v>
      </c>
      <c r="AT70" s="5">
        <f t="shared" si="161"/>
        <v>0.27790178571428575</v>
      </c>
      <c r="AU70" s="21">
        <f t="shared" si="162"/>
        <v>1</v>
      </c>
      <c r="AV70" s="21">
        <f t="shared" si="163"/>
        <v>0.5173305742369374</v>
      </c>
      <c r="AW70" s="6">
        <f t="shared" si="164"/>
        <v>14</v>
      </c>
      <c r="AX70" s="6">
        <f t="shared" si="165"/>
        <v>6</v>
      </c>
      <c r="AY70" s="21">
        <f t="shared" si="166"/>
        <v>0.42857142857142855</v>
      </c>
      <c r="AZ70" s="304">
        <f t="shared" si="167"/>
        <v>19</v>
      </c>
      <c r="BA70" s="305">
        <f t="shared" si="168"/>
        <v>0.6361607142857143</v>
      </c>
      <c r="BB70" s="413">
        <f t="shared" si="169"/>
        <v>12.799499999999998</v>
      </c>
      <c r="BC70" s="413">
        <f t="shared" si="170"/>
        <v>0.42855468749999998</v>
      </c>
      <c r="BD70" s="6">
        <f t="shared" si="171"/>
        <v>924</v>
      </c>
      <c r="BE70" s="5">
        <f t="shared" si="172"/>
        <v>30.9375</v>
      </c>
      <c r="BF70" s="6">
        <f t="shared" si="173"/>
        <v>824</v>
      </c>
      <c r="BG70" s="5">
        <f t="shared" si="174"/>
        <v>27.589285714285715</v>
      </c>
      <c r="BH70" s="21">
        <f t="shared" si="175"/>
        <v>0.89177489177489178</v>
      </c>
      <c r="BI70" s="417">
        <f t="shared" si="176"/>
        <v>100</v>
      </c>
      <c r="BJ70" s="418">
        <f t="shared" si="177"/>
        <v>3.3482142857142856</v>
      </c>
      <c r="BK70" s="195">
        <f t="shared" si="178"/>
        <v>30</v>
      </c>
      <c r="BL70" s="5">
        <f t="shared" si="179"/>
        <v>1.0044642857142856</v>
      </c>
      <c r="BM70" s="21">
        <f t="shared" si="180"/>
        <v>3.2467532467532464E-2</v>
      </c>
      <c r="BN70" s="195">
        <f t="shared" si="181"/>
        <v>37</v>
      </c>
      <c r="BO70" s="185">
        <f t="shared" si="182"/>
        <v>1.2388392857142856</v>
      </c>
      <c r="BP70" s="5">
        <f t="shared" si="183"/>
        <v>25</v>
      </c>
      <c r="BQ70" s="21">
        <f t="shared" si="184"/>
        <v>0</v>
      </c>
      <c r="BR70" s="5">
        <f t="shared" si="185"/>
        <v>2.13</v>
      </c>
      <c r="BS70" s="5">
        <f t="shared" si="186"/>
        <v>5.7567567567567562E-2</v>
      </c>
      <c r="BT70" s="24">
        <f t="shared" si="187"/>
        <v>72.648648648648646</v>
      </c>
      <c r="BU70" s="5">
        <f t="shared" si="188"/>
        <v>36.324324324324323</v>
      </c>
      <c r="BV70" s="5">
        <f t="shared" si="189"/>
        <v>0.66999999999999993</v>
      </c>
      <c r="BW70" s="5">
        <f t="shared" si="190"/>
        <v>-2.4900000000000002</v>
      </c>
      <c r="BX70" s="6">
        <f t="shared" si="191"/>
        <v>78</v>
      </c>
      <c r="BY70" s="5">
        <f t="shared" si="192"/>
        <v>2.6116071428571428</v>
      </c>
      <c r="BZ70" s="6">
        <f t="shared" si="193"/>
        <v>45</v>
      </c>
      <c r="CA70" s="5">
        <f t="shared" si="194"/>
        <v>1.5066964285714286</v>
      </c>
      <c r="CB70" s="6">
        <f t="shared" si="195"/>
        <v>37</v>
      </c>
      <c r="CC70" s="5">
        <f t="shared" si="196"/>
        <v>1.2388392857142856</v>
      </c>
      <c r="CD70" s="5">
        <f t="shared" si="197"/>
        <v>1.1049107142857142</v>
      </c>
      <c r="CE70" s="21">
        <f t="shared" si="198"/>
        <v>0.42307692307692307</v>
      </c>
      <c r="CF70" s="5">
        <f t="shared" si="199"/>
        <v>13</v>
      </c>
      <c r="CG70" s="5">
        <f t="shared" si="200"/>
        <v>3.7</v>
      </c>
      <c r="CH70" s="21">
        <f t="shared" si="201"/>
        <v>7.6923076923076927E-2</v>
      </c>
      <c r="CI70" s="298">
        <f t="shared" si="202"/>
        <v>4</v>
      </c>
      <c r="CJ70" s="298">
        <f t="shared" si="203"/>
        <v>2</v>
      </c>
      <c r="CK70" s="298">
        <f t="shared" si="204"/>
        <v>4</v>
      </c>
      <c r="CL70" s="21">
        <f t="shared" si="205"/>
        <v>6.6964285714285712E-2</v>
      </c>
      <c r="CM70" s="6">
        <f t="shared" si="206"/>
        <v>15.6</v>
      </c>
      <c r="CN70" s="5">
        <f t="shared" si="207"/>
        <v>0.5223214285714286</v>
      </c>
      <c r="CO70" s="167">
        <f t="shared" si="208"/>
        <v>152</v>
      </c>
      <c r="CP70" s="5">
        <f t="shared" si="209"/>
        <v>5.0892857142857144</v>
      </c>
      <c r="CQ70" s="6">
        <f t="shared" si="210"/>
        <v>99</v>
      </c>
      <c r="CR70" s="5">
        <f t="shared" si="211"/>
        <v>3.3147321428571428</v>
      </c>
      <c r="CS70" s="21">
        <f t="shared" si="212"/>
        <v>0.65131578947368418</v>
      </c>
      <c r="CT70" s="6">
        <f t="shared" si="213"/>
        <v>89.13</v>
      </c>
      <c r="CU70" s="5">
        <f t="shared" si="214"/>
        <v>2.9842633928571427</v>
      </c>
      <c r="CV70" s="6">
        <f t="shared" si="215"/>
        <v>89.63</v>
      </c>
      <c r="CW70" s="5">
        <f t="shared" si="216"/>
        <v>3.0010044642857139</v>
      </c>
      <c r="CX70" s="385">
        <f t="shared" si="217"/>
        <v>8.5158147321428572</v>
      </c>
      <c r="CY70" s="5">
        <f t="shared" si="218"/>
        <v>38.002232142857139</v>
      </c>
      <c r="CZ70" s="5">
        <f t="shared" si="219"/>
        <v>29.966517857142858</v>
      </c>
      <c r="DA70" s="6">
        <f t="shared" si="220"/>
        <v>67</v>
      </c>
      <c r="DB70" s="5">
        <f t="shared" si="221"/>
        <v>2.2433035714285712</v>
      </c>
      <c r="DC70" s="6">
        <f t="shared" si="222"/>
        <v>182</v>
      </c>
      <c r="DD70" s="5">
        <f t="shared" si="223"/>
        <v>6.09375</v>
      </c>
      <c r="DE70" s="6">
        <f t="shared" si="224"/>
        <v>123</v>
      </c>
      <c r="DF70" s="5">
        <f t="shared" si="225"/>
        <v>4.1183035714285712</v>
      </c>
      <c r="DG70" s="6">
        <f t="shared" si="226"/>
        <v>153</v>
      </c>
      <c r="DH70" s="5">
        <f t="shared" si="227"/>
        <v>5.1227678571428568</v>
      </c>
      <c r="DI70" s="5">
        <f t="shared" si="228"/>
        <v>15.6</v>
      </c>
      <c r="DJ70" s="5">
        <f t="shared" si="229"/>
        <v>312</v>
      </c>
      <c r="DK70" s="5">
        <f t="shared" si="230"/>
        <v>10.446428571428571</v>
      </c>
      <c r="DL70" s="286">
        <f t="shared" si="231"/>
        <v>179.2</v>
      </c>
      <c r="DM70" s="287">
        <f t="shared" si="232"/>
        <v>6</v>
      </c>
      <c r="DN70" s="60">
        <f t="shared" si="233"/>
        <v>6.98</v>
      </c>
      <c r="DO70"/>
      <c r="DP70" t="s">
        <v>1095</v>
      </c>
      <c r="DQ70" t="s">
        <v>1555</v>
      </c>
      <c r="DR70">
        <v>31</v>
      </c>
      <c r="DS70" t="s">
        <v>1272</v>
      </c>
      <c r="DT70" t="s">
        <v>696</v>
      </c>
      <c r="DU70" t="s">
        <v>1201</v>
      </c>
      <c r="DV70" t="s">
        <v>394</v>
      </c>
      <c r="DW70" t="s">
        <v>1556</v>
      </c>
      <c r="DX70" s="430">
        <v>47149</v>
      </c>
      <c r="DY70">
        <v>2688</v>
      </c>
      <c r="DZ70" t="s">
        <v>1557</v>
      </c>
      <c r="EA70">
        <v>3</v>
      </c>
      <c r="EB70">
        <v>10</v>
      </c>
      <c r="EC70">
        <v>0</v>
      </c>
      <c r="ED70">
        <v>4</v>
      </c>
      <c r="EE70">
        <v>15.6</v>
      </c>
      <c r="EF70" t="s">
        <v>1558</v>
      </c>
      <c r="EG70" t="s">
        <v>1559</v>
      </c>
      <c r="EH70">
        <v>24</v>
      </c>
      <c r="EI70">
        <v>61</v>
      </c>
      <c r="EJ70">
        <v>924</v>
      </c>
      <c r="EK70">
        <v>824</v>
      </c>
      <c r="EL70">
        <v>37</v>
      </c>
      <c r="EM70">
        <v>30</v>
      </c>
      <c r="EN70">
        <v>19</v>
      </c>
      <c r="EO70">
        <v>82</v>
      </c>
      <c r="EP70">
        <v>37</v>
      </c>
      <c r="EQ70">
        <v>43</v>
      </c>
      <c r="ER70">
        <v>23</v>
      </c>
      <c r="ES70">
        <v>14</v>
      </c>
      <c r="ET70">
        <v>6</v>
      </c>
      <c r="EU70">
        <v>14</v>
      </c>
      <c r="EV70">
        <v>6</v>
      </c>
      <c r="EW70">
        <v>2</v>
      </c>
      <c r="EX70">
        <v>1</v>
      </c>
      <c r="EY70">
        <v>0</v>
      </c>
      <c r="EZ70">
        <v>4</v>
      </c>
      <c r="FA70">
        <v>4</v>
      </c>
      <c r="FB70">
        <v>6</v>
      </c>
      <c r="FC70" t="s">
        <v>1560</v>
      </c>
      <c r="FD70">
        <v>6.98</v>
      </c>
    </row>
    <row r="71" spans="1:160" ht="24.95" customHeight="1" thickBot="1" x14ac:dyDescent="0.3">
      <c r="A71" s="29" t="str">
        <f t="shared" si="234"/>
        <v>70º</v>
      </c>
      <c r="B71" s="67" t="str">
        <f t="shared" si="118"/>
        <v>Sebastián Ferreira</v>
      </c>
      <c r="C71" s="83" t="str">
        <f t="shared" si="119"/>
        <v>PAR</v>
      </c>
      <c r="D71" s="9" t="str">
        <f t="shared" si="120"/>
        <v>Olimpia</v>
      </c>
      <c r="E71" s="91" t="str">
        <f t="shared" si="121"/>
        <v>Pé Direito</v>
      </c>
      <c r="F71" s="155">
        <f t="shared" si="122"/>
        <v>1.81</v>
      </c>
      <c r="G71" s="35">
        <f t="shared" si="123"/>
        <v>47514</v>
      </c>
      <c r="H71" s="7">
        <f t="shared" si="124"/>
        <v>28</v>
      </c>
      <c r="I71" s="299" t="str">
        <f t="shared" si="125"/>
        <v>17,5m € - 25,5m € p/m</v>
      </c>
      <c r="J71" s="3" t="str">
        <f t="shared" si="126"/>
        <v>110m € - 1,1M €</v>
      </c>
      <c r="K71" s="89">
        <f t="shared" si="235"/>
        <v>31.398046398046404</v>
      </c>
      <c r="L71" s="133">
        <f t="shared" si="127"/>
        <v>26.366666666666667</v>
      </c>
      <c r="M71" s="134">
        <f t="shared" si="128"/>
        <v>36</v>
      </c>
      <c r="N71" s="134">
        <f t="shared" si="129"/>
        <v>65.916666666666671</v>
      </c>
      <c r="O71" s="173">
        <f t="shared" si="130"/>
        <v>0.89</v>
      </c>
      <c r="P71" s="402">
        <f t="shared" si="131"/>
        <v>9</v>
      </c>
      <c r="Q71" s="402">
        <f t="shared" si="132"/>
        <v>4</v>
      </c>
      <c r="R71" s="402">
        <f t="shared" si="133"/>
        <v>13</v>
      </c>
      <c r="S71" s="6">
        <f t="shared" si="134"/>
        <v>3</v>
      </c>
      <c r="T71" s="24">
        <f t="shared" si="135"/>
        <v>791</v>
      </c>
      <c r="U71" s="21">
        <f t="shared" si="136"/>
        <v>0.11378002528445007</v>
      </c>
      <c r="V71" s="298">
        <f t="shared" si="137"/>
        <v>0</v>
      </c>
      <c r="W71" s="300">
        <f t="shared" si="138"/>
        <v>0</v>
      </c>
      <c r="X71" s="298">
        <f t="shared" si="139"/>
        <v>0</v>
      </c>
      <c r="Y71" s="300">
        <f t="shared" si="140"/>
        <v>0</v>
      </c>
      <c r="Z71" s="290">
        <f t="shared" si="141"/>
        <v>0</v>
      </c>
      <c r="AA71" s="298">
        <f t="shared" si="142"/>
        <v>3</v>
      </c>
      <c r="AB71" s="286">
        <f t="shared" si="143"/>
        <v>2</v>
      </c>
      <c r="AC71" s="286">
        <f t="shared" si="144"/>
        <v>2</v>
      </c>
      <c r="AD71" s="286">
        <f t="shared" si="145"/>
        <v>0</v>
      </c>
      <c r="AE71" s="21">
        <f t="shared" si="146"/>
        <v>1</v>
      </c>
      <c r="AF71" s="421">
        <f t="shared" si="147"/>
        <v>9</v>
      </c>
      <c r="AG71" s="421">
        <f t="shared" si="148"/>
        <v>4</v>
      </c>
      <c r="AH71" s="421">
        <f t="shared" si="149"/>
        <v>13</v>
      </c>
      <c r="AI71" s="421">
        <f t="shared" si="150"/>
        <v>7</v>
      </c>
      <c r="AJ71" s="420">
        <f t="shared" si="151"/>
        <v>4</v>
      </c>
      <c r="AK71" s="422">
        <f t="shared" si="152"/>
        <v>0.34134007585335019</v>
      </c>
      <c r="AL71" s="422">
        <f t="shared" si="153"/>
        <v>0.15170670037926676</v>
      </c>
      <c r="AM71" s="422">
        <f t="shared" si="154"/>
        <v>0.49304677623261695</v>
      </c>
      <c r="AN71" s="5">
        <f t="shared" si="155"/>
        <v>7.54</v>
      </c>
      <c r="AO71" s="5">
        <f t="shared" si="156"/>
        <v>5.96</v>
      </c>
      <c r="AP71" s="5">
        <f t="shared" si="157"/>
        <v>0.22604298356510746</v>
      </c>
      <c r="AQ71" s="5">
        <f t="shared" si="158"/>
        <v>1.99</v>
      </c>
      <c r="AR71" s="5">
        <f t="shared" si="159"/>
        <v>7.5474083438685211E-2</v>
      </c>
      <c r="AS71" s="5">
        <f t="shared" si="160"/>
        <v>7.95</v>
      </c>
      <c r="AT71" s="5">
        <f t="shared" si="161"/>
        <v>0.30151706700379266</v>
      </c>
      <c r="AU71" s="21">
        <f t="shared" si="162"/>
        <v>0.332220367278798</v>
      </c>
      <c r="AV71" s="21">
        <f t="shared" si="163"/>
        <v>0.54413542926239422</v>
      </c>
      <c r="AW71" s="6">
        <f t="shared" si="164"/>
        <v>7</v>
      </c>
      <c r="AX71" s="6">
        <f t="shared" si="165"/>
        <v>1</v>
      </c>
      <c r="AY71" s="21">
        <f t="shared" si="166"/>
        <v>0.14285714285714285</v>
      </c>
      <c r="AZ71" s="304">
        <f t="shared" si="167"/>
        <v>19</v>
      </c>
      <c r="BA71" s="305">
        <f t="shared" si="168"/>
        <v>0.72060682680151711</v>
      </c>
      <c r="BB71" s="413">
        <f t="shared" si="169"/>
        <v>11.298500000000001</v>
      </c>
      <c r="BC71" s="413">
        <f t="shared" si="170"/>
        <v>0.4285145385587863</v>
      </c>
      <c r="BD71" s="6">
        <f t="shared" si="171"/>
        <v>679</v>
      </c>
      <c r="BE71" s="5">
        <f t="shared" si="172"/>
        <v>25.752212389380531</v>
      </c>
      <c r="BF71" s="6">
        <f t="shared" si="173"/>
        <v>586</v>
      </c>
      <c r="BG71" s="5">
        <f t="shared" si="174"/>
        <v>22.225031605562577</v>
      </c>
      <c r="BH71" s="21">
        <f t="shared" si="175"/>
        <v>0.86303387334315174</v>
      </c>
      <c r="BI71" s="417">
        <f t="shared" si="176"/>
        <v>93</v>
      </c>
      <c r="BJ71" s="418">
        <f t="shared" si="177"/>
        <v>3.5271807838179519</v>
      </c>
      <c r="BK71" s="195">
        <f t="shared" si="178"/>
        <v>20</v>
      </c>
      <c r="BL71" s="5">
        <f t="shared" si="179"/>
        <v>0.75853350189633373</v>
      </c>
      <c r="BM71" s="21">
        <f t="shared" si="180"/>
        <v>2.9455081001472753E-2</v>
      </c>
      <c r="BN71" s="195">
        <f t="shared" si="181"/>
        <v>26</v>
      </c>
      <c r="BO71" s="185">
        <f t="shared" si="182"/>
        <v>0.98609355246523389</v>
      </c>
      <c r="BP71" s="5">
        <f t="shared" si="183"/>
        <v>6.5</v>
      </c>
      <c r="BQ71" s="21">
        <f t="shared" si="184"/>
        <v>0.15384615384615385</v>
      </c>
      <c r="BR71" s="5">
        <f t="shared" si="185"/>
        <v>-2.0099999999999998</v>
      </c>
      <c r="BS71" s="5">
        <f t="shared" si="186"/>
        <v>7.6538461538461541E-2</v>
      </c>
      <c r="BT71" s="24">
        <f t="shared" si="187"/>
        <v>91.269230769230774</v>
      </c>
      <c r="BU71" s="5">
        <f t="shared" si="188"/>
        <v>40.220338983050844</v>
      </c>
      <c r="BV71" s="5">
        <f t="shared" si="189"/>
        <v>1.46</v>
      </c>
      <c r="BW71" s="5">
        <f t="shared" si="190"/>
        <v>-0.12000000000000011</v>
      </c>
      <c r="BX71" s="6">
        <f t="shared" si="191"/>
        <v>72</v>
      </c>
      <c r="BY71" s="5">
        <f t="shared" si="192"/>
        <v>2.7307206068268015</v>
      </c>
      <c r="BZ71" s="6">
        <f t="shared" si="193"/>
        <v>44</v>
      </c>
      <c r="CA71" s="5">
        <f t="shared" si="194"/>
        <v>1.6687737041719342</v>
      </c>
      <c r="CB71" s="6">
        <f t="shared" si="195"/>
        <v>30</v>
      </c>
      <c r="CC71" s="5">
        <f t="shared" si="196"/>
        <v>1.1378002528445006</v>
      </c>
      <c r="CD71" s="5">
        <f t="shared" si="197"/>
        <v>1.0619469026548671</v>
      </c>
      <c r="CE71" s="21">
        <f t="shared" si="198"/>
        <v>0.3888888888888889</v>
      </c>
      <c r="CF71" s="5">
        <f t="shared" si="199"/>
        <v>10.285714285714286</v>
      </c>
      <c r="CG71" s="5">
        <f t="shared" si="200"/>
        <v>3.3333333333333335</v>
      </c>
      <c r="CH71" s="21">
        <f t="shared" si="201"/>
        <v>9.7222222222222224E-2</v>
      </c>
      <c r="CI71" s="298">
        <f t="shared" si="202"/>
        <v>3</v>
      </c>
      <c r="CJ71" s="298">
        <f t="shared" si="203"/>
        <v>4</v>
      </c>
      <c r="CK71" s="298">
        <f t="shared" si="204"/>
        <v>2</v>
      </c>
      <c r="CL71" s="21">
        <f t="shared" si="205"/>
        <v>0.13791518216296977</v>
      </c>
      <c r="CM71" s="6">
        <f t="shared" si="206"/>
        <v>20</v>
      </c>
      <c r="CN71" s="5">
        <f t="shared" si="207"/>
        <v>0.75853350189633373</v>
      </c>
      <c r="CO71" s="167">
        <f t="shared" si="208"/>
        <v>126</v>
      </c>
      <c r="CP71" s="5">
        <f t="shared" si="209"/>
        <v>4.778761061946903</v>
      </c>
      <c r="CQ71" s="6">
        <f t="shared" si="210"/>
        <v>76</v>
      </c>
      <c r="CR71" s="5">
        <f t="shared" si="211"/>
        <v>2.8824273072060684</v>
      </c>
      <c r="CS71" s="21">
        <f t="shared" si="212"/>
        <v>0.60317460317460314</v>
      </c>
      <c r="CT71" s="6">
        <f t="shared" si="213"/>
        <v>72.489999999999995</v>
      </c>
      <c r="CU71" s="5">
        <f t="shared" si="214"/>
        <v>2.7493046776232615</v>
      </c>
      <c r="CV71" s="6">
        <f t="shared" si="215"/>
        <v>71.739999999999995</v>
      </c>
      <c r="CW71" s="5">
        <f t="shared" si="216"/>
        <v>2.7208596713021489</v>
      </c>
      <c r="CX71" s="385">
        <f t="shared" si="217"/>
        <v>7.6386978508217442</v>
      </c>
      <c r="CY71" s="5">
        <f t="shared" si="218"/>
        <v>32.16182048040455</v>
      </c>
      <c r="CZ71" s="5">
        <f t="shared" si="219"/>
        <v>24.159292035398231</v>
      </c>
      <c r="DA71" s="6">
        <f t="shared" si="220"/>
        <v>46</v>
      </c>
      <c r="DB71" s="5">
        <f t="shared" si="221"/>
        <v>1.7446270543615676</v>
      </c>
      <c r="DC71" s="6">
        <f t="shared" si="222"/>
        <v>149</v>
      </c>
      <c r="DD71" s="5">
        <f t="shared" si="223"/>
        <v>5.6510745891276866</v>
      </c>
      <c r="DE71" s="6">
        <f t="shared" si="224"/>
        <v>105</v>
      </c>
      <c r="DF71" s="5">
        <f t="shared" si="225"/>
        <v>3.9823008849557522</v>
      </c>
      <c r="DG71" s="6">
        <f t="shared" si="226"/>
        <v>143</v>
      </c>
      <c r="DH71" s="5">
        <f t="shared" si="227"/>
        <v>5.423514538558786</v>
      </c>
      <c r="DI71" s="5">
        <f t="shared" si="228"/>
        <v>20</v>
      </c>
      <c r="DJ71" s="5">
        <f t="shared" si="229"/>
        <v>266.3</v>
      </c>
      <c r="DK71" s="5">
        <f t="shared" si="230"/>
        <v>10.099873577749683</v>
      </c>
      <c r="DL71" s="286">
        <f t="shared" si="231"/>
        <v>137.10666666666668</v>
      </c>
      <c r="DM71" s="287">
        <f t="shared" si="232"/>
        <v>5.2</v>
      </c>
      <c r="DN71" s="60">
        <f t="shared" si="233"/>
        <v>6.87</v>
      </c>
      <c r="DO71"/>
      <c r="DP71" t="s">
        <v>1095</v>
      </c>
      <c r="DQ71" t="s">
        <v>1561</v>
      </c>
      <c r="DR71">
        <v>28</v>
      </c>
      <c r="DS71" t="s">
        <v>1562</v>
      </c>
      <c r="DT71" t="s">
        <v>557</v>
      </c>
      <c r="DU71" t="s">
        <v>573</v>
      </c>
      <c r="DV71" t="s">
        <v>1563</v>
      </c>
      <c r="DW71" t="s">
        <v>1564</v>
      </c>
      <c r="DX71" s="430">
        <v>47514</v>
      </c>
      <c r="DY71">
        <v>2373</v>
      </c>
      <c r="DZ71" t="s">
        <v>985</v>
      </c>
      <c r="EA71">
        <v>3</v>
      </c>
      <c r="EB71">
        <v>9</v>
      </c>
      <c r="EC71">
        <v>4</v>
      </c>
      <c r="ED71">
        <v>5</v>
      </c>
      <c r="EE71">
        <v>20</v>
      </c>
      <c r="EF71" t="s">
        <v>1565</v>
      </c>
      <c r="EG71" t="s">
        <v>1566</v>
      </c>
      <c r="EH71">
        <v>28</v>
      </c>
      <c r="EI71">
        <v>58</v>
      </c>
      <c r="EJ71">
        <v>679</v>
      </c>
      <c r="EK71">
        <v>586</v>
      </c>
      <c r="EL71">
        <v>26</v>
      </c>
      <c r="EM71">
        <v>20</v>
      </c>
      <c r="EN71">
        <v>19</v>
      </c>
      <c r="EO71">
        <v>74</v>
      </c>
      <c r="EP71">
        <v>30</v>
      </c>
      <c r="EQ71">
        <v>41</v>
      </c>
      <c r="ER71">
        <v>18</v>
      </c>
      <c r="ES71">
        <v>7</v>
      </c>
      <c r="ET71">
        <v>1</v>
      </c>
      <c r="EU71">
        <v>7</v>
      </c>
      <c r="EV71">
        <v>1</v>
      </c>
      <c r="EW71">
        <v>4</v>
      </c>
      <c r="EX71">
        <v>1.1000000000000001</v>
      </c>
      <c r="EY71">
        <v>3</v>
      </c>
      <c r="EZ71">
        <v>2</v>
      </c>
      <c r="FA71">
        <v>2</v>
      </c>
      <c r="FB71">
        <v>5.2</v>
      </c>
      <c r="FC71" t="s">
        <v>1567</v>
      </c>
      <c r="FD71">
        <v>6.87</v>
      </c>
    </row>
    <row r="72" spans="1:160" ht="24.95" customHeight="1" thickBot="1" x14ac:dyDescent="0.3">
      <c r="A72" s="29" t="str">
        <f t="shared" si="234"/>
        <v>71º</v>
      </c>
      <c r="B72" s="67" t="str">
        <f t="shared" si="118"/>
        <v>Álex Arce</v>
      </c>
      <c r="C72" s="83" t="str">
        <f t="shared" si="119"/>
        <v>PAR</v>
      </c>
      <c r="D72" s="9" t="str">
        <f t="shared" si="120"/>
        <v>Independiente Rivadavia</v>
      </c>
      <c r="E72" s="91" t="str">
        <f t="shared" si="121"/>
        <v>Pé Direito</v>
      </c>
      <c r="F72" s="155">
        <f t="shared" si="122"/>
        <v>1.87</v>
      </c>
      <c r="G72" s="35">
        <f t="shared" si="123"/>
        <v>47118</v>
      </c>
      <c r="H72" s="7">
        <f t="shared" si="124"/>
        <v>31</v>
      </c>
      <c r="I72" s="299" t="str">
        <f t="shared" si="125"/>
        <v>30m € - 47,5m € p/m</v>
      </c>
      <c r="J72" s="3" t="str">
        <f t="shared" si="126"/>
        <v>Não está à venda</v>
      </c>
      <c r="K72" s="89">
        <f t="shared" si="235"/>
        <v>31.398046398046404</v>
      </c>
      <c r="L72" s="133">
        <f t="shared" si="127"/>
        <v>27.544444444444444</v>
      </c>
      <c r="M72" s="134">
        <f t="shared" si="128"/>
        <v>39</v>
      </c>
      <c r="N72" s="134">
        <f t="shared" si="129"/>
        <v>63.564102564102562</v>
      </c>
      <c r="O72" s="173">
        <f t="shared" si="130"/>
        <v>0.97</v>
      </c>
      <c r="P72" s="402">
        <f t="shared" si="131"/>
        <v>13</v>
      </c>
      <c r="Q72" s="402">
        <f t="shared" si="132"/>
        <v>7</v>
      </c>
      <c r="R72" s="402">
        <f t="shared" si="133"/>
        <v>20</v>
      </c>
      <c r="S72" s="6">
        <f t="shared" si="134"/>
        <v>4</v>
      </c>
      <c r="T72" s="24">
        <f t="shared" si="135"/>
        <v>619.75</v>
      </c>
      <c r="U72" s="21">
        <f t="shared" si="136"/>
        <v>0.14521984671238403</v>
      </c>
      <c r="V72" s="298">
        <f t="shared" si="137"/>
        <v>0</v>
      </c>
      <c r="W72" s="300">
        <f t="shared" si="138"/>
        <v>0</v>
      </c>
      <c r="X72" s="298">
        <f t="shared" si="139"/>
        <v>0</v>
      </c>
      <c r="Y72" s="300">
        <f t="shared" si="140"/>
        <v>0</v>
      </c>
      <c r="Z72" s="290">
        <f t="shared" si="141"/>
        <v>0</v>
      </c>
      <c r="AA72" s="298">
        <f t="shared" si="142"/>
        <v>6</v>
      </c>
      <c r="AB72" s="286">
        <f t="shared" si="143"/>
        <v>2</v>
      </c>
      <c r="AC72" s="286">
        <f t="shared" si="144"/>
        <v>1</v>
      </c>
      <c r="AD72" s="286">
        <f t="shared" si="145"/>
        <v>1</v>
      </c>
      <c r="AE72" s="21">
        <f t="shared" si="146"/>
        <v>0.5</v>
      </c>
      <c r="AF72" s="421">
        <f t="shared" si="147"/>
        <v>13</v>
      </c>
      <c r="AG72" s="421">
        <f t="shared" si="148"/>
        <v>7</v>
      </c>
      <c r="AH72" s="421">
        <f t="shared" si="149"/>
        <v>20</v>
      </c>
      <c r="AI72" s="421">
        <f t="shared" si="150"/>
        <v>12</v>
      </c>
      <c r="AJ72" s="420">
        <f t="shared" si="151"/>
        <v>3</v>
      </c>
      <c r="AK72" s="422">
        <f t="shared" si="152"/>
        <v>0.47196450181524807</v>
      </c>
      <c r="AL72" s="422">
        <f t="shared" si="153"/>
        <v>0.25413473174667206</v>
      </c>
      <c r="AM72" s="422">
        <f t="shared" si="154"/>
        <v>0.72609923356192019</v>
      </c>
      <c r="AN72" s="5">
        <f t="shared" si="155"/>
        <v>15.8</v>
      </c>
      <c r="AO72" s="5">
        <f t="shared" si="156"/>
        <v>14.22</v>
      </c>
      <c r="AP72" s="5">
        <f t="shared" si="157"/>
        <v>0.51625655506252521</v>
      </c>
      <c r="AQ72" s="5">
        <f t="shared" si="158"/>
        <v>4</v>
      </c>
      <c r="AR72" s="5">
        <f t="shared" si="159"/>
        <v>0.14521984671238403</v>
      </c>
      <c r="AS72" s="5">
        <f t="shared" si="160"/>
        <v>18.22</v>
      </c>
      <c r="AT72" s="5">
        <f t="shared" si="161"/>
        <v>0.66147640177490918</v>
      </c>
      <c r="AU72" s="21">
        <f t="shared" si="162"/>
        <v>0.36363636363636365</v>
      </c>
      <c r="AV72" s="21">
        <f t="shared" si="163"/>
        <v>0.4513888888888889</v>
      </c>
      <c r="AW72" s="6">
        <f t="shared" si="164"/>
        <v>13</v>
      </c>
      <c r="AX72" s="6">
        <f t="shared" si="165"/>
        <v>3</v>
      </c>
      <c r="AY72" s="21">
        <f t="shared" si="166"/>
        <v>0.23076923076923078</v>
      </c>
      <c r="AZ72" s="304">
        <f t="shared" si="167"/>
        <v>19</v>
      </c>
      <c r="BA72" s="305">
        <f t="shared" si="168"/>
        <v>0.68979427188382414</v>
      </c>
      <c r="BB72" s="413">
        <f t="shared" si="169"/>
        <v>15.510000000000002</v>
      </c>
      <c r="BC72" s="413">
        <f t="shared" si="170"/>
        <v>0.56308995562726905</v>
      </c>
      <c r="BD72" s="6">
        <f t="shared" si="171"/>
        <v>769</v>
      </c>
      <c r="BE72" s="5">
        <f t="shared" si="172"/>
        <v>27.918515530455828</v>
      </c>
      <c r="BF72" s="6">
        <f t="shared" si="173"/>
        <v>699</v>
      </c>
      <c r="BG72" s="5">
        <f t="shared" si="174"/>
        <v>25.377168212989108</v>
      </c>
      <c r="BH72" s="21">
        <f t="shared" si="175"/>
        <v>0.90897269180754225</v>
      </c>
      <c r="BI72" s="417">
        <f t="shared" si="176"/>
        <v>70</v>
      </c>
      <c r="BJ72" s="418">
        <f t="shared" si="177"/>
        <v>2.5413473174667205</v>
      </c>
      <c r="BK72" s="195">
        <f t="shared" si="178"/>
        <v>21</v>
      </c>
      <c r="BL72" s="5">
        <f t="shared" si="179"/>
        <v>0.76240419524001612</v>
      </c>
      <c r="BM72" s="21">
        <f t="shared" si="180"/>
        <v>2.7308192457737322E-2</v>
      </c>
      <c r="BN72" s="195">
        <f t="shared" si="181"/>
        <v>56</v>
      </c>
      <c r="BO72" s="185">
        <f t="shared" si="182"/>
        <v>2.0330778539733765</v>
      </c>
      <c r="BP72" s="5">
        <f t="shared" si="183"/>
        <v>8</v>
      </c>
      <c r="BQ72" s="21">
        <f t="shared" si="184"/>
        <v>0.125</v>
      </c>
      <c r="BR72" s="5">
        <f t="shared" si="185"/>
        <v>-3</v>
      </c>
      <c r="BS72" s="5">
        <f t="shared" si="186"/>
        <v>7.1428571428571425E-2</v>
      </c>
      <c r="BT72" s="24">
        <f t="shared" si="187"/>
        <v>44.267857142857146</v>
      </c>
      <c r="BU72" s="5">
        <f t="shared" si="188"/>
        <v>20.319672131147541</v>
      </c>
      <c r="BV72" s="5">
        <f t="shared" si="189"/>
        <v>-2.8000000000000007</v>
      </c>
      <c r="BW72" s="5">
        <f t="shared" si="190"/>
        <v>-3.5900000000000007</v>
      </c>
      <c r="BX72" s="6">
        <f t="shared" si="191"/>
        <v>111</v>
      </c>
      <c r="BY72" s="5">
        <f t="shared" si="192"/>
        <v>4.0298507462686564</v>
      </c>
      <c r="BZ72" s="6">
        <f t="shared" si="193"/>
        <v>49</v>
      </c>
      <c r="CA72" s="5">
        <f t="shared" si="194"/>
        <v>1.7789431222267043</v>
      </c>
      <c r="CB72" s="6">
        <f t="shared" si="195"/>
        <v>64</v>
      </c>
      <c r="CC72" s="5">
        <f t="shared" si="196"/>
        <v>2.3235175473981444</v>
      </c>
      <c r="CD72" s="5">
        <f t="shared" si="197"/>
        <v>2.2872125857200483</v>
      </c>
      <c r="CE72" s="21">
        <f t="shared" si="198"/>
        <v>0.56756756756756754</v>
      </c>
      <c r="CF72" s="5">
        <f t="shared" si="199"/>
        <v>9.25</v>
      </c>
      <c r="CG72" s="5">
        <f t="shared" si="200"/>
        <v>4.9230769230769234</v>
      </c>
      <c r="CH72" s="21">
        <f t="shared" si="201"/>
        <v>0.10810810810810811</v>
      </c>
      <c r="CI72" s="298">
        <f t="shared" si="202"/>
        <v>8</v>
      </c>
      <c r="CJ72" s="298">
        <f t="shared" si="203"/>
        <v>3</v>
      </c>
      <c r="CK72" s="298">
        <f t="shared" si="204"/>
        <v>2</v>
      </c>
      <c r="CL72" s="21">
        <f t="shared" si="205"/>
        <v>0.12101653892698669</v>
      </c>
      <c r="CM72" s="6">
        <f t="shared" si="206"/>
        <v>16.2</v>
      </c>
      <c r="CN72" s="5">
        <f t="shared" si="207"/>
        <v>0.58814037918515527</v>
      </c>
      <c r="CO72" s="167">
        <f t="shared" si="208"/>
        <v>201</v>
      </c>
      <c r="CP72" s="5">
        <f t="shared" si="209"/>
        <v>7.2972972972972974</v>
      </c>
      <c r="CQ72" s="6">
        <f t="shared" si="210"/>
        <v>142</v>
      </c>
      <c r="CR72" s="5">
        <f t="shared" si="211"/>
        <v>5.1553045582896333</v>
      </c>
      <c r="CS72" s="21">
        <f t="shared" si="212"/>
        <v>0.70646766169154229</v>
      </c>
      <c r="CT72" s="6">
        <f t="shared" si="213"/>
        <v>142</v>
      </c>
      <c r="CU72" s="5">
        <f t="shared" si="214"/>
        <v>5.1553045582896333</v>
      </c>
      <c r="CV72" s="6">
        <f t="shared" si="215"/>
        <v>144</v>
      </c>
      <c r="CW72" s="5">
        <f t="shared" si="216"/>
        <v>5.2279144816458247</v>
      </c>
      <c r="CX72" s="385">
        <f t="shared" si="217"/>
        <v>12.094634933440904</v>
      </c>
      <c r="CY72" s="5">
        <f t="shared" si="218"/>
        <v>36.885841064945545</v>
      </c>
      <c r="CZ72" s="5">
        <f t="shared" si="219"/>
        <v>28.317870108914885</v>
      </c>
      <c r="DA72" s="6">
        <f t="shared" si="220"/>
        <v>77</v>
      </c>
      <c r="DB72" s="5">
        <f t="shared" si="221"/>
        <v>2.7954820492133927</v>
      </c>
      <c r="DC72" s="6">
        <f t="shared" si="222"/>
        <v>224</v>
      </c>
      <c r="DD72" s="5">
        <f t="shared" si="223"/>
        <v>8.1323114158935059</v>
      </c>
      <c r="DE72" s="6">
        <f t="shared" si="224"/>
        <v>173</v>
      </c>
      <c r="DF72" s="5">
        <f t="shared" si="225"/>
        <v>6.2807583703106094</v>
      </c>
      <c r="DG72" s="6">
        <f t="shared" si="226"/>
        <v>129</v>
      </c>
      <c r="DH72" s="5">
        <f t="shared" si="227"/>
        <v>4.6833400564743846</v>
      </c>
      <c r="DI72" s="5">
        <f t="shared" si="228"/>
        <v>16.2</v>
      </c>
      <c r="DJ72" s="5">
        <f t="shared" si="229"/>
        <v>294.89999999999998</v>
      </c>
      <c r="DK72" s="5">
        <f t="shared" si="230"/>
        <v>10.706333198870512</v>
      </c>
      <c r="DL72" s="286">
        <f t="shared" si="231"/>
        <v>198.32</v>
      </c>
      <c r="DM72" s="287">
        <f t="shared" si="232"/>
        <v>7.2</v>
      </c>
      <c r="DN72" s="60">
        <f t="shared" si="233"/>
        <v>6.93</v>
      </c>
      <c r="DO72"/>
      <c r="DP72" t="s">
        <v>1095</v>
      </c>
      <c r="DQ72" t="s">
        <v>1568</v>
      </c>
      <c r="DR72">
        <v>31</v>
      </c>
      <c r="DS72" t="s">
        <v>1569</v>
      </c>
      <c r="DT72" t="s">
        <v>713</v>
      </c>
      <c r="DU72" t="s">
        <v>573</v>
      </c>
      <c r="DV72" t="s">
        <v>394</v>
      </c>
      <c r="DW72" t="s">
        <v>1570</v>
      </c>
      <c r="DX72" s="430">
        <v>47118</v>
      </c>
      <c r="DY72">
        <v>2479</v>
      </c>
      <c r="DZ72" t="s">
        <v>1195</v>
      </c>
      <c r="EA72">
        <v>4</v>
      </c>
      <c r="EB72">
        <v>13</v>
      </c>
      <c r="EC72">
        <v>7</v>
      </c>
      <c r="ED72">
        <v>4</v>
      </c>
      <c r="EE72">
        <v>16.2</v>
      </c>
      <c r="EF72" t="s">
        <v>1571</v>
      </c>
      <c r="EG72">
        <v>4</v>
      </c>
      <c r="EH72">
        <v>31</v>
      </c>
      <c r="EI72">
        <v>50</v>
      </c>
      <c r="EJ72">
        <v>769</v>
      </c>
      <c r="EK72">
        <v>699</v>
      </c>
      <c r="EL72">
        <v>56</v>
      </c>
      <c r="EM72">
        <v>21</v>
      </c>
      <c r="EN72">
        <v>19</v>
      </c>
      <c r="EO72">
        <v>113</v>
      </c>
      <c r="EP72">
        <v>64</v>
      </c>
      <c r="EQ72">
        <v>71</v>
      </c>
      <c r="ER72">
        <v>21</v>
      </c>
      <c r="ES72">
        <v>13</v>
      </c>
      <c r="ET72">
        <v>3</v>
      </c>
      <c r="EU72">
        <v>13</v>
      </c>
      <c r="EV72">
        <v>3</v>
      </c>
      <c r="EW72">
        <v>3</v>
      </c>
      <c r="EX72">
        <v>0.9</v>
      </c>
      <c r="EY72">
        <v>6</v>
      </c>
      <c r="EZ72">
        <v>2</v>
      </c>
      <c r="FA72">
        <v>1</v>
      </c>
      <c r="FB72">
        <v>7.2</v>
      </c>
      <c r="FC72" t="s">
        <v>1572</v>
      </c>
      <c r="FD72">
        <v>6.93</v>
      </c>
    </row>
    <row r="73" spans="1:160" ht="24.95" customHeight="1" thickBot="1" x14ac:dyDescent="0.3">
      <c r="A73" s="29" t="str">
        <f t="shared" si="234"/>
        <v>72º</v>
      </c>
      <c r="B73" s="67" t="str">
        <f t="shared" si="118"/>
        <v>Nahuel Bustos</v>
      </c>
      <c r="C73" s="83" t="str">
        <f t="shared" si="119"/>
        <v>ARG</v>
      </c>
      <c r="D73" s="9" t="str">
        <f t="shared" si="120"/>
        <v>Independiente Santa Fe</v>
      </c>
      <c r="E73" s="91" t="str">
        <f t="shared" si="121"/>
        <v>Pé Direito</v>
      </c>
      <c r="F73" s="155">
        <f t="shared" si="122"/>
        <v>1.76</v>
      </c>
      <c r="G73" s="35">
        <f t="shared" si="123"/>
        <v>47848</v>
      </c>
      <c r="H73" s="7">
        <f t="shared" si="124"/>
        <v>28</v>
      </c>
      <c r="I73" s="299" t="str">
        <f t="shared" si="125"/>
        <v>42m € - 71,5m € p/m</v>
      </c>
      <c r="J73" s="3" t="str">
        <f t="shared" si="126"/>
        <v>12M € - 20M €</v>
      </c>
      <c r="K73" s="89">
        <f t="shared" si="235"/>
        <v>31.398046398046404</v>
      </c>
      <c r="L73" s="133">
        <f t="shared" si="127"/>
        <v>30.366666666666667</v>
      </c>
      <c r="M73" s="134">
        <f t="shared" si="128"/>
        <v>43</v>
      </c>
      <c r="N73" s="134">
        <f t="shared" si="129"/>
        <v>63.558139534883722</v>
      </c>
      <c r="O73" s="173">
        <f t="shared" si="130"/>
        <v>0.88</v>
      </c>
      <c r="P73" s="402">
        <f t="shared" si="131"/>
        <v>8</v>
      </c>
      <c r="Q73" s="402">
        <f t="shared" si="132"/>
        <v>4</v>
      </c>
      <c r="R73" s="402">
        <f t="shared" si="133"/>
        <v>12</v>
      </c>
      <c r="S73" s="6">
        <f t="shared" si="134"/>
        <v>2</v>
      </c>
      <c r="T73" s="24">
        <f t="shared" si="135"/>
        <v>1366.5</v>
      </c>
      <c r="U73" s="21">
        <f t="shared" si="136"/>
        <v>6.5861690450054883E-2</v>
      </c>
      <c r="V73" s="298">
        <f t="shared" si="137"/>
        <v>0</v>
      </c>
      <c r="W73" s="300">
        <f t="shared" si="138"/>
        <v>0</v>
      </c>
      <c r="X73" s="298">
        <f t="shared" si="139"/>
        <v>0</v>
      </c>
      <c r="Y73" s="300">
        <f t="shared" si="140"/>
        <v>0</v>
      </c>
      <c r="Z73" s="290">
        <f t="shared" si="141"/>
        <v>0</v>
      </c>
      <c r="AA73" s="298">
        <f t="shared" si="142"/>
        <v>2</v>
      </c>
      <c r="AB73" s="286">
        <f t="shared" si="143"/>
        <v>2</v>
      </c>
      <c r="AC73" s="286">
        <f t="shared" si="144"/>
        <v>2</v>
      </c>
      <c r="AD73" s="286">
        <f t="shared" si="145"/>
        <v>0</v>
      </c>
      <c r="AE73" s="21">
        <f t="shared" si="146"/>
        <v>1</v>
      </c>
      <c r="AF73" s="421">
        <f t="shared" si="147"/>
        <v>8</v>
      </c>
      <c r="AG73" s="421">
        <f t="shared" si="148"/>
        <v>4</v>
      </c>
      <c r="AH73" s="421">
        <f t="shared" si="149"/>
        <v>12</v>
      </c>
      <c r="AI73" s="421">
        <f t="shared" si="150"/>
        <v>6</v>
      </c>
      <c r="AJ73" s="420">
        <f t="shared" si="151"/>
        <v>0</v>
      </c>
      <c r="AK73" s="422">
        <f t="shared" si="152"/>
        <v>0.26344676180021953</v>
      </c>
      <c r="AL73" s="422">
        <f t="shared" si="153"/>
        <v>0.13172338090010977</v>
      </c>
      <c r="AM73" s="422">
        <f t="shared" si="154"/>
        <v>0.3951701427003293</v>
      </c>
      <c r="AN73" s="5">
        <f t="shared" si="155"/>
        <v>8.99</v>
      </c>
      <c r="AO73" s="5">
        <f t="shared" si="156"/>
        <v>7.41</v>
      </c>
      <c r="AP73" s="5">
        <f t="shared" si="157"/>
        <v>0.24401756311745335</v>
      </c>
      <c r="AQ73" s="5">
        <f t="shared" si="158"/>
        <v>3.62</v>
      </c>
      <c r="AR73" s="5">
        <f t="shared" si="159"/>
        <v>0.11920965971459935</v>
      </c>
      <c r="AS73" s="5">
        <f t="shared" si="160"/>
        <v>11.030000000000001</v>
      </c>
      <c r="AT73" s="5">
        <f t="shared" si="161"/>
        <v>0.36322722283205272</v>
      </c>
      <c r="AU73" s="21">
        <f t="shared" si="162"/>
        <v>0.47506561679790027</v>
      </c>
      <c r="AV73" s="21">
        <f t="shared" si="163"/>
        <v>0.47086521483225419</v>
      </c>
      <c r="AW73" s="6">
        <f t="shared" si="164"/>
        <v>20</v>
      </c>
      <c r="AX73" s="6">
        <f t="shared" si="165"/>
        <v>6</v>
      </c>
      <c r="AY73" s="21">
        <f t="shared" si="166"/>
        <v>0.3</v>
      </c>
      <c r="AZ73" s="304">
        <f t="shared" si="167"/>
        <v>42</v>
      </c>
      <c r="BA73" s="305">
        <f t="shared" si="168"/>
        <v>1.3830954994511526</v>
      </c>
      <c r="BB73" s="413">
        <f t="shared" si="169"/>
        <v>17.963000000000001</v>
      </c>
      <c r="BC73" s="413">
        <f t="shared" si="170"/>
        <v>0.59153677277716787</v>
      </c>
      <c r="BD73" s="6">
        <f t="shared" si="171"/>
        <v>826</v>
      </c>
      <c r="BE73" s="5">
        <f t="shared" si="172"/>
        <v>27.200878155872665</v>
      </c>
      <c r="BF73" s="6">
        <f t="shared" si="173"/>
        <v>733</v>
      </c>
      <c r="BG73" s="5">
        <f t="shared" si="174"/>
        <v>24.138309549945117</v>
      </c>
      <c r="BH73" s="21">
        <f t="shared" si="175"/>
        <v>0.88740920096852305</v>
      </c>
      <c r="BI73" s="417">
        <f t="shared" si="176"/>
        <v>93</v>
      </c>
      <c r="BJ73" s="418">
        <f t="shared" si="177"/>
        <v>3.0625686059275523</v>
      </c>
      <c r="BK73" s="195">
        <f t="shared" si="178"/>
        <v>30</v>
      </c>
      <c r="BL73" s="5">
        <f t="shared" si="179"/>
        <v>0.98792535675082327</v>
      </c>
      <c r="BM73" s="21">
        <f t="shared" si="180"/>
        <v>3.6319612590799029E-2</v>
      </c>
      <c r="BN73" s="195">
        <f t="shared" si="181"/>
        <v>34</v>
      </c>
      <c r="BO73" s="185">
        <f t="shared" si="182"/>
        <v>1.119648737650933</v>
      </c>
      <c r="BP73" s="5">
        <f t="shared" si="183"/>
        <v>8.5</v>
      </c>
      <c r="BQ73" s="21">
        <f t="shared" si="184"/>
        <v>0.11764705882352941</v>
      </c>
      <c r="BR73" s="5">
        <f t="shared" si="185"/>
        <v>-0.37999999999999989</v>
      </c>
      <c r="BS73" s="5">
        <f t="shared" si="186"/>
        <v>0.10647058823529412</v>
      </c>
      <c r="BT73" s="24">
        <f t="shared" si="187"/>
        <v>80.382352941176464</v>
      </c>
      <c r="BU73" s="5">
        <f t="shared" si="188"/>
        <v>32.927710843373497</v>
      </c>
      <c r="BV73" s="5">
        <f t="shared" si="189"/>
        <v>-0.99000000000000021</v>
      </c>
      <c r="BW73" s="5">
        <f t="shared" si="190"/>
        <v>-2.5700000000000003</v>
      </c>
      <c r="BX73" s="6">
        <f t="shared" si="191"/>
        <v>74</v>
      </c>
      <c r="BY73" s="5">
        <f t="shared" si="192"/>
        <v>2.4368825466520305</v>
      </c>
      <c r="BZ73" s="6">
        <f t="shared" si="193"/>
        <v>33</v>
      </c>
      <c r="CA73" s="5">
        <f t="shared" si="194"/>
        <v>1.0867178924259056</v>
      </c>
      <c r="CB73" s="6">
        <f t="shared" si="195"/>
        <v>43</v>
      </c>
      <c r="CC73" s="5">
        <f t="shared" si="196"/>
        <v>1.41602634467618</v>
      </c>
      <c r="CD73" s="5">
        <f t="shared" si="197"/>
        <v>1.3501646542261252</v>
      </c>
      <c r="CE73" s="21">
        <f t="shared" si="198"/>
        <v>0.55405405405405406</v>
      </c>
      <c r="CF73" s="5">
        <f t="shared" si="199"/>
        <v>12.333333333333334</v>
      </c>
      <c r="CG73" s="5">
        <f t="shared" si="200"/>
        <v>5.375</v>
      </c>
      <c r="CH73" s="21">
        <f t="shared" si="201"/>
        <v>8.1081081081081086E-2</v>
      </c>
      <c r="CI73" s="298">
        <f t="shared" si="202"/>
        <v>6</v>
      </c>
      <c r="CJ73" s="298">
        <f t="shared" si="203"/>
        <v>0</v>
      </c>
      <c r="CK73" s="298">
        <f t="shared" si="204"/>
        <v>2</v>
      </c>
      <c r="CL73" s="21">
        <f t="shared" si="205"/>
        <v>0</v>
      </c>
      <c r="CM73" s="6">
        <f t="shared" si="206"/>
        <v>18.399999999999999</v>
      </c>
      <c r="CN73" s="5">
        <f t="shared" si="207"/>
        <v>0.60592755214050487</v>
      </c>
      <c r="CO73" s="167">
        <f t="shared" si="208"/>
        <v>172</v>
      </c>
      <c r="CP73" s="5">
        <f t="shared" si="209"/>
        <v>5.6641053787047202</v>
      </c>
      <c r="CQ73" s="6">
        <f t="shared" si="210"/>
        <v>125</v>
      </c>
      <c r="CR73" s="5">
        <f t="shared" si="211"/>
        <v>4.11635565312843</v>
      </c>
      <c r="CS73" s="21">
        <f t="shared" si="212"/>
        <v>0.72674418604651159</v>
      </c>
      <c r="CT73" s="6">
        <f t="shared" si="213"/>
        <v>98.62</v>
      </c>
      <c r="CU73" s="5">
        <f t="shared" si="214"/>
        <v>3.2476399560922067</v>
      </c>
      <c r="CV73" s="6">
        <f t="shared" si="215"/>
        <v>101.62</v>
      </c>
      <c r="CW73" s="5">
        <f t="shared" si="216"/>
        <v>3.3464324917672887</v>
      </c>
      <c r="CX73" s="385">
        <f t="shared" si="217"/>
        <v>9.1630735455543366</v>
      </c>
      <c r="CY73" s="5">
        <f t="shared" si="218"/>
        <v>34.643249176728872</v>
      </c>
      <c r="CZ73" s="5">
        <f t="shared" si="219"/>
        <v>26.50933040614709</v>
      </c>
      <c r="DA73" s="6">
        <f t="shared" si="220"/>
        <v>64</v>
      </c>
      <c r="DB73" s="5">
        <f t="shared" si="221"/>
        <v>2.1075740944017562</v>
      </c>
      <c r="DC73" s="6">
        <f t="shared" si="222"/>
        <v>208</v>
      </c>
      <c r="DD73" s="5">
        <f t="shared" si="223"/>
        <v>6.8496158068057076</v>
      </c>
      <c r="DE73" s="6">
        <f t="shared" si="224"/>
        <v>118</v>
      </c>
      <c r="DF73" s="5">
        <f t="shared" si="225"/>
        <v>3.8858397365532382</v>
      </c>
      <c r="DG73" s="6">
        <f t="shared" si="226"/>
        <v>140</v>
      </c>
      <c r="DH73" s="5">
        <f t="shared" si="227"/>
        <v>4.6103183315038416</v>
      </c>
      <c r="DI73" s="5">
        <f t="shared" si="228"/>
        <v>18.399999999999999</v>
      </c>
      <c r="DJ73" s="5">
        <f t="shared" si="229"/>
        <v>296.7</v>
      </c>
      <c r="DK73" s="5">
        <f t="shared" si="230"/>
        <v>9.7705817782656421</v>
      </c>
      <c r="DL73" s="286">
        <f t="shared" si="231"/>
        <v>173.09</v>
      </c>
      <c r="DM73" s="287">
        <f t="shared" si="232"/>
        <v>5.7</v>
      </c>
      <c r="DN73" s="60">
        <f t="shared" si="233"/>
        <v>6.78</v>
      </c>
      <c r="DO73"/>
      <c r="DP73" t="s">
        <v>708</v>
      </c>
      <c r="DQ73" t="s">
        <v>1573</v>
      </c>
      <c r="DR73">
        <v>28</v>
      </c>
      <c r="DS73" t="s">
        <v>1574</v>
      </c>
      <c r="DT73" t="s">
        <v>545</v>
      </c>
      <c r="DU73" t="s">
        <v>573</v>
      </c>
      <c r="DV73" t="s">
        <v>1081</v>
      </c>
      <c r="DW73" t="s">
        <v>1575</v>
      </c>
      <c r="DX73" s="430">
        <v>47848</v>
      </c>
      <c r="DY73">
        <v>2733</v>
      </c>
      <c r="DZ73" t="s">
        <v>1576</v>
      </c>
      <c r="EA73">
        <v>2</v>
      </c>
      <c r="EB73">
        <v>8</v>
      </c>
      <c r="EC73">
        <v>4</v>
      </c>
      <c r="ED73">
        <v>8</v>
      </c>
      <c r="EE73">
        <v>18.399999999999999</v>
      </c>
      <c r="EF73" t="s">
        <v>1577</v>
      </c>
      <c r="EG73" t="s">
        <v>1578</v>
      </c>
      <c r="EH73">
        <v>30</v>
      </c>
      <c r="EI73">
        <v>46</v>
      </c>
      <c r="EJ73">
        <v>826</v>
      </c>
      <c r="EK73">
        <v>733</v>
      </c>
      <c r="EL73">
        <v>34</v>
      </c>
      <c r="EM73">
        <v>30</v>
      </c>
      <c r="EN73">
        <v>42</v>
      </c>
      <c r="EO73">
        <v>76</v>
      </c>
      <c r="EP73">
        <v>43</v>
      </c>
      <c r="EQ73">
        <v>83</v>
      </c>
      <c r="ER73">
        <v>20</v>
      </c>
      <c r="ES73">
        <v>20</v>
      </c>
      <c r="ET73">
        <v>6</v>
      </c>
      <c r="EU73">
        <v>20</v>
      </c>
      <c r="EV73">
        <v>6</v>
      </c>
      <c r="EW73">
        <v>0</v>
      </c>
      <c r="EX73">
        <v>0.4</v>
      </c>
      <c r="EY73">
        <v>2</v>
      </c>
      <c r="EZ73">
        <v>2</v>
      </c>
      <c r="FA73">
        <v>2</v>
      </c>
      <c r="FB73">
        <v>5.7</v>
      </c>
      <c r="FC73" t="s">
        <v>1579</v>
      </c>
      <c r="FD73">
        <v>6.78</v>
      </c>
    </row>
    <row r="74" spans="1:160" ht="24.95" customHeight="1" thickBot="1" x14ac:dyDescent="0.3">
      <c r="A74" s="29" t="str">
        <f t="shared" si="234"/>
        <v>73º</v>
      </c>
      <c r="B74" s="67" t="str">
        <f t="shared" si="118"/>
        <v>Tomás Molina</v>
      </c>
      <c r="C74" s="83" t="str">
        <f t="shared" si="119"/>
        <v>ARG</v>
      </c>
      <c r="D74" s="9" t="str">
        <f t="shared" si="120"/>
        <v>Argentinos Jrs.</v>
      </c>
      <c r="E74" s="91" t="str">
        <f t="shared" si="121"/>
        <v>Pé Direito</v>
      </c>
      <c r="F74" s="155">
        <f t="shared" si="122"/>
        <v>1.83</v>
      </c>
      <c r="G74" s="35">
        <f t="shared" si="123"/>
        <v>47483</v>
      </c>
      <c r="H74" s="7">
        <f t="shared" si="124"/>
        <v>31</v>
      </c>
      <c r="I74" s="299" t="str">
        <f t="shared" si="125"/>
        <v>18,5m € - 26,5m € p/m</v>
      </c>
      <c r="J74" s="3" t="str">
        <f t="shared" si="126"/>
        <v>Não está à venda</v>
      </c>
      <c r="K74" s="89">
        <f t="shared" si="235"/>
        <v>31.398046398046404</v>
      </c>
      <c r="L74" s="133">
        <f t="shared" si="127"/>
        <v>41.111111111111114</v>
      </c>
      <c r="M74" s="134">
        <f t="shared" si="128"/>
        <v>47</v>
      </c>
      <c r="N74" s="134">
        <f t="shared" si="129"/>
        <v>78.723404255319153</v>
      </c>
      <c r="O74" s="173">
        <f t="shared" si="130"/>
        <v>0.96</v>
      </c>
      <c r="P74" s="402">
        <f t="shared" si="131"/>
        <v>17</v>
      </c>
      <c r="Q74" s="402">
        <f t="shared" si="132"/>
        <v>2</v>
      </c>
      <c r="R74" s="402">
        <f t="shared" si="133"/>
        <v>19</v>
      </c>
      <c r="S74" s="6">
        <f t="shared" si="134"/>
        <v>4</v>
      </c>
      <c r="T74" s="24">
        <f t="shared" si="135"/>
        <v>925</v>
      </c>
      <c r="U74" s="21">
        <f t="shared" si="136"/>
        <v>9.7297297297297289E-2</v>
      </c>
      <c r="V74" s="298">
        <f t="shared" si="137"/>
        <v>0</v>
      </c>
      <c r="W74" s="300">
        <f t="shared" si="138"/>
        <v>0</v>
      </c>
      <c r="X74" s="298">
        <f t="shared" si="139"/>
        <v>0</v>
      </c>
      <c r="Y74" s="300">
        <f t="shared" si="140"/>
        <v>0</v>
      </c>
      <c r="Z74" s="290">
        <f t="shared" si="141"/>
        <v>0</v>
      </c>
      <c r="AA74" s="298">
        <f t="shared" si="142"/>
        <v>0</v>
      </c>
      <c r="AB74" s="286">
        <f t="shared" si="143"/>
        <v>3</v>
      </c>
      <c r="AC74" s="286">
        <f t="shared" si="144"/>
        <v>1</v>
      </c>
      <c r="AD74" s="286">
        <f t="shared" si="145"/>
        <v>2</v>
      </c>
      <c r="AE74" s="21">
        <f t="shared" si="146"/>
        <v>0.33333333333333331</v>
      </c>
      <c r="AF74" s="421">
        <f t="shared" si="147"/>
        <v>17</v>
      </c>
      <c r="AG74" s="421">
        <f t="shared" si="148"/>
        <v>2</v>
      </c>
      <c r="AH74" s="421">
        <f t="shared" si="149"/>
        <v>19</v>
      </c>
      <c r="AI74" s="421">
        <f t="shared" si="150"/>
        <v>16</v>
      </c>
      <c r="AJ74" s="420">
        <f t="shared" si="151"/>
        <v>4</v>
      </c>
      <c r="AK74" s="422">
        <f t="shared" si="152"/>
        <v>0.41351351351351351</v>
      </c>
      <c r="AL74" s="422">
        <f t="shared" si="153"/>
        <v>4.8648648648648644E-2</v>
      </c>
      <c r="AM74" s="422">
        <f t="shared" si="154"/>
        <v>0.4621621621621621</v>
      </c>
      <c r="AN74" s="5">
        <f t="shared" si="155"/>
        <v>17.79</v>
      </c>
      <c r="AO74" s="5">
        <f t="shared" si="156"/>
        <v>15.419999999999998</v>
      </c>
      <c r="AP74" s="5">
        <f t="shared" si="157"/>
        <v>0.37508108108108101</v>
      </c>
      <c r="AQ74" s="5">
        <f t="shared" si="158"/>
        <v>2.42</v>
      </c>
      <c r="AR74" s="5">
        <f t="shared" si="159"/>
        <v>5.8864864864864856E-2</v>
      </c>
      <c r="AS74" s="5">
        <f t="shared" si="160"/>
        <v>17.839999999999996</v>
      </c>
      <c r="AT74" s="5">
        <f t="shared" si="161"/>
        <v>0.43394594594594582</v>
      </c>
      <c r="AU74" s="21">
        <f t="shared" si="162"/>
        <v>0.54751131221719451</v>
      </c>
      <c r="AV74" s="21">
        <f t="shared" si="163"/>
        <v>0.48864616269042832</v>
      </c>
      <c r="AW74" s="6">
        <f t="shared" si="164"/>
        <v>17</v>
      </c>
      <c r="AX74" s="6">
        <f t="shared" si="165"/>
        <v>5</v>
      </c>
      <c r="AY74" s="21">
        <f t="shared" si="166"/>
        <v>0.29411764705882354</v>
      </c>
      <c r="AZ74" s="304">
        <f t="shared" si="167"/>
        <v>17</v>
      </c>
      <c r="BA74" s="305">
        <f t="shared" si="168"/>
        <v>0.41351351351351351</v>
      </c>
      <c r="BB74" s="413">
        <f t="shared" si="169"/>
        <v>13.952999999999999</v>
      </c>
      <c r="BC74" s="413">
        <f t="shared" si="170"/>
        <v>0.33939729729729723</v>
      </c>
      <c r="BD74" s="6">
        <f t="shared" si="171"/>
        <v>1175</v>
      </c>
      <c r="BE74" s="5">
        <f t="shared" si="172"/>
        <v>28.581081081081077</v>
      </c>
      <c r="BF74" s="6">
        <f t="shared" si="173"/>
        <v>1033</v>
      </c>
      <c r="BG74" s="5">
        <f t="shared" si="174"/>
        <v>25.127027027027026</v>
      </c>
      <c r="BH74" s="21">
        <f t="shared" si="175"/>
        <v>0.87914893617021272</v>
      </c>
      <c r="BI74" s="417">
        <f t="shared" si="176"/>
        <v>142</v>
      </c>
      <c r="BJ74" s="418">
        <f t="shared" si="177"/>
        <v>3.4540540540540539</v>
      </c>
      <c r="BK74" s="195">
        <f t="shared" si="178"/>
        <v>32</v>
      </c>
      <c r="BL74" s="5">
        <f t="shared" si="179"/>
        <v>0.77837837837837831</v>
      </c>
      <c r="BM74" s="21">
        <f t="shared" si="180"/>
        <v>2.7234042553191489E-2</v>
      </c>
      <c r="BN74" s="195">
        <f t="shared" si="181"/>
        <v>42</v>
      </c>
      <c r="BO74" s="185">
        <f t="shared" si="182"/>
        <v>1.0216216216216216</v>
      </c>
      <c r="BP74" s="5">
        <f t="shared" si="183"/>
        <v>21</v>
      </c>
      <c r="BQ74" s="21">
        <f t="shared" si="184"/>
        <v>4.7619047619047616E-2</v>
      </c>
      <c r="BR74" s="5">
        <f t="shared" si="185"/>
        <v>0.41999999999999993</v>
      </c>
      <c r="BS74" s="5">
        <f t="shared" si="186"/>
        <v>5.7619047619047618E-2</v>
      </c>
      <c r="BT74" s="24">
        <f t="shared" si="187"/>
        <v>88.095238095238102</v>
      </c>
      <c r="BU74" s="5">
        <f t="shared" si="188"/>
        <v>36.274509803921568</v>
      </c>
      <c r="BV74" s="5">
        <f t="shared" si="189"/>
        <v>-0.78999999999999915</v>
      </c>
      <c r="BW74" s="5">
        <f t="shared" si="190"/>
        <v>-1.5799999999999992</v>
      </c>
      <c r="BX74" s="6">
        <f t="shared" si="191"/>
        <v>117</v>
      </c>
      <c r="BY74" s="5">
        <f t="shared" si="192"/>
        <v>2.8459459459459455</v>
      </c>
      <c r="BZ74" s="6">
        <f t="shared" si="193"/>
        <v>62</v>
      </c>
      <c r="CA74" s="5">
        <f t="shared" si="194"/>
        <v>1.508108108108108</v>
      </c>
      <c r="CB74" s="6">
        <f t="shared" si="195"/>
        <v>58</v>
      </c>
      <c r="CC74" s="5">
        <f t="shared" si="196"/>
        <v>1.4108108108108106</v>
      </c>
      <c r="CD74" s="5">
        <f t="shared" si="197"/>
        <v>1.3864864864864863</v>
      </c>
      <c r="CE74" s="21">
        <f t="shared" si="198"/>
        <v>0.48717948717948717</v>
      </c>
      <c r="CF74" s="5">
        <f t="shared" si="199"/>
        <v>7.3125</v>
      </c>
      <c r="CG74" s="5">
        <f t="shared" si="200"/>
        <v>3.4117647058823528</v>
      </c>
      <c r="CH74" s="21">
        <f t="shared" si="201"/>
        <v>0.13675213675213677</v>
      </c>
      <c r="CI74" s="298">
        <f t="shared" si="202"/>
        <v>10</v>
      </c>
      <c r="CJ74" s="298">
        <f t="shared" si="203"/>
        <v>4</v>
      </c>
      <c r="CK74" s="298">
        <f t="shared" si="204"/>
        <v>3</v>
      </c>
      <c r="CL74" s="21">
        <f t="shared" si="205"/>
        <v>0.1081081081081081</v>
      </c>
      <c r="CM74" s="6">
        <f t="shared" si="206"/>
        <v>17.8</v>
      </c>
      <c r="CN74" s="5">
        <f t="shared" si="207"/>
        <v>0.43297297297297294</v>
      </c>
      <c r="CO74" s="167">
        <f t="shared" si="208"/>
        <v>196</v>
      </c>
      <c r="CP74" s="5">
        <f t="shared" si="209"/>
        <v>4.7675675675675668</v>
      </c>
      <c r="CQ74" s="6">
        <f t="shared" si="210"/>
        <v>122</v>
      </c>
      <c r="CR74" s="5">
        <f t="shared" si="211"/>
        <v>2.9675675675675675</v>
      </c>
      <c r="CS74" s="21">
        <f t="shared" si="212"/>
        <v>0.62244897959183676</v>
      </c>
      <c r="CT74" s="6">
        <f t="shared" si="213"/>
        <v>122.92</v>
      </c>
      <c r="CU74" s="5">
        <f t="shared" si="214"/>
        <v>2.9899459459459456</v>
      </c>
      <c r="CV74" s="6">
        <f t="shared" si="215"/>
        <v>123.67</v>
      </c>
      <c r="CW74" s="5">
        <f t="shared" si="216"/>
        <v>3.008189189189189</v>
      </c>
      <c r="CX74" s="385">
        <f t="shared" si="217"/>
        <v>7.9514270270270275</v>
      </c>
      <c r="CY74" s="5">
        <f t="shared" si="218"/>
        <v>34.637837837837836</v>
      </c>
      <c r="CZ74" s="5">
        <f t="shared" si="219"/>
        <v>27.048648648648648</v>
      </c>
      <c r="DA74" s="6">
        <f t="shared" si="220"/>
        <v>74</v>
      </c>
      <c r="DB74" s="5">
        <f t="shared" si="221"/>
        <v>1.7999999999999998</v>
      </c>
      <c r="DC74" s="6">
        <f t="shared" si="222"/>
        <v>230</v>
      </c>
      <c r="DD74" s="5">
        <f t="shared" si="223"/>
        <v>5.5945945945945939</v>
      </c>
      <c r="DE74" s="6">
        <f t="shared" si="224"/>
        <v>167</v>
      </c>
      <c r="DF74" s="5">
        <f t="shared" si="225"/>
        <v>4.0621621621621617</v>
      </c>
      <c r="DG74" s="6">
        <f t="shared" si="226"/>
        <v>216</v>
      </c>
      <c r="DH74" s="5">
        <f t="shared" si="227"/>
        <v>5.2540540540540537</v>
      </c>
      <c r="DI74" s="5">
        <f t="shared" si="228"/>
        <v>17.8</v>
      </c>
      <c r="DJ74" s="5">
        <f t="shared" si="229"/>
        <v>424.5</v>
      </c>
      <c r="DK74" s="5">
        <f t="shared" si="230"/>
        <v>10.325675675675674</v>
      </c>
      <c r="DL74" s="286">
        <f t="shared" si="231"/>
        <v>217.88888888888889</v>
      </c>
      <c r="DM74" s="287">
        <f t="shared" si="232"/>
        <v>5.3</v>
      </c>
      <c r="DN74" s="60">
        <f t="shared" si="233"/>
        <v>6.9</v>
      </c>
      <c r="DO74"/>
      <c r="DP74" t="s">
        <v>708</v>
      </c>
      <c r="DQ74" t="s">
        <v>1580</v>
      </c>
      <c r="DR74">
        <v>31</v>
      </c>
      <c r="DS74" t="s">
        <v>1581</v>
      </c>
      <c r="DT74" t="s">
        <v>696</v>
      </c>
      <c r="DU74" t="s">
        <v>573</v>
      </c>
      <c r="DV74" t="s">
        <v>394</v>
      </c>
      <c r="DW74" t="s">
        <v>1582</v>
      </c>
      <c r="DX74" s="430">
        <v>47483</v>
      </c>
      <c r="DY74">
        <v>3700</v>
      </c>
      <c r="DZ74" t="s">
        <v>1467</v>
      </c>
      <c r="EA74">
        <v>4</v>
      </c>
      <c r="EB74">
        <v>17</v>
      </c>
      <c r="EC74">
        <v>2</v>
      </c>
      <c r="ED74">
        <v>5</v>
      </c>
      <c r="EE74">
        <v>17.8</v>
      </c>
      <c r="EF74" t="s">
        <v>1583</v>
      </c>
      <c r="EG74" t="s">
        <v>1584</v>
      </c>
      <c r="EH74">
        <v>46</v>
      </c>
      <c r="EI74">
        <v>51</v>
      </c>
      <c r="EJ74">
        <v>1175</v>
      </c>
      <c r="EK74">
        <v>1033</v>
      </c>
      <c r="EL74">
        <v>42</v>
      </c>
      <c r="EM74">
        <v>32</v>
      </c>
      <c r="EN74">
        <v>17</v>
      </c>
      <c r="EO74">
        <v>120</v>
      </c>
      <c r="EP74">
        <v>58</v>
      </c>
      <c r="EQ74">
        <v>53</v>
      </c>
      <c r="ER74">
        <v>22</v>
      </c>
      <c r="ES74">
        <v>17</v>
      </c>
      <c r="ET74">
        <v>5</v>
      </c>
      <c r="EU74">
        <v>17</v>
      </c>
      <c r="EV74">
        <v>5</v>
      </c>
      <c r="EW74">
        <v>4</v>
      </c>
      <c r="EX74">
        <v>0.9</v>
      </c>
      <c r="EY74">
        <v>0</v>
      </c>
      <c r="EZ74">
        <v>3</v>
      </c>
      <c r="FA74">
        <v>1</v>
      </c>
      <c r="FB74">
        <v>5.3</v>
      </c>
      <c r="FC74" t="s">
        <v>1585</v>
      </c>
      <c r="FD74">
        <v>6.9</v>
      </c>
    </row>
    <row r="75" spans="1:160" ht="24.95" customHeight="1" thickBot="1" x14ac:dyDescent="0.3">
      <c r="A75" s="29" t="str">
        <f t="shared" si="234"/>
        <v>74º</v>
      </c>
      <c r="B75" s="67" t="str">
        <f t="shared" si="118"/>
        <v>Miguel Parrales</v>
      </c>
      <c r="C75" s="83" t="str">
        <f t="shared" si="119"/>
        <v>ECU</v>
      </c>
      <c r="D75" s="9" t="str">
        <f t="shared" si="120"/>
        <v>Barcelona S.C.</v>
      </c>
      <c r="E75" s="91" t="str">
        <f t="shared" si="121"/>
        <v>Pé Preferido Desconhecido</v>
      </c>
      <c r="F75" s="155">
        <f t="shared" si="122"/>
        <v>1.82</v>
      </c>
      <c r="G75" s="35">
        <f t="shared" si="123"/>
        <v>46934</v>
      </c>
      <c r="H75" s="7">
        <f t="shared" si="124"/>
        <v>30</v>
      </c>
      <c r="I75" s="299" t="str">
        <f t="shared" si="125"/>
        <v>18,25m € - 27m € p/m</v>
      </c>
      <c r="J75" s="3" t="str">
        <f t="shared" si="126"/>
        <v>Desconhecido</v>
      </c>
      <c r="K75" s="89">
        <f t="shared" si="235"/>
        <v>31.398046398046404</v>
      </c>
      <c r="L75" s="133">
        <f t="shared" si="127"/>
        <v>35.233333333333334</v>
      </c>
      <c r="M75" s="134">
        <f t="shared" si="128"/>
        <v>39</v>
      </c>
      <c r="N75" s="134">
        <f t="shared" si="129"/>
        <v>81.307692307692307</v>
      </c>
      <c r="O75" s="173">
        <f t="shared" si="130"/>
        <v>1</v>
      </c>
      <c r="P75" s="402">
        <f t="shared" si="131"/>
        <v>18</v>
      </c>
      <c r="Q75" s="402">
        <f t="shared" si="132"/>
        <v>4</v>
      </c>
      <c r="R75" s="402">
        <f t="shared" si="133"/>
        <v>22</v>
      </c>
      <c r="S75" s="6">
        <f t="shared" si="134"/>
        <v>2</v>
      </c>
      <c r="T75" s="24">
        <f t="shared" si="135"/>
        <v>1585.5</v>
      </c>
      <c r="U75" s="21">
        <f t="shared" si="136"/>
        <v>5.6764427625354774E-2</v>
      </c>
      <c r="V75" s="298">
        <f t="shared" si="137"/>
        <v>0</v>
      </c>
      <c r="W75" s="300">
        <f t="shared" si="138"/>
        <v>0</v>
      </c>
      <c r="X75" s="298">
        <f t="shared" si="139"/>
        <v>0</v>
      </c>
      <c r="Y75" s="300">
        <f t="shared" si="140"/>
        <v>0</v>
      </c>
      <c r="Z75" s="290">
        <f t="shared" si="141"/>
        <v>0</v>
      </c>
      <c r="AA75" s="298">
        <f t="shared" si="142"/>
        <v>4</v>
      </c>
      <c r="AB75" s="286">
        <f t="shared" si="143"/>
        <v>4</v>
      </c>
      <c r="AC75" s="286">
        <f t="shared" si="144"/>
        <v>3</v>
      </c>
      <c r="AD75" s="286">
        <f t="shared" si="145"/>
        <v>1</v>
      </c>
      <c r="AE75" s="21">
        <f t="shared" si="146"/>
        <v>0.75</v>
      </c>
      <c r="AF75" s="421">
        <f t="shared" si="147"/>
        <v>18</v>
      </c>
      <c r="AG75" s="421">
        <f t="shared" si="148"/>
        <v>4</v>
      </c>
      <c r="AH75" s="421">
        <f t="shared" si="149"/>
        <v>22</v>
      </c>
      <c r="AI75" s="421">
        <f t="shared" si="150"/>
        <v>15</v>
      </c>
      <c r="AJ75" s="420">
        <f t="shared" si="151"/>
        <v>4</v>
      </c>
      <c r="AK75" s="422">
        <f t="shared" si="152"/>
        <v>0.51087984862819302</v>
      </c>
      <c r="AL75" s="422">
        <f t="shared" si="153"/>
        <v>0.11352885525070955</v>
      </c>
      <c r="AM75" s="422">
        <f t="shared" si="154"/>
        <v>0.62440870387890257</v>
      </c>
      <c r="AN75" s="5">
        <f t="shared" si="155"/>
        <v>15.55</v>
      </c>
      <c r="AO75" s="5">
        <f t="shared" si="156"/>
        <v>12.39</v>
      </c>
      <c r="AP75" s="5">
        <f t="shared" si="157"/>
        <v>0.35165562913907283</v>
      </c>
      <c r="AQ75" s="5">
        <f t="shared" si="158"/>
        <v>3.59</v>
      </c>
      <c r="AR75" s="5">
        <f t="shared" si="159"/>
        <v>0.10189214758751182</v>
      </c>
      <c r="AS75" s="5">
        <f t="shared" si="160"/>
        <v>15.98</v>
      </c>
      <c r="AT75" s="5">
        <f t="shared" si="161"/>
        <v>0.45354777672658469</v>
      </c>
      <c r="AU75" s="21">
        <f t="shared" si="162"/>
        <v>0.4729907773386034</v>
      </c>
      <c r="AV75" s="21">
        <f t="shared" si="163"/>
        <v>0.53651266766020866</v>
      </c>
      <c r="AW75" s="6">
        <f t="shared" si="164"/>
        <v>7</v>
      </c>
      <c r="AX75" s="6">
        <f t="shared" si="165"/>
        <v>0</v>
      </c>
      <c r="AY75" s="21">
        <f t="shared" si="166"/>
        <v>0</v>
      </c>
      <c r="AZ75" s="304">
        <f t="shared" si="167"/>
        <v>25</v>
      </c>
      <c r="BA75" s="305">
        <f t="shared" si="168"/>
        <v>0.70955534531693465</v>
      </c>
      <c r="BB75" s="413">
        <f t="shared" si="169"/>
        <v>14.6235</v>
      </c>
      <c r="BC75" s="413">
        <f t="shared" si="170"/>
        <v>0.41504730368968779</v>
      </c>
      <c r="BD75" s="6">
        <f t="shared" si="171"/>
        <v>909</v>
      </c>
      <c r="BE75" s="5">
        <f t="shared" si="172"/>
        <v>25.799432355723745</v>
      </c>
      <c r="BF75" s="6">
        <f t="shared" si="173"/>
        <v>803</v>
      </c>
      <c r="BG75" s="5">
        <f t="shared" si="174"/>
        <v>22.790917691579942</v>
      </c>
      <c r="BH75" s="21">
        <f t="shared" si="175"/>
        <v>0.88338833883388335</v>
      </c>
      <c r="BI75" s="417">
        <f t="shared" si="176"/>
        <v>106</v>
      </c>
      <c r="BJ75" s="418">
        <f t="shared" si="177"/>
        <v>3.008514664143803</v>
      </c>
      <c r="BK75" s="195">
        <f t="shared" si="178"/>
        <v>26</v>
      </c>
      <c r="BL75" s="5">
        <f t="shared" si="179"/>
        <v>0.73793755912961212</v>
      </c>
      <c r="BM75" s="21">
        <f t="shared" si="180"/>
        <v>2.8602860286028604E-2</v>
      </c>
      <c r="BN75" s="195">
        <f t="shared" si="181"/>
        <v>37</v>
      </c>
      <c r="BO75" s="185">
        <f t="shared" si="182"/>
        <v>1.0501419110690633</v>
      </c>
      <c r="BP75" s="5">
        <f t="shared" si="183"/>
        <v>9.25</v>
      </c>
      <c r="BQ75" s="21">
        <f t="shared" si="184"/>
        <v>0.10810810810810811</v>
      </c>
      <c r="BR75" s="5">
        <f t="shared" si="185"/>
        <v>-0.41000000000000014</v>
      </c>
      <c r="BS75" s="5">
        <f t="shared" si="186"/>
        <v>9.7027027027027021E-2</v>
      </c>
      <c r="BT75" s="24">
        <f t="shared" si="187"/>
        <v>85.702702702702709</v>
      </c>
      <c r="BU75" s="5">
        <f t="shared" si="188"/>
        <v>33.734042553191486</v>
      </c>
      <c r="BV75" s="5">
        <f t="shared" si="189"/>
        <v>2.4499999999999993</v>
      </c>
      <c r="BW75" s="5">
        <f t="shared" si="190"/>
        <v>7.9999999999999183E-2</v>
      </c>
      <c r="BX75" s="6">
        <f t="shared" si="191"/>
        <v>112</v>
      </c>
      <c r="BY75" s="5">
        <f t="shared" si="192"/>
        <v>3.1788079470198674</v>
      </c>
      <c r="BZ75" s="6">
        <f t="shared" si="193"/>
        <v>61</v>
      </c>
      <c r="CA75" s="5">
        <f t="shared" si="194"/>
        <v>1.7313150425733206</v>
      </c>
      <c r="CB75" s="6">
        <f t="shared" si="195"/>
        <v>55</v>
      </c>
      <c r="CC75" s="5">
        <f t="shared" si="196"/>
        <v>1.5610217596972564</v>
      </c>
      <c r="CD75" s="5">
        <f t="shared" si="197"/>
        <v>1.4758751182592242</v>
      </c>
      <c r="CE75" s="21">
        <f t="shared" si="198"/>
        <v>0.4642857142857143</v>
      </c>
      <c r="CF75" s="5">
        <f t="shared" si="199"/>
        <v>7.4666666666666668</v>
      </c>
      <c r="CG75" s="5">
        <f t="shared" si="200"/>
        <v>3.0555555555555554</v>
      </c>
      <c r="CH75" s="21">
        <f t="shared" si="201"/>
        <v>0.13392857142857142</v>
      </c>
      <c r="CI75" s="298">
        <f t="shared" si="202"/>
        <v>10</v>
      </c>
      <c r="CJ75" s="298">
        <f t="shared" si="203"/>
        <v>4</v>
      </c>
      <c r="CK75" s="298">
        <f t="shared" si="204"/>
        <v>4</v>
      </c>
      <c r="CL75" s="21">
        <f t="shared" si="205"/>
        <v>0.11352885525070955</v>
      </c>
      <c r="CM75" s="6">
        <f t="shared" si="206"/>
        <v>15.7</v>
      </c>
      <c r="CN75" s="5">
        <f t="shared" si="207"/>
        <v>0.445600756859035</v>
      </c>
      <c r="CO75" s="167">
        <f t="shared" si="208"/>
        <v>185</v>
      </c>
      <c r="CP75" s="5">
        <f t="shared" si="209"/>
        <v>5.2507095553453169</v>
      </c>
      <c r="CQ75" s="6">
        <f t="shared" si="210"/>
        <v>117</v>
      </c>
      <c r="CR75" s="5">
        <f t="shared" si="211"/>
        <v>3.3207190160832543</v>
      </c>
      <c r="CS75" s="21">
        <f t="shared" si="212"/>
        <v>0.63243243243243241</v>
      </c>
      <c r="CT75" s="6">
        <f t="shared" si="213"/>
        <v>112.59</v>
      </c>
      <c r="CU75" s="5">
        <f t="shared" si="214"/>
        <v>3.1955534531693472</v>
      </c>
      <c r="CV75" s="6">
        <f t="shared" si="215"/>
        <v>114.09</v>
      </c>
      <c r="CW75" s="5">
        <f t="shared" si="216"/>
        <v>3.2381267738883635</v>
      </c>
      <c r="CX75" s="385">
        <f t="shared" si="217"/>
        <v>8.5414853358561977</v>
      </c>
      <c r="CY75" s="5">
        <f t="shared" si="218"/>
        <v>32.327341532639544</v>
      </c>
      <c r="CZ75" s="5">
        <f t="shared" si="219"/>
        <v>24.749290444654683</v>
      </c>
      <c r="DA75" s="6">
        <f t="shared" si="220"/>
        <v>63</v>
      </c>
      <c r="DB75" s="5">
        <f t="shared" si="221"/>
        <v>1.7880794701986755</v>
      </c>
      <c r="DC75" s="6">
        <f t="shared" si="222"/>
        <v>213</v>
      </c>
      <c r="DD75" s="5">
        <f t="shared" si="223"/>
        <v>6.0454115421002834</v>
      </c>
      <c r="DE75" s="6">
        <f t="shared" si="224"/>
        <v>159</v>
      </c>
      <c r="DF75" s="5">
        <f t="shared" si="225"/>
        <v>4.5127719962157045</v>
      </c>
      <c r="DG75" s="6">
        <f t="shared" si="226"/>
        <v>174</v>
      </c>
      <c r="DH75" s="5">
        <f t="shared" si="227"/>
        <v>4.9385052034058656</v>
      </c>
      <c r="DI75" s="5">
        <f t="shared" si="228"/>
        <v>15.7</v>
      </c>
      <c r="DJ75" s="5">
        <f t="shared" si="229"/>
        <v>383.7</v>
      </c>
      <c r="DK75" s="5">
        <f t="shared" si="230"/>
        <v>10.890255439924314</v>
      </c>
      <c r="DL75" s="286">
        <f t="shared" si="231"/>
        <v>299.48333333333335</v>
      </c>
      <c r="DM75" s="287">
        <f t="shared" si="232"/>
        <v>8.5</v>
      </c>
      <c r="DN75" s="60">
        <f t="shared" si="233"/>
        <v>6.91</v>
      </c>
      <c r="DO75"/>
      <c r="DP75" t="s">
        <v>1586</v>
      </c>
      <c r="DQ75" t="s">
        <v>1587</v>
      </c>
      <c r="DR75">
        <v>30</v>
      </c>
      <c r="DS75" t="s">
        <v>1588</v>
      </c>
      <c r="DT75" t="s">
        <v>963</v>
      </c>
      <c r="DU75" t="s">
        <v>1201</v>
      </c>
      <c r="DV75" t="s">
        <v>1202</v>
      </c>
      <c r="DW75" t="s">
        <v>1589</v>
      </c>
      <c r="DX75" s="430">
        <v>46934</v>
      </c>
      <c r="DY75">
        <v>3171</v>
      </c>
      <c r="DZ75">
        <v>39</v>
      </c>
      <c r="EA75">
        <v>2</v>
      </c>
      <c r="EB75">
        <v>18</v>
      </c>
      <c r="EC75">
        <v>4</v>
      </c>
      <c r="ED75">
        <v>6</v>
      </c>
      <c r="EE75">
        <v>15.7</v>
      </c>
      <c r="EF75" t="s">
        <v>1590</v>
      </c>
      <c r="EG75" t="s">
        <v>1591</v>
      </c>
      <c r="EH75">
        <v>21</v>
      </c>
      <c r="EI75">
        <v>69</v>
      </c>
      <c r="EJ75">
        <v>909</v>
      </c>
      <c r="EK75">
        <v>803</v>
      </c>
      <c r="EL75">
        <v>37</v>
      </c>
      <c r="EM75">
        <v>26</v>
      </c>
      <c r="EN75">
        <v>25</v>
      </c>
      <c r="EO75">
        <v>116</v>
      </c>
      <c r="EP75">
        <v>55</v>
      </c>
      <c r="EQ75">
        <v>54</v>
      </c>
      <c r="ER75">
        <v>13</v>
      </c>
      <c r="ES75">
        <v>7</v>
      </c>
      <c r="ET75">
        <v>0</v>
      </c>
      <c r="EU75">
        <v>7</v>
      </c>
      <c r="EV75">
        <v>0</v>
      </c>
      <c r="EW75">
        <v>4</v>
      </c>
      <c r="EX75">
        <v>1</v>
      </c>
      <c r="EY75">
        <v>4</v>
      </c>
      <c r="EZ75">
        <v>4</v>
      </c>
      <c r="FA75">
        <v>3</v>
      </c>
      <c r="FB75">
        <v>8.5</v>
      </c>
      <c r="FC75" t="s">
        <v>1592</v>
      </c>
      <c r="FD75">
        <v>6.91</v>
      </c>
    </row>
    <row r="76" spans="1:160" ht="24.95" customHeight="1" thickBot="1" x14ac:dyDescent="0.3">
      <c r="A76" s="29" t="str">
        <f t="shared" si="234"/>
        <v>75º</v>
      </c>
      <c r="B76" s="67" t="str">
        <f t="shared" ref="B76:B92" si="236">DQ76</f>
        <v>Michael Estrada</v>
      </c>
      <c r="C76" s="83" t="str">
        <f t="shared" ref="C76:C92" si="237">DP76</f>
        <v>ECU</v>
      </c>
      <c r="D76" s="9" t="str">
        <f t="shared" ref="D76:D92" si="238">DS76</f>
        <v>Liga de Quito</v>
      </c>
      <c r="E76" s="91" t="str">
        <f t="shared" ref="E76:E92" si="239">DU76</f>
        <v>Pé Preferido Desconhecido</v>
      </c>
      <c r="F76" s="155">
        <f t="shared" ref="F76:F92" si="240">IFERROR(SUBSTITUTE(DT76," cm","")/100,0)</f>
        <v>1.87</v>
      </c>
      <c r="G76" s="35">
        <f t="shared" ref="G76:G92" si="241">IF(DX76="-", "Sem Data Final", DX76)</f>
        <v>47149</v>
      </c>
      <c r="H76" s="7">
        <f t="shared" ref="H76:H92" si="242">DR76</f>
        <v>30</v>
      </c>
      <c r="I76" s="299" t="str">
        <f t="shared" ref="I76:I92" si="243">DW76</f>
        <v>23m € - 34,5m € p/m</v>
      </c>
      <c r="J76" s="3" t="str">
        <f t="shared" ref="J76:J92" si="244">DV76</f>
        <v>Desconhecido</v>
      </c>
      <c r="K76" s="89">
        <f t="shared" si="235"/>
        <v>31.398046398046404</v>
      </c>
      <c r="L76" s="133">
        <f t="shared" ref="L76:L92" si="245">DY76/90</f>
        <v>32.644444444444446</v>
      </c>
      <c r="M76" s="134">
        <f t="shared" ref="M76:M92" si="246">IF(ISERROR(FIND("(",DZ76)), VALUE(DZ76), VALUE(LEFT(DZ76,FIND("(",DZ76)-2)) + VALUE(MID(DZ76,FIND("(",DZ76)+1,FIND(")",DZ76)-FIND("(",DZ76)-1)))</f>
        <v>35</v>
      </c>
      <c r="N76" s="134">
        <f t="shared" ref="N76:N92" si="247">IFERROR(DY76/M76,0)</f>
        <v>83.942857142857136</v>
      </c>
      <c r="O76" s="173">
        <f t="shared" ref="O76:O92" si="248">IFERROR(IF(ISERROR(FIND("(",DZ76)), "100%", TEXT(VALUE(LEFT(DZ76,FIND("(",DZ76)-2)) / (VALUE(LEFT(DZ76,FIND("(",DZ76)-2)) + VALUE(MID(DZ76,FIND("(",DZ76)+1,FIND(")",DZ76)-FIND("(",DZ76)-1))),"0%")),0)*1</f>
        <v>0.97</v>
      </c>
      <c r="P76" s="402">
        <f t="shared" ref="P76:P92" si="249">EB76</f>
        <v>13</v>
      </c>
      <c r="Q76" s="402">
        <f t="shared" ref="Q76:Q92" si="250">EC76</f>
        <v>2</v>
      </c>
      <c r="R76" s="402">
        <f t="shared" ref="R76:R92" si="251">P76+Q76</f>
        <v>15</v>
      </c>
      <c r="S76" s="6">
        <f t="shared" ref="S76:S92" si="252">EA76</f>
        <v>1</v>
      </c>
      <c r="T76" s="24">
        <f t="shared" ref="T76:T92" si="253">IFERROR(DY76/S76,5000)</f>
        <v>2938</v>
      </c>
      <c r="U76" s="21">
        <f t="shared" ref="U76:U92" si="254">(S76*1)/L76</f>
        <v>3.0633083730428862E-2</v>
      </c>
      <c r="V76" s="298">
        <f t="shared" ref="V76:V92" si="255">EU76-ES76</f>
        <v>0</v>
      </c>
      <c r="W76" s="300">
        <f t="shared" ref="W76:W92" si="256">IFERROR(V76/L76,0)</f>
        <v>0</v>
      </c>
      <c r="X76" s="298">
        <f t="shared" ref="X76:X92" si="257">EV76-ET76</f>
        <v>0</v>
      </c>
      <c r="Y76" s="300">
        <f t="shared" ref="Y76:Y92" si="258">IFERROR(X76/L76,0)</f>
        <v>0</v>
      </c>
      <c r="Z76" s="290">
        <f t="shared" ref="Z76:Z92" si="259">IFERROR(X76/V76,0)</f>
        <v>0</v>
      </c>
      <c r="AA76" s="298">
        <f t="shared" ref="AA76:AA92" si="260">EY76</f>
        <v>3</v>
      </c>
      <c r="AB76" s="286">
        <f t="shared" ref="AB76:AB92" si="261">EZ76</f>
        <v>4</v>
      </c>
      <c r="AC76" s="286">
        <f t="shared" ref="AC76:AC92" si="262">FA76</f>
        <v>3</v>
      </c>
      <c r="AD76" s="286">
        <f t="shared" ref="AD76:AD92" si="263">EZ76-FA76</f>
        <v>1</v>
      </c>
      <c r="AE76" s="21">
        <f t="shared" ref="AE76:AE92" si="264">IFERROR((FA76*1)/EZ76,0.0000001)</f>
        <v>0.75</v>
      </c>
      <c r="AF76" s="421">
        <f t="shared" ref="AF76:AF92" si="265">EB76</f>
        <v>13</v>
      </c>
      <c r="AG76" s="421">
        <f t="shared" ref="AG76:AG92" si="266">EC76</f>
        <v>2</v>
      </c>
      <c r="AH76" s="421">
        <f t="shared" ref="AH76:AH92" si="267">AF76+AG76</f>
        <v>15</v>
      </c>
      <c r="AI76" s="421">
        <f t="shared" ref="AI76:AI92" si="268">AF76-FA76</f>
        <v>10</v>
      </c>
      <c r="AJ76" s="420">
        <f t="shared" ref="AJ76:AJ92" si="269">EW76</f>
        <v>6</v>
      </c>
      <c r="AK76" s="422">
        <f t="shared" ref="AK76:AK92" si="270">IFERROR((P76/L76),0)</f>
        <v>0.39823008849557523</v>
      </c>
      <c r="AL76" s="422">
        <f t="shared" ref="AL76:AL92" si="271">IFERROR((Q76/L76),0)</f>
        <v>6.1266167460857723E-2</v>
      </c>
      <c r="AM76" s="422">
        <f t="shared" ref="AM76:AM92" si="272">IFERROR((P76+Q76)/L76,0)</f>
        <v>0.45949625595643295</v>
      </c>
      <c r="AN76" s="5">
        <f t="shared" ref="AN76:AN92" si="273">SUBSTITUTE(EF76,".","," )*1</f>
        <v>12.73</v>
      </c>
      <c r="AO76" s="5">
        <f t="shared" ref="AO76:AO92" si="274">IFERROR(AN76-(EZ76*0.79),0)</f>
        <v>9.57</v>
      </c>
      <c r="AP76" s="5">
        <f t="shared" ref="AP76:AP92" si="275">IFERROR(AO76/L76,0)</f>
        <v>0.29315861130020421</v>
      </c>
      <c r="AQ76" s="5">
        <f t="shared" ref="AQ76:AQ92" si="276">SUBSTITUTE(EG76,".","," )*1</f>
        <v>1.58</v>
      </c>
      <c r="AR76" s="5">
        <f t="shared" ref="AR76:AR92" si="277">IFERROR(AQ76/L76,0)</f>
        <v>4.8400272294077604E-2</v>
      </c>
      <c r="AS76" s="5">
        <f t="shared" ref="AS76:AS92" si="278">AO76+AQ76</f>
        <v>11.15</v>
      </c>
      <c r="AT76" s="5">
        <f t="shared" ref="AT76:AT92" si="279">IFERROR(AS76/L76,0)</f>
        <v>0.34155888359428183</v>
      </c>
      <c r="AU76" s="21">
        <f t="shared" ref="AU76:AU92" si="280">IFERROR(AQ76/(AQ76+EC76),0)</f>
        <v>0.44134078212290506</v>
      </c>
      <c r="AV76" s="21">
        <f t="shared" ref="AV76:AV92" si="281">IFERROR(EB76/(EB76+AN76),0)</f>
        <v>0.50524679362611735</v>
      </c>
      <c r="AW76" s="6">
        <f t="shared" ref="AW76:AW92" si="282">ES76</f>
        <v>9</v>
      </c>
      <c r="AX76" s="6">
        <f t="shared" ref="AX76:AX92" si="283">ET76</f>
        <v>4</v>
      </c>
      <c r="AY76" s="21">
        <f t="shared" ref="AY76:AY92" si="284">IFERROR((AX76*1)/AW76,0)</f>
        <v>0.44444444444444442</v>
      </c>
      <c r="AZ76" s="304">
        <f t="shared" ref="AZ76:AZ92" si="285">EN76</f>
        <v>35</v>
      </c>
      <c r="BA76" s="305">
        <f t="shared" ref="BA76:BA92" si="286">IFERROR(AZ76/L76,0)</f>
        <v>1.0721579305650102</v>
      </c>
      <c r="BB76" s="413">
        <f t="shared" ref="BB76:BB92" si="287">(0.45*(ED76))+(0.15*BN76)+(0.05*BK76)+(0.15*AZ76)+(0.15*AQ76)+(CM76*0.05)</f>
        <v>12.747</v>
      </c>
      <c r="BC76" s="413">
        <f t="shared" ref="BC76:BC92" si="288">(0.45*(ED76/L76))+(0.15*BO76)+(0.05*BL76)+(0.15*BA76)+(0.15*AR76)+(CN76*0.05)</f>
        <v>0.3904799183117767</v>
      </c>
      <c r="BD76" s="6">
        <f t="shared" ref="BD76:BD92" si="289">EJ76</f>
        <v>787</v>
      </c>
      <c r="BE76" s="5">
        <f t="shared" ref="BE76:BE92" si="290">IFERROR(BD76/L76,0)</f>
        <v>24.108236895847515</v>
      </c>
      <c r="BF76" s="6">
        <f t="shared" ref="BF76:BF92" si="291">EK76</f>
        <v>717</v>
      </c>
      <c r="BG76" s="5">
        <f t="shared" ref="BG76:BG92" si="292">IFERROR(BF76/L76,0)</f>
        <v>21.963921034717494</v>
      </c>
      <c r="BH76" s="21">
        <f t="shared" ref="BH76:BH92" si="293">BF76/BD76</f>
        <v>0.91105463786531127</v>
      </c>
      <c r="BI76" s="417">
        <f t="shared" ref="BI76:BI92" si="294">EJ76-EK76</f>
        <v>70</v>
      </c>
      <c r="BJ76" s="418">
        <f t="shared" ref="BJ76:BJ92" si="295">IFERROR(BI76/L76,0)</f>
        <v>2.1443158611300204</v>
      </c>
      <c r="BK76" s="195">
        <f t="shared" ref="BK76:BK92" si="296">EM76</f>
        <v>15</v>
      </c>
      <c r="BL76" s="5">
        <f t="shared" ref="BL76:BL92" si="297">IFERROR(BK76/L76,0)</f>
        <v>0.45949625595643295</v>
      </c>
      <c r="BM76" s="21">
        <f t="shared" ref="BM76:BM92" si="298">EM76/EJ76</f>
        <v>1.9059720457433291E-2</v>
      </c>
      <c r="BN76" s="195">
        <f t="shared" ref="BN76:BN92" si="299">IFERROR(EL76,0)</f>
        <v>29</v>
      </c>
      <c r="BO76" s="185">
        <f t="shared" ref="BO76:BO92" si="300">IFERROR(BN76/L76,0)</f>
        <v>0.88835942818243696</v>
      </c>
      <c r="BP76" s="5">
        <f t="shared" ref="BP76:BP92" si="301">IFERROR(EL76/EC76,25)</f>
        <v>14.5</v>
      </c>
      <c r="BQ76" s="21">
        <f t="shared" ref="BQ76:BQ92" si="302">IFERROR(EC76/EL76,0)</f>
        <v>6.8965517241379309E-2</v>
      </c>
      <c r="BR76" s="5">
        <f t="shared" ref="BR76:BR92" si="303">IFERROR((AQ76-EC76),0)</f>
        <v>-0.41999999999999993</v>
      </c>
      <c r="BS76" s="5">
        <f t="shared" ref="BS76:BS92" si="304">IFERROR(AQ76/EL76,0)</f>
        <v>5.4482758620689659E-2</v>
      </c>
      <c r="BT76" s="24">
        <f t="shared" ref="BT76:BT92" si="305">IFERROR(DY76/EL76,0)</f>
        <v>101.31034482758621</v>
      </c>
      <c r="BU76" s="5">
        <f t="shared" ref="BU76:BU92" si="306">IFERROR(DY76/((ED76-EZ76)+EP76+EL76),0)</f>
        <v>37.189873417721522</v>
      </c>
      <c r="BV76" s="5">
        <f t="shared" ref="BV76:BV92" si="307">IFERROR(EB76-AN76,0)</f>
        <v>0.26999999999999957</v>
      </c>
      <c r="BW76" s="5">
        <f t="shared" ref="BW76:BW92" si="308">IFERROR(BV76-(FA76*0.79),0)</f>
        <v>-2.1000000000000005</v>
      </c>
      <c r="BX76" s="6">
        <f t="shared" ref="BX76:BX92" si="309">IFERROR(EO76-EZ76,0)</f>
        <v>98</v>
      </c>
      <c r="BY76" s="5">
        <f t="shared" ref="BY76:BY92" si="310">IFERROR(BX76/L76,0)</f>
        <v>3.0020422055820286</v>
      </c>
      <c r="BZ76" s="6">
        <f t="shared" ref="BZ76:BZ92" si="311">EO76-EP76</f>
        <v>51</v>
      </c>
      <c r="CA76" s="5">
        <f t="shared" ref="CA76:CA92" si="312">BZ76/L76</f>
        <v>1.562287270251872</v>
      </c>
      <c r="CB76" s="6">
        <f t="shared" ref="CB76:CB92" si="313">IFERROR(EP76,0)</f>
        <v>51</v>
      </c>
      <c r="CC76" s="5">
        <f t="shared" ref="CC76:CC92" si="314">CB76/L76</f>
        <v>1.562287270251872</v>
      </c>
      <c r="CD76" s="5">
        <f t="shared" ref="CD76:CD92" si="315">IFERROR((EP76-FA76)/L76,0)</f>
        <v>1.4703880190605854</v>
      </c>
      <c r="CE76" s="21">
        <f t="shared" ref="CE76:CE92" si="316">IFERROR(((EP76-FA76)/(EO76-EZ76)),0)</f>
        <v>0.48979591836734693</v>
      </c>
      <c r="CF76" s="5">
        <f t="shared" ref="CF76:CF92" si="317">IFERROR(BX76/(EB76-FA76),50)</f>
        <v>9.8000000000000007</v>
      </c>
      <c r="CG76" s="5">
        <f t="shared" ref="CG76:CG92" si="318">IFERROR(EP76/EB76,50)</f>
        <v>3.9230769230769229</v>
      </c>
      <c r="CH76" s="21">
        <f t="shared" ref="CH76:CH92" si="319">IFERROR(AI76/BX76,0)</f>
        <v>0.10204081632653061</v>
      </c>
      <c r="CI76" s="298">
        <f t="shared" ref="CI76:CI92" si="320">EB76-EW76-EZ76</f>
        <v>3</v>
      </c>
      <c r="CJ76" s="298">
        <f t="shared" ref="CJ76:CJ92" si="321">EW76</f>
        <v>6</v>
      </c>
      <c r="CK76" s="298">
        <f t="shared" ref="CK76:CK92" si="322">EZ76</f>
        <v>4</v>
      </c>
      <c r="CL76" s="21">
        <f t="shared" ref="CL76:CL92" si="323">IFERROR((EW76/L76)/EX76,0)</f>
        <v>0.18379850238257317</v>
      </c>
      <c r="CM76" s="6">
        <f t="shared" ref="CM76:CM92" si="324">EE76</f>
        <v>16.2</v>
      </c>
      <c r="CN76" s="5">
        <f t="shared" ref="CN76:CN92" si="325">IFERROR(CM76/L76,0)</f>
        <v>0.49625595643294756</v>
      </c>
      <c r="CO76" s="167">
        <f t="shared" ref="CO76:CO92" si="326">IFERROR(ES76+EO76+EN76+EL76,0)</f>
        <v>175</v>
      </c>
      <c r="CP76" s="5">
        <f t="shared" ref="CP76:CP92" si="327">IFERROR(CO76/L76,0)</f>
        <v>5.3607896528250505</v>
      </c>
      <c r="CQ76" s="6">
        <f t="shared" ref="CQ76:CQ92" si="328">IFERROR(ET76+EP76+EN76+EL76,0)</f>
        <v>119</v>
      </c>
      <c r="CR76" s="5">
        <f t="shared" ref="CR76:CR92" si="329">IFERROR(CQ76/L76,0)</f>
        <v>3.6453369639210345</v>
      </c>
      <c r="CS76" s="21">
        <f t="shared" ref="CS76:CS92" si="330">IFERROR(CQ76/CO76,0)</f>
        <v>0.68</v>
      </c>
      <c r="CT76" s="6">
        <f t="shared" ref="CT76:CT92" si="331">IFERROR(EP76+AQ76+(ED76-EZ76)+EL76+EW76+ET76+(EB76*0.5)+(EC76*0.5),0)</f>
        <v>98.08</v>
      </c>
      <c r="CU76" s="5">
        <f t="shared" ref="CU76:CU92" si="332">IFERROR(CT76/L76,0)</f>
        <v>3.0044928522804626</v>
      </c>
      <c r="CV76" s="6">
        <f t="shared" ref="CV76:CV92" si="333">IFERROR((EL76+(ED76-EZ76)+AQ76)+(EB76*0.75)+(EC76*0.75)+EP76+ET76,0)</f>
        <v>95.83</v>
      </c>
      <c r="CW76" s="5">
        <f t="shared" ref="CW76:CW92" si="334">IFERROR(CV76/L76,0)</f>
        <v>2.935568413886998</v>
      </c>
      <c r="CX76" s="385">
        <f t="shared" ref="CX76:CX92" si="335">(((ED76/DY76)*90)*5)+(((AR76*4.5)+(((AN76/DY76)*90)*3.8)+(((EL76/DY76)*90)*2.5)+(((ET76/DY76)*90)*1.8)+(((EM76/DY76)*90)*2.2)+(((EB76/DY76)*90)*2)+(((EC76/DY76)*90)*2.5)))</f>
        <v>6.5611164057181757</v>
      </c>
      <c r="CY76" s="5">
        <f t="shared" ref="CY76:CY92" si="336">IFERROR((EJ76+EN76+ET76+EV76+EY76+FA76+ER76+EO76+ED76+EL76+EM76)/L76,0)</f>
        <v>30.602450646698433</v>
      </c>
      <c r="CZ76" s="5">
        <f t="shared" ref="CZ76:CZ92" si="337">IFERROR((EK76+EL76+ED76+EM76)/L76,0)</f>
        <v>23.403675970047651</v>
      </c>
      <c r="DA76" s="6">
        <f t="shared" ref="DA76:DA92" si="338">IFERROR((EL76+EM76),0)</f>
        <v>44</v>
      </c>
      <c r="DB76" s="5">
        <f t="shared" ref="DB76:DB92" si="339">IFERROR(DA76/L76,0)</f>
        <v>1.34785568413887</v>
      </c>
      <c r="DC76" s="6">
        <f t="shared" ref="DC76:DC92" si="340">IFERROR(EN76+EO76+EL76+(ED76-EZ76)+EM76+ES76,0)</f>
        <v>189</v>
      </c>
      <c r="DD76" s="5">
        <f t="shared" ref="DD76:DD92" si="341">IFERROR(DC76/L76,0)</f>
        <v>5.7896528250510553</v>
      </c>
      <c r="DE76" s="6">
        <f t="shared" ref="DE76:DE92" si="342">IFERROR(EL76+ED76+EO76,0)</f>
        <v>134</v>
      </c>
      <c r="DF76" s="5">
        <f t="shared" ref="DF76:DF92" si="343">IFERROR(DE76/L76,0)</f>
        <v>4.1048332198774675</v>
      </c>
      <c r="DG76" s="6">
        <f t="shared" ref="DG76:DG92" si="344">(EO76-EP76)+(EJ76-EK76)+(ES76-ET76)</f>
        <v>126</v>
      </c>
      <c r="DH76" s="5">
        <f t="shared" ref="DH76:DH92" si="345">IFERROR(DG76/L76,0)</f>
        <v>3.8597685500340364</v>
      </c>
      <c r="DI76" s="5">
        <f t="shared" ref="DI76:DI92" si="346">EE76</f>
        <v>16.2</v>
      </c>
      <c r="DJ76" s="5">
        <f t="shared" ref="DJ76:DJ92" si="347">VALUE(SUBSTITUTE(FC76, " km", ""))</f>
        <v>327</v>
      </c>
      <c r="DK76" s="5">
        <f t="shared" ref="DK76:DK92" si="348">IFERROR(DJ76/L76,0)</f>
        <v>10.017018379850239</v>
      </c>
      <c r="DL76" s="286">
        <f t="shared" ref="DL76:DL92" si="349">DM76*L76</f>
        <v>166.48666666666665</v>
      </c>
      <c r="DM76" s="287">
        <f t="shared" ref="DM76:DM92" si="350">FB76</f>
        <v>5.0999999999999996</v>
      </c>
      <c r="DN76" s="60">
        <f t="shared" ref="DN76:DN92" si="351">IFERROR(VALUE(SUBSTITUTE(FD76, ".", ",")),0)</f>
        <v>6.9</v>
      </c>
      <c r="DO76"/>
      <c r="DP76" t="s">
        <v>1586</v>
      </c>
      <c r="DQ76" t="s">
        <v>1593</v>
      </c>
      <c r="DR76">
        <v>30</v>
      </c>
      <c r="DS76" t="s">
        <v>1594</v>
      </c>
      <c r="DT76" t="s">
        <v>713</v>
      </c>
      <c r="DU76" t="s">
        <v>1201</v>
      </c>
      <c r="DV76" t="s">
        <v>1202</v>
      </c>
      <c r="DW76" t="s">
        <v>1595</v>
      </c>
      <c r="DX76" s="430">
        <v>47149</v>
      </c>
      <c r="DY76">
        <v>2938</v>
      </c>
      <c r="DZ76" t="s">
        <v>1596</v>
      </c>
      <c r="EA76">
        <v>1</v>
      </c>
      <c r="EB76">
        <v>13</v>
      </c>
      <c r="EC76">
        <v>2</v>
      </c>
      <c r="ED76">
        <v>3</v>
      </c>
      <c r="EE76">
        <v>16.2</v>
      </c>
      <c r="EF76" t="s">
        <v>1597</v>
      </c>
      <c r="EG76" t="s">
        <v>1598</v>
      </c>
      <c r="EH76">
        <v>34</v>
      </c>
      <c r="EI76">
        <v>64</v>
      </c>
      <c r="EJ76">
        <v>787</v>
      </c>
      <c r="EK76">
        <v>717</v>
      </c>
      <c r="EL76">
        <v>29</v>
      </c>
      <c r="EM76">
        <v>15</v>
      </c>
      <c r="EN76">
        <v>35</v>
      </c>
      <c r="EO76">
        <v>102</v>
      </c>
      <c r="EP76">
        <v>51</v>
      </c>
      <c r="EQ76">
        <v>50</v>
      </c>
      <c r="ER76">
        <v>14</v>
      </c>
      <c r="ES76">
        <v>9</v>
      </c>
      <c r="ET76">
        <v>4</v>
      </c>
      <c r="EU76">
        <v>9</v>
      </c>
      <c r="EV76">
        <v>4</v>
      </c>
      <c r="EW76">
        <v>6</v>
      </c>
      <c r="EX76">
        <v>1</v>
      </c>
      <c r="EY76">
        <v>3</v>
      </c>
      <c r="EZ76">
        <v>4</v>
      </c>
      <c r="FA76">
        <v>3</v>
      </c>
      <c r="FB76">
        <v>5.0999999999999996</v>
      </c>
      <c r="FC76" t="s">
        <v>1599</v>
      </c>
      <c r="FD76">
        <v>6.9</v>
      </c>
    </row>
    <row r="77" spans="1:160" ht="24.95" customHeight="1" thickBot="1" x14ac:dyDescent="0.3">
      <c r="A77" s="29" t="str">
        <f t="shared" si="234"/>
        <v>76º</v>
      </c>
      <c r="B77" s="67" t="str">
        <f t="shared" si="236"/>
        <v>Carmelo Algarañaz</v>
      </c>
      <c r="C77" s="83" t="str">
        <f t="shared" si="237"/>
        <v>BOL</v>
      </c>
      <c r="D77" s="9" t="str">
        <f t="shared" si="238"/>
        <v>The Strongest</v>
      </c>
      <c r="E77" s="91" t="str">
        <f t="shared" si="239"/>
        <v>Pé Preferido Desconhecido</v>
      </c>
      <c r="F77" s="155">
        <f t="shared" si="240"/>
        <v>1.78</v>
      </c>
      <c r="G77" s="35">
        <f t="shared" si="241"/>
        <v>46568</v>
      </c>
      <c r="H77" s="7">
        <f t="shared" si="242"/>
        <v>30</v>
      </c>
      <c r="I77" s="299" t="str">
        <f t="shared" si="243"/>
        <v>5,5m € - 9,25m € p/m</v>
      </c>
      <c r="J77" s="3" t="str">
        <f t="shared" si="244"/>
        <v>Desconhecido</v>
      </c>
      <c r="K77" s="89">
        <f t="shared" si="235"/>
        <v>31.398046398046404</v>
      </c>
      <c r="L77" s="133">
        <f t="shared" si="245"/>
        <v>33.322222222222223</v>
      </c>
      <c r="M77" s="134">
        <f t="shared" si="246"/>
        <v>46</v>
      </c>
      <c r="N77" s="134">
        <f t="shared" si="247"/>
        <v>65.195652173913047</v>
      </c>
      <c r="O77" s="173">
        <f t="shared" si="248"/>
        <v>0.87</v>
      </c>
      <c r="P77" s="402">
        <f t="shared" si="249"/>
        <v>15</v>
      </c>
      <c r="Q77" s="402">
        <f t="shared" si="250"/>
        <v>6</v>
      </c>
      <c r="R77" s="402">
        <f t="shared" si="251"/>
        <v>21</v>
      </c>
      <c r="S77" s="6">
        <f t="shared" si="252"/>
        <v>4</v>
      </c>
      <c r="T77" s="24">
        <f t="shared" si="253"/>
        <v>749.75</v>
      </c>
      <c r="U77" s="21">
        <f t="shared" si="254"/>
        <v>0.12004001333777926</v>
      </c>
      <c r="V77" s="298">
        <f t="shared" si="255"/>
        <v>0</v>
      </c>
      <c r="W77" s="300">
        <f t="shared" si="256"/>
        <v>0</v>
      </c>
      <c r="X77" s="298">
        <f t="shared" si="257"/>
        <v>0</v>
      </c>
      <c r="Y77" s="300">
        <f t="shared" si="258"/>
        <v>0</v>
      </c>
      <c r="Z77" s="290">
        <f t="shared" si="259"/>
        <v>0</v>
      </c>
      <c r="AA77" s="298">
        <f t="shared" si="260"/>
        <v>5</v>
      </c>
      <c r="AB77" s="286">
        <f t="shared" si="261"/>
        <v>3</v>
      </c>
      <c r="AC77" s="286">
        <f t="shared" si="262"/>
        <v>1</v>
      </c>
      <c r="AD77" s="286">
        <f t="shared" si="263"/>
        <v>2</v>
      </c>
      <c r="AE77" s="21">
        <f t="shared" si="264"/>
        <v>0.33333333333333331</v>
      </c>
      <c r="AF77" s="421">
        <f t="shared" si="265"/>
        <v>15</v>
      </c>
      <c r="AG77" s="421">
        <f t="shared" si="266"/>
        <v>6</v>
      </c>
      <c r="AH77" s="421">
        <f t="shared" si="267"/>
        <v>21</v>
      </c>
      <c r="AI77" s="421">
        <f t="shared" si="268"/>
        <v>14</v>
      </c>
      <c r="AJ77" s="420">
        <f t="shared" si="269"/>
        <v>6</v>
      </c>
      <c r="AK77" s="422">
        <f t="shared" si="270"/>
        <v>0.45015005001667224</v>
      </c>
      <c r="AL77" s="422">
        <f t="shared" si="271"/>
        <v>0.18006002000666887</v>
      </c>
      <c r="AM77" s="422">
        <f t="shared" si="272"/>
        <v>0.63021007002334106</v>
      </c>
      <c r="AN77" s="5">
        <f t="shared" si="273"/>
        <v>10.74</v>
      </c>
      <c r="AO77" s="5">
        <f t="shared" si="274"/>
        <v>8.370000000000001</v>
      </c>
      <c r="AP77" s="5">
        <f t="shared" si="275"/>
        <v>0.2511837279093031</v>
      </c>
      <c r="AQ77" s="5">
        <f t="shared" si="276"/>
        <v>7.18</v>
      </c>
      <c r="AR77" s="5">
        <f t="shared" si="277"/>
        <v>0.21547182394131376</v>
      </c>
      <c r="AS77" s="5">
        <f t="shared" si="278"/>
        <v>15.55</v>
      </c>
      <c r="AT77" s="5">
        <f t="shared" si="279"/>
        <v>0.46665555185061691</v>
      </c>
      <c r="AU77" s="21">
        <f t="shared" si="280"/>
        <v>0.54476479514415777</v>
      </c>
      <c r="AV77" s="21">
        <f t="shared" si="281"/>
        <v>0.58275058275058267</v>
      </c>
      <c r="AW77" s="6">
        <f t="shared" si="282"/>
        <v>16</v>
      </c>
      <c r="AX77" s="6">
        <f t="shared" si="283"/>
        <v>6</v>
      </c>
      <c r="AY77" s="21">
        <f t="shared" si="284"/>
        <v>0.375</v>
      </c>
      <c r="AZ77" s="304">
        <f t="shared" si="285"/>
        <v>22</v>
      </c>
      <c r="BA77" s="305">
        <f t="shared" si="286"/>
        <v>0.66022007335778587</v>
      </c>
      <c r="BB77" s="413">
        <f t="shared" si="287"/>
        <v>22.917000000000002</v>
      </c>
      <c r="BC77" s="413">
        <f t="shared" si="288"/>
        <v>0.68773924641547191</v>
      </c>
      <c r="BD77" s="6">
        <f t="shared" si="289"/>
        <v>819</v>
      </c>
      <c r="BE77" s="5">
        <f t="shared" si="290"/>
        <v>24.578192730910303</v>
      </c>
      <c r="BF77" s="6">
        <f t="shared" si="291"/>
        <v>729</v>
      </c>
      <c r="BG77" s="5">
        <f t="shared" si="292"/>
        <v>21.877292430810268</v>
      </c>
      <c r="BH77" s="21">
        <f t="shared" si="293"/>
        <v>0.89010989010989006</v>
      </c>
      <c r="BI77" s="417">
        <f t="shared" si="294"/>
        <v>90</v>
      </c>
      <c r="BJ77" s="418">
        <f t="shared" si="295"/>
        <v>2.7009003001000331</v>
      </c>
      <c r="BK77" s="195">
        <f t="shared" si="296"/>
        <v>29</v>
      </c>
      <c r="BL77" s="5">
        <f t="shared" si="297"/>
        <v>0.87029009669889956</v>
      </c>
      <c r="BM77" s="21">
        <f t="shared" si="298"/>
        <v>3.5409035409035408E-2</v>
      </c>
      <c r="BN77" s="195">
        <f t="shared" si="299"/>
        <v>69</v>
      </c>
      <c r="BO77" s="185">
        <f t="shared" si="300"/>
        <v>2.0706902300766923</v>
      </c>
      <c r="BP77" s="5">
        <f t="shared" si="301"/>
        <v>11.5</v>
      </c>
      <c r="BQ77" s="21">
        <f t="shared" si="302"/>
        <v>8.6956521739130432E-2</v>
      </c>
      <c r="BR77" s="5">
        <f t="shared" si="303"/>
        <v>1.1799999999999997</v>
      </c>
      <c r="BS77" s="5">
        <f t="shared" si="304"/>
        <v>0.10405797101449275</v>
      </c>
      <c r="BT77" s="24">
        <f t="shared" si="305"/>
        <v>43.463768115942031</v>
      </c>
      <c r="BU77" s="5">
        <f t="shared" si="306"/>
        <v>23.069230769230771</v>
      </c>
      <c r="BV77" s="5">
        <f t="shared" si="307"/>
        <v>4.26</v>
      </c>
      <c r="BW77" s="5">
        <f t="shared" si="308"/>
        <v>3.4699999999999998</v>
      </c>
      <c r="BX77" s="6">
        <f t="shared" si="309"/>
        <v>102</v>
      </c>
      <c r="BY77" s="5">
        <f t="shared" si="310"/>
        <v>3.0610203401133709</v>
      </c>
      <c r="BZ77" s="6">
        <f t="shared" si="311"/>
        <v>54</v>
      </c>
      <c r="CA77" s="5">
        <f t="shared" si="312"/>
        <v>1.6205401800600199</v>
      </c>
      <c r="CB77" s="6">
        <f t="shared" si="313"/>
        <v>51</v>
      </c>
      <c r="CC77" s="5">
        <f t="shared" si="314"/>
        <v>1.5305101700566854</v>
      </c>
      <c r="CD77" s="5">
        <f t="shared" si="315"/>
        <v>1.5005001667222406</v>
      </c>
      <c r="CE77" s="21">
        <f t="shared" si="316"/>
        <v>0.49019607843137253</v>
      </c>
      <c r="CF77" s="5">
        <f t="shared" si="317"/>
        <v>7.2857142857142856</v>
      </c>
      <c r="CG77" s="5">
        <f t="shared" si="318"/>
        <v>3.4</v>
      </c>
      <c r="CH77" s="21">
        <f t="shared" si="319"/>
        <v>0.13725490196078433</v>
      </c>
      <c r="CI77" s="298">
        <f t="shared" si="320"/>
        <v>6</v>
      </c>
      <c r="CJ77" s="298">
        <f t="shared" si="321"/>
        <v>6</v>
      </c>
      <c r="CK77" s="298">
        <f t="shared" si="322"/>
        <v>3</v>
      </c>
      <c r="CL77" s="21">
        <f t="shared" si="323"/>
        <v>0.16369092727878987</v>
      </c>
      <c r="CM77" s="6">
        <f t="shared" si="324"/>
        <v>17.8</v>
      </c>
      <c r="CN77" s="5">
        <f t="shared" si="325"/>
        <v>0.53417805935311768</v>
      </c>
      <c r="CO77" s="167">
        <f t="shared" si="326"/>
        <v>212</v>
      </c>
      <c r="CP77" s="5">
        <f t="shared" si="327"/>
        <v>6.3621207069023002</v>
      </c>
      <c r="CQ77" s="6">
        <f t="shared" si="328"/>
        <v>148</v>
      </c>
      <c r="CR77" s="5">
        <f t="shared" si="329"/>
        <v>4.4414804934978322</v>
      </c>
      <c r="CS77" s="21">
        <f t="shared" si="330"/>
        <v>0.69811320754716977</v>
      </c>
      <c r="CT77" s="6">
        <f t="shared" si="331"/>
        <v>159.68</v>
      </c>
      <c r="CU77" s="5">
        <f t="shared" si="332"/>
        <v>4.7919973324441481</v>
      </c>
      <c r="CV77" s="6">
        <f t="shared" si="333"/>
        <v>158.93</v>
      </c>
      <c r="CW77" s="5">
        <f t="shared" si="334"/>
        <v>4.7694898299433142</v>
      </c>
      <c r="CX77" s="385">
        <f t="shared" si="335"/>
        <v>12.910963654551518</v>
      </c>
      <c r="CY77" s="5">
        <f t="shared" si="336"/>
        <v>32.860953651217073</v>
      </c>
      <c r="CZ77" s="5">
        <f t="shared" si="337"/>
        <v>25.208402800933644</v>
      </c>
      <c r="DA77" s="6">
        <f t="shared" si="338"/>
        <v>98</v>
      </c>
      <c r="DB77" s="5">
        <f t="shared" si="339"/>
        <v>2.9409803267755916</v>
      </c>
      <c r="DC77" s="6">
        <f t="shared" si="340"/>
        <v>251</v>
      </c>
      <c r="DD77" s="5">
        <f t="shared" si="341"/>
        <v>7.5325108369456482</v>
      </c>
      <c r="DE77" s="6">
        <f t="shared" si="342"/>
        <v>187</v>
      </c>
      <c r="DF77" s="5">
        <f t="shared" si="343"/>
        <v>5.6118706235411802</v>
      </c>
      <c r="DG77" s="6">
        <f t="shared" si="344"/>
        <v>154</v>
      </c>
      <c r="DH77" s="5">
        <f t="shared" si="345"/>
        <v>4.6215405135045016</v>
      </c>
      <c r="DI77" s="5">
        <f t="shared" si="346"/>
        <v>17.8</v>
      </c>
      <c r="DJ77" s="5">
        <f t="shared" si="347"/>
        <v>341.8</v>
      </c>
      <c r="DK77" s="5">
        <f t="shared" si="348"/>
        <v>10.257419139713237</v>
      </c>
      <c r="DL77" s="286">
        <f t="shared" si="349"/>
        <v>183.27222222222224</v>
      </c>
      <c r="DM77" s="287">
        <f t="shared" si="350"/>
        <v>5.5</v>
      </c>
      <c r="DN77" s="60">
        <f t="shared" si="351"/>
        <v>6.9</v>
      </c>
      <c r="DO77"/>
      <c r="DP77" t="s">
        <v>1600</v>
      </c>
      <c r="DQ77" t="s">
        <v>1601</v>
      </c>
      <c r="DR77">
        <v>30</v>
      </c>
      <c r="DS77" t="s">
        <v>1602</v>
      </c>
      <c r="DT77" t="s">
        <v>524</v>
      </c>
      <c r="DU77" t="s">
        <v>1201</v>
      </c>
      <c r="DV77" t="s">
        <v>1202</v>
      </c>
      <c r="DW77" t="s">
        <v>1603</v>
      </c>
      <c r="DX77" s="430">
        <v>46568</v>
      </c>
      <c r="DY77">
        <v>2999</v>
      </c>
      <c r="DZ77" t="s">
        <v>1604</v>
      </c>
      <c r="EA77">
        <v>4</v>
      </c>
      <c r="EB77">
        <v>15</v>
      </c>
      <c r="EC77">
        <v>6</v>
      </c>
      <c r="ED77">
        <v>13</v>
      </c>
      <c r="EE77">
        <v>17.8</v>
      </c>
      <c r="EF77" t="s">
        <v>1605</v>
      </c>
      <c r="EG77" t="s">
        <v>1606</v>
      </c>
      <c r="EH77">
        <v>27</v>
      </c>
      <c r="EI77">
        <v>64</v>
      </c>
      <c r="EJ77">
        <v>819</v>
      </c>
      <c r="EK77">
        <v>729</v>
      </c>
      <c r="EL77">
        <v>69</v>
      </c>
      <c r="EM77">
        <v>29</v>
      </c>
      <c r="EN77">
        <v>22</v>
      </c>
      <c r="EO77">
        <v>105</v>
      </c>
      <c r="EP77">
        <v>51</v>
      </c>
      <c r="EQ77">
        <v>56</v>
      </c>
      <c r="ER77">
        <v>20</v>
      </c>
      <c r="ES77">
        <v>16</v>
      </c>
      <c r="ET77">
        <v>6</v>
      </c>
      <c r="EU77">
        <v>16</v>
      </c>
      <c r="EV77">
        <v>6</v>
      </c>
      <c r="EW77">
        <v>6</v>
      </c>
      <c r="EX77">
        <v>1.1000000000000001</v>
      </c>
      <c r="EY77">
        <v>5</v>
      </c>
      <c r="EZ77">
        <v>3</v>
      </c>
      <c r="FA77">
        <v>1</v>
      </c>
      <c r="FB77">
        <v>5.5</v>
      </c>
      <c r="FC77" t="s">
        <v>1607</v>
      </c>
      <c r="FD77">
        <v>6.9</v>
      </c>
    </row>
    <row r="78" spans="1:160" ht="24.95" customHeight="1" thickBot="1" x14ac:dyDescent="0.3">
      <c r="A78" s="29" t="str">
        <f t="shared" si="234"/>
        <v>77º</v>
      </c>
      <c r="B78" s="67" t="str">
        <f t="shared" si="236"/>
        <v>Bryan Angulo</v>
      </c>
      <c r="C78" s="83" t="str">
        <f t="shared" si="237"/>
        <v>ECU</v>
      </c>
      <c r="D78" s="9" t="str">
        <f t="shared" si="238"/>
        <v>Deportivo Moquegua</v>
      </c>
      <c r="E78" s="91" t="str">
        <f t="shared" si="239"/>
        <v>Pé Preferido Desconhecido</v>
      </c>
      <c r="F78" s="155">
        <f t="shared" si="240"/>
        <v>1.83</v>
      </c>
      <c r="G78" s="35">
        <f t="shared" si="241"/>
        <v>46387</v>
      </c>
      <c r="H78" s="7">
        <f t="shared" si="242"/>
        <v>31</v>
      </c>
      <c r="I78" s="299" t="str">
        <f t="shared" si="243"/>
        <v>6,25m € - 9m € p/m</v>
      </c>
      <c r="J78" s="3" t="str">
        <f t="shared" si="244"/>
        <v>Desconhecido</v>
      </c>
      <c r="K78" s="89">
        <f t="shared" si="235"/>
        <v>31.398046398046404</v>
      </c>
      <c r="L78" s="133">
        <f t="shared" si="245"/>
        <v>22.855555555555554</v>
      </c>
      <c r="M78" s="134">
        <f t="shared" si="246"/>
        <v>34</v>
      </c>
      <c r="N78" s="134">
        <f t="shared" si="247"/>
        <v>60.5</v>
      </c>
      <c r="O78" s="173">
        <f t="shared" si="248"/>
        <v>1</v>
      </c>
      <c r="P78" s="402">
        <f t="shared" si="249"/>
        <v>9</v>
      </c>
      <c r="Q78" s="402">
        <f t="shared" si="250"/>
        <v>2</v>
      </c>
      <c r="R78" s="402">
        <f t="shared" si="251"/>
        <v>11</v>
      </c>
      <c r="S78" s="6">
        <f t="shared" si="252"/>
        <v>1</v>
      </c>
      <c r="T78" s="24">
        <f t="shared" si="253"/>
        <v>2057</v>
      </c>
      <c r="U78" s="21">
        <f t="shared" si="254"/>
        <v>4.3753038405444825E-2</v>
      </c>
      <c r="V78" s="298">
        <f t="shared" si="255"/>
        <v>0</v>
      </c>
      <c r="W78" s="300">
        <f t="shared" si="256"/>
        <v>0</v>
      </c>
      <c r="X78" s="298">
        <f t="shared" si="257"/>
        <v>0</v>
      </c>
      <c r="Y78" s="300">
        <f t="shared" si="258"/>
        <v>0</v>
      </c>
      <c r="Z78" s="290">
        <f t="shared" si="259"/>
        <v>0</v>
      </c>
      <c r="AA78" s="298">
        <f t="shared" si="260"/>
        <v>4</v>
      </c>
      <c r="AB78" s="286">
        <f t="shared" si="261"/>
        <v>0</v>
      </c>
      <c r="AC78" s="286">
        <f t="shared" si="262"/>
        <v>0</v>
      </c>
      <c r="AD78" s="286">
        <f t="shared" si="263"/>
        <v>0</v>
      </c>
      <c r="AE78" s="21">
        <f t="shared" si="264"/>
        <v>9.9999999999999995E-8</v>
      </c>
      <c r="AF78" s="421">
        <f t="shared" si="265"/>
        <v>9</v>
      </c>
      <c r="AG78" s="421">
        <f t="shared" si="266"/>
        <v>2</v>
      </c>
      <c r="AH78" s="421">
        <f t="shared" si="267"/>
        <v>11</v>
      </c>
      <c r="AI78" s="421">
        <f t="shared" si="268"/>
        <v>9</v>
      </c>
      <c r="AJ78" s="420">
        <f t="shared" si="269"/>
        <v>0</v>
      </c>
      <c r="AK78" s="422">
        <f t="shared" si="270"/>
        <v>0.39377734564900341</v>
      </c>
      <c r="AL78" s="422">
        <f t="shared" si="271"/>
        <v>8.7506076810889649E-2</v>
      </c>
      <c r="AM78" s="422">
        <f t="shared" si="272"/>
        <v>0.48128342245989308</v>
      </c>
      <c r="AN78" s="5">
        <f t="shared" si="273"/>
        <v>7.37</v>
      </c>
      <c r="AO78" s="5">
        <f t="shared" si="274"/>
        <v>7.37</v>
      </c>
      <c r="AP78" s="5">
        <f t="shared" si="275"/>
        <v>0.32245989304812839</v>
      </c>
      <c r="AQ78" s="5">
        <f t="shared" si="276"/>
        <v>2.1800000000000002</v>
      </c>
      <c r="AR78" s="5">
        <f t="shared" si="277"/>
        <v>9.5381623723869727E-2</v>
      </c>
      <c r="AS78" s="5">
        <f t="shared" si="278"/>
        <v>9.5500000000000007</v>
      </c>
      <c r="AT78" s="5">
        <f t="shared" si="279"/>
        <v>0.4178415167719981</v>
      </c>
      <c r="AU78" s="21">
        <f t="shared" si="280"/>
        <v>0.52153110047846896</v>
      </c>
      <c r="AV78" s="21">
        <f t="shared" si="281"/>
        <v>0.54978619425778863</v>
      </c>
      <c r="AW78" s="6">
        <f t="shared" si="282"/>
        <v>9</v>
      </c>
      <c r="AX78" s="6">
        <f t="shared" si="283"/>
        <v>0</v>
      </c>
      <c r="AY78" s="21">
        <f t="shared" si="284"/>
        <v>0</v>
      </c>
      <c r="AZ78" s="304">
        <f t="shared" si="285"/>
        <v>16</v>
      </c>
      <c r="BA78" s="305">
        <f t="shared" si="286"/>
        <v>0.70004861448711719</v>
      </c>
      <c r="BB78" s="413">
        <f t="shared" si="287"/>
        <v>10.742000000000001</v>
      </c>
      <c r="BC78" s="413">
        <f t="shared" si="288"/>
        <v>0.46999513855128838</v>
      </c>
      <c r="BD78" s="6">
        <f t="shared" si="289"/>
        <v>581</v>
      </c>
      <c r="BE78" s="5">
        <f t="shared" si="290"/>
        <v>25.420515313563442</v>
      </c>
      <c r="BF78" s="6">
        <f t="shared" si="291"/>
        <v>508</v>
      </c>
      <c r="BG78" s="5">
        <f t="shared" si="292"/>
        <v>22.226543509965971</v>
      </c>
      <c r="BH78" s="21">
        <f t="shared" si="293"/>
        <v>0.87435456110154908</v>
      </c>
      <c r="BI78" s="417">
        <f t="shared" si="294"/>
        <v>73</v>
      </c>
      <c r="BJ78" s="418">
        <f t="shared" si="295"/>
        <v>3.193971803597472</v>
      </c>
      <c r="BK78" s="195">
        <f t="shared" si="296"/>
        <v>23</v>
      </c>
      <c r="BL78" s="5">
        <f t="shared" si="297"/>
        <v>1.0063198833252309</v>
      </c>
      <c r="BM78" s="21">
        <f t="shared" si="298"/>
        <v>3.9586919104991396E-2</v>
      </c>
      <c r="BN78" s="195">
        <f t="shared" si="299"/>
        <v>25</v>
      </c>
      <c r="BO78" s="185">
        <f t="shared" si="300"/>
        <v>1.0938259601361207</v>
      </c>
      <c r="BP78" s="5">
        <f t="shared" si="301"/>
        <v>12.5</v>
      </c>
      <c r="BQ78" s="21">
        <f t="shared" si="302"/>
        <v>0.08</v>
      </c>
      <c r="BR78" s="5">
        <f t="shared" si="303"/>
        <v>0.18000000000000016</v>
      </c>
      <c r="BS78" s="5">
        <f t="shared" si="304"/>
        <v>8.72E-2</v>
      </c>
      <c r="BT78" s="24">
        <f t="shared" si="305"/>
        <v>82.28</v>
      </c>
      <c r="BU78" s="5">
        <f t="shared" si="306"/>
        <v>31.646153846153847</v>
      </c>
      <c r="BV78" s="5">
        <f t="shared" si="307"/>
        <v>1.63</v>
      </c>
      <c r="BW78" s="5">
        <f t="shared" si="308"/>
        <v>1.63</v>
      </c>
      <c r="BX78" s="6">
        <f t="shared" si="309"/>
        <v>67</v>
      </c>
      <c r="BY78" s="5">
        <f t="shared" si="310"/>
        <v>2.9314535731648035</v>
      </c>
      <c r="BZ78" s="6">
        <f t="shared" si="311"/>
        <v>32</v>
      </c>
      <c r="CA78" s="5">
        <f t="shared" si="312"/>
        <v>1.4000972289742344</v>
      </c>
      <c r="CB78" s="6">
        <f t="shared" si="313"/>
        <v>35</v>
      </c>
      <c r="CC78" s="5">
        <f t="shared" si="314"/>
        <v>1.5313563441905689</v>
      </c>
      <c r="CD78" s="5">
        <f t="shared" si="315"/>
        <v>1.5313563441905689</v>
      </c>
      <c r="CE78" s="21">
        <f t="shared" si="316"/>
        <v>0.52238805970149249</v>
      </c>
      <c r="CF78" s="5">
        <f t="shared" si="317"/>
        <v>7.4444444444444446</v>
      </c>
      <c r="CG78" s="5">
        <f t="shared" si="318"/>
        <v>3.8888888888888888</v>
      </c>
      <c r="CH78" s="21">
        <f t="shared" si="319"/>
        <v>0.13432835820895522</v>
      </c>
      <c r="CI78" s="298">
        <f t="shared" si="320"/>
        <v>9</v>
      </c>
      <c r="CJ78" s="298">
        <f t="shared" si="321"/>
        <v>0</v>
      </c>
      <c r="CK78" s="298">
        <f t="shared" si="322"/>
        <v>0</v>
      </c>
      <c r="CL78" s="21">
        <f t="shared" si="323"/>
        <v>0</v>
      </c>
      <c r="CM78" s="6">
        <f t="shared" si="324"/>
        <v>17.3</v>
      </c>
      <c r="CN78" s="5">
        <f t="shared" si="325"/>
        <v>0.75692756441419551</v>
      </c>
      <c r="CO78" s="167">
        <f t="shared" si="326"/>
        <v>117</v>
      </c>
      <c r="CP78" s="5">
        <f t="shared" si="327"/>
        <v>5.1191054934370444</v>
      </c>
      <c r="CQ78" s="6">
        <f t="shared" si="328"/>
        <v>76</v>
      </c>
      <c r="CR78" s="5">
        <f t="shared" si="329"/>
        <v>3.3252309188138067</v>
      </c>
      <c r="CS78" s="21">
        <f t="shared" si="330"/>
        <v>0.6495726495726496</v>
      </c>
      <c r="CT78" s="6">
        <f t="shared" si="331"/>
        <v>72.680000000000007</v>
      </c>
      <c r="CU78" s="5">
        <f t="shared" si="332"/>
        <v>3.1799708313077302</v>
      </c>
      <c r="CV78" s="6">
        <f t="shared" si="333"/>
        <v>75.430000000000007</v>
      </c>
      <c r="CW78" s="5">
        <f t="shared" si="334"/>
        <v>3.3002916869227032</v>
      </c>
      <c r="CX78" s="385">
        <f t="shared" si="335"/>
        <v>8.7031793874574639</v>
      </c>
      <c r="CY78" s="5">
        <f t="shared" si="336"/>
        <v>32.20223626640739</v>
      </c>
      <c r="CZ78" s="5">
        <f t="shared" si="337"/>
        <v>24.545454545454547</v>
      </c>
      <c r="DA78" s="6">
        <f t="shared" si="338"/>
        <v>48</v>
      </c>
      <c r="DB78" s="5">
        <f t="shared" si="339"/>
        <v>2.1001458434613518</v>
      </c>
      <c r="DC78" s="6">
        <f t="shared" si="340"/>
        <v>145</v>
      </c>
      <c r="DD78" s="5">
        <f t="shared" si="341"/>
        <v>6.3441905687894993</v>
      </c>
      <c r="DE78" s="6">
        <f t="shared" si="342"/>
        <v>97</v>
      </c>
      <c r="DF78" s="5">
        <f t="shared" si="343"/>
        <v>4.2440447253281484</v>
      </c>
      <c r="DG78" s="6">
        <f t="shared" si="344"/>
        <v>114</v>
      </c>
      <c r="DH78" s="5">
        <f t="shared" si="345"/>
        <v>4.9878463782207101</v>
      </c>
      <c r="DI78" s="5">
        <f t="shared" si="346"/>
        <v>17.3</v>
      </c>
      <c r="DJ78" s="5">
        <f t="shared" si="347"/>
        <v>229.3</v>
      </c>
      <c r="DK78" s="5">
        <f t="shared" si="348"/>
        <v>10.032571706368499</v>
      </c>
      <c r="DL78" s="286">
        <f t="shared" si="349"/>
        <v>118.84888888888888</v>
      </c>
      <c r="DM78" s="287">
        <f t="shared" si="350"/>
        <v>5.2</v>
      </c>
      <c r="DN78" s="60">
        <f t="shared" si="351"/>
        <v>6.74</v>
      </c>
      <c r="DO78" t="s">
        <v>19</v>
      </c>
      <c r="DP78" t="s">
        <v>1586</v>
      </c>
      <c r="DQ78" t="s">
        <v>1608</v>
      </c>
      <c r="DR78">
        <v>31</v>
      </c>
      <c r="DS78" t="s">
        <v>1609</v>
      </c>
      <c r="DT78" t="s">
        <v>696</v>
      </c>
      <c r="DU78" t="s">
        <v>1201</v>
      </c>
      <c r="DV78" t="s">
        <v>1202</v>
      </c>
      <c r="DW78" t="s">
        <v>1610</v>
      </c>
      <c r="DX78" s="430">
        <v>46387</v>
      </c>
      <c r="DY78">
        <v>2057</v>
      </c>
      <c r="DZ78">
        <v>34</v>
      </c>
      <c r="EA78">
        <v>1</v>
      </c>
      <c r="EB78">
        <v>9</v>
      </c>
      <c r="EC78">
        <v>2</v>
      </c>
      <c r="ED78">
        <v>5</v>
      </c>
      <c r="EE78">
        <v>17.3</v>
      </c>
      <c r="EF78" t="s">
        <v>1611</v>
      </c>
      <c r="EG78" t="s">
        <v>1612</v>
      </c>
      <c r="EH78">
        <v>22</v>
      </c>
      <c r="EI78">
        <v>52</v>
      </c>
      <c r="EJ78">
        <v>581</v>
      </c>
      <c r="EK78">
        <v>508</v>
      </c>
      <c r="EL78">
        <v>25</v>
      </c>
      <c r="EM78">
        <v>23</v>
      </c>
      <c r="EN78">
        <v>16</v>
      </c>
      <c r="EO78">
        <v>67</v>
      </c>
      <c r="EP78">
        <v>35</v>
      </c>
      <c r="EQ78">
        <v>49</v>
      </c>
      <c r="ER78">
        <v>15</v>
      </c>
      <c r="ES78">
        <v>9</v>
      </c>
      <c r="ET78">
        <v>0</v>
      </c>
      <c r="EU78">
        <v>9</v>
      </c>
      <c r="EV78">
        <v>0</v>
      </c>
      <c r="EW78">
        <v>0</v>
      </c>
      <c r="EX78">
        <v>0.9</v>
      </c>
      <c r="EY78">
        <v>4</v>
      </c>
      <c r="EZ78">
        <v>0</v>
      </c>
      <c r="FA78">
        <v>0</v>
      </c>
      <c r="FB78">
        <v>5.2</v>
      </c>
      <c r="FC78" t="s">
        <v>1613</v>
      </c>
      <c r="FD78">
        <v>6.74</v>
      </c>
    </row>
    <row r="79" spans="1:160" ht="24.95" customHeight="1" thickBot="1" x14ac:dyDescent="0.3">
      <c r="A79" s="29" t="str">
        <f t="shared" si="234"/>
        <v>78º</v>
      </c>
      <c r="B79" s="67" t="str">
        <f t="shared" si="236"/>
        <v>José Angulo</v>
      </c>
      <c r="C79" s="83" t="str">
        <f t="shared" si="237"/>
        <v>ECU</v>
      </c>
      <c r="D79" s="9" t="str">
        <f t="shared" si="238"/>
        <v>Manta</v>
      </c>
      <c r="E79" s="91" t="str">
        <f t="shared" si="239"/>
        <v>Pé Preferido Desconhecido</v>
      </c>
      <c r="F79" s="155">
        <f t="shared" si="240"/>
        <v>1.81</v>
      </c>
      <c r="G79" s="35">
        <f t="shared" si="241"/>
        <v>46783</v>
      </c>
      <c r="H79" s="7">
        <f t="shared" si="242"/>
        <v>31</v>
      </c>
      <c r="I79" s="299" t="str">
        <f t="shared" si="243"/>
        <v>5m € - 8,75m € p/m</v>
      </c>
      <c r="J79" s="3" t="str">
        <f t="shared" si="244"/>
        <v>Não está à venda</v>
      </c>
      <c r="K79" s="89">
        <f t="shared" si="235"/>
        <v>31.398046398046404</v>
      </c>
      <c r="L79" s="133">
        <f t="shared" si="245"/>
        <v>23.111111111111111</v>
      </c>
      <c r="M79" s="134">
        <f t="shared" si="246"/>
        <v>34</v>
      </c>
      <c r="N79" s="134">
        <f t="shared" si="247"/>
        <v>61.176470588235297</v>
      </c>
      <c r="O79" s="173">
        <f t="shared" si="248"/>
        <v>0.91</v>
      </c>
      <c r="P79" s="402">
        <f t="shared" si="249"/>
        <v>9</v>
      </c>
      <c r="Q79" s="402">
        <f t="shared" si="250"/>
        <v>0</v>
      </c>
      <c r="R79" s="402">
        <f t="shared" si="251"/>
        <v>9</v>
      </c>
      <c r="S79" s="6">
        <f t="shared" si="252"/>
        <v>0</v>
      </c>
      <c r="T79" s="24">
        <f t="shared" si="253"/>
        <v>5000</v>
      </c>
      <c r="U79" s="21">
        <f t="shared" si="254"/>
        <v>0</v>
      </c>
      <c r="V79" s="298">
        <f t="shared" si="255"/>
        <v>0</v>
      </c>
      <c r="W79" s="300">
        <f t="shared" si="256"/>
        <v>0</v>
      </c>
      <c r="X79" s="298">
        <f t="shared" si="257"/>
        <v>0</v>
      </c>
      <c r="Y79" s="300">
        <f t="shared" si="258"/>
        <v>0</v>
      </c>
      <c r="Z79" s="290">
        <f t="shared" si="259"/>
        <v>0</v>
      </c>
      <c r="AA79" s="298">
        <f t="shared" si="260"/>
        <v>0</v>
      </c>
      <c r="AB79" s="286">
        <f t="shared" si="261"/>
        <v>2</v>
      </c>
      <c r="AC79" s="286">
        <f t="shared" si="262"/>
        <v>2</v>
      </c>
      <c r="AD79" s="286">
        <f t="shared" si="263"/>
        <v>0</v>
      </c>
      <c r="AE79" s="21">
        <f t="shared" si="264"/>
        <v>1</v>
      </c>
      <c r="AF79" s="421">
        <f t="shared" si="265"/>
        <v>9</v>
      </c>
      <c r="AG79" s="421">
        <f t="shared" si="266"/>
        <v>0</v>
      </c>
      <c r="AH79" s="421">
        <f t="shared" si="267"/>
        <v>9</v>
      </c>
      <c r="AI79" s="421">
        <f t="shared" si="268"/>
        <v>7</v>
      </c>
      <c r="AJ79" s="420">
        <f t="shared" si="269"/>
        <v>3</v>
      </c>
      <c r="AK79" s="422">
        <f t="shared" si="270"/>
        <v>0.38942307692307693</v>
      </c>
      <c r="AL79" s="422">
        <f t="shared" si="271"/>
        <v>0</v>
      </c>
      <c r="AM79" s="422">
        <f t="shared" si="272"/>
        <v>0.38942307692307693</v>
      </c>
      <c r="AN79" s="5">
        <f t="shared" si="273"/>
        <v>7.6</v>
      </c>
      <c r="AO79" s="5">
        <f t="shared" si="274"/>
        <v>6.02</v>
      </c>
      <c r="AP79" s="5">
        <f t="shared" si="275"/>
        <v>0.26048076923076924</v>
      </c>
      <c r="AQ79" s="5">
        <f t="shared" si="276"/>
        <v>2.95</v>
      </c>
      <c r="AR79" s="5">
        <f t="shared" si="277"/>
        <v>0.12764423076923079</v>
      </c>
      <c r="AS79" s="5">
        <f t="shared" si="278"/>
        <v>8.9699999999999989</v>
      </c>
      <c r="AT79" s="5">
        <f t="shared" si="279"/>
        <v>0.38812499999999994</v>
      </c>
      <c r="AU79" s="21">
        <f t="shared" si="280"/>
        <v>1</v>
      </c>
      <c r="AV79" s="21">
        <f t="shared" si="281"/>
        <v>0.54216867469879515</v>
      </c>
      <c r="AW79" s="6">
        <f t="shared" si="282"/>
        <v>10</v>
      </c>
      <c r="AX79" s="6">
        <f t="shared" si="283"/>
        <v>2</v>
      </c>
      <c r="AY79" s="21">
        <f t="shared" si="284"/>
        <v>0.2</v>
      </c>
      <c r="AZ79" s="304">
        <f t="shared" si="285"/>
        <v>21</v>
      </c>
      <c r="BA79" s="305">
        <f t="shared" si="286"/>
        <v>0.90865384615384615</v>
      </c>
      <c r="BB79" s="413">
        <f t="shared" si="287"/>
        <v>9.6225000000000005</v>
      </c>
      <c r="BC79" s="413">
        <f t="shared" si="288"/>
        <v>0.41635817307692308</v>
      </c>
      <c r="BD79" s="6">
        <f t="shared" si="289"/>
        <v>596</v>
      </c>
      <c r="BE79" s="5">
        <f t="shared" si="290"/>
        <v>25.78846153846154</v>
      </c>
      <c r="BF79" s="6">
        <f t="shared" si="291"/>
        <v>542</v>
      </c>
      <c r="BG79" s="5">
        <f t="shared" si="292"/>
        <v>23.451923076923077</v>
      </c>
      <c r="BH79" s="21">
        <f t="shared" si="293"/>
        <v>0.90939597315436238</v>
      </c>
      <c r="BI79" s="417">
        <f t="shared" si="294"/>
        <v>54</v>
      </c>
      <c r="BJ79" s="418">
        <f t="shared" si="295"/>
        <v>2.3365384615384617</v>
      </c>
      <c r="BK79" s="195">
        <f t="shared" si="296"/>
        <v>11</v>
      </c>
      <c r="BL79" s="5">
        <f t="shared" si="297"/>
        <v>0.47596153846153849</v>
      </c>
      <c r="BM79" s="21">
        <f t="shared" si="298"/>
        <v>1.8456375838926176E-2</v>
      </c>
      <c r="BN79" s="195">
        <f t="shared" si="299"/>
        <v>15</v>
      </c>
      <c r="BO79" s="185">
        <f t="shared" si="300"/>
        <v>0.64903846153846156</v>
      </c>
      <c r="BP79" s="5">
        <f t="shared" si="301"/>
        <v>25</v>
      </c>
      <c r="BQ79" s="21">
        <f t="shared" si="302"/>
        <v>0</v>
      </c>
      <c r="BR79" s="5">
        <f t="shared" si="303"/>
        <v>2.95</v>
      </c>
      <c r="BS79" s="5">
        <f t="shared" si="304"/>
        <v>0.19666666666666668</v>
      </c>
      <c r="BT79" s="24">
        <f t="shared" si="305"/>
        <v>138.66666666666666</v>
      </c>
      <c r="BU79" s="5">
        <f t="shared" si="306"/>
        <v>44.255319148936174</v>
      </c>
      <c r="BV79" s="5">
        <f t="shared" si="307"/>
        <v>1.4000000000000004</v>
      </c>
      <c r="BW79" s="5">
        <f t="shared" si="308"/>
        <v>-0.17999999999999972</v>
      </c>
      <c r="BX79" s="6">
        <f t="shared" si="309"/>
        <v>57</v>
      </c>
      <c r="BY79" s="5">
        <f t="shared" si="310"/>
        <v>2.4663461538461537</v>
      </c>
      <c r="BZ79" s="6">
        <f t="shared" si="311"/>
        <v>30</v>
      </c>
      <c r="CA79" s="5">
        <f t="shared" si="312"/>
        <v>1.2980769230769231</v>
      </c>
      <c r="CB79" s="6">
        <f t="shared" si="313"/>
        <v>29</v>
      </c>
      <c r="CC79" s="5">
        <f t="shared" si="314"/>
        <v>1.2548076923076923</v>
      </c>
      <c r="CD79" s="5">
        <f t="shared" si="315"/>
        <v>1.1682692307692308</v>
      </c>
      <c r="CE79" s="21">
        <f t="shared" si="316"/>
        <v>0.47368421052631576</v>
      </c>
      <c r="CF79" s="5">
        <f t="shared" si="317"/>
        <v>8.1428571428571423</v>
      </c>
      <c r="CG79" s="5">
        <f t="shared" si="318"/>
        <v>3.2222222222222223</v>
      </c>
      <c r="CH79" s="21">
        <f t="shared" si="319"/>
        <v>0.12280701754385964</v>
      </c>
      <c r="CI79" s="298">
        <f t="shared" si="320"/>
        <v>4</v>
      </c>
      <c r="CJ79" s="298">
        <f t="shared" si="321"/>
        <v>3</v>
      </c>
      <c r="CK79" s="298">
        <f t="shared" si="322"/>
        <v>2</v>
      </c>
      <c r="CL79" s="21">
        <f t="shared" si="323"/>
        <v>0.16225961538461539</v>
      </c>
      <c r="CM79" s="6">
        <f t="shared" si="324"/>
        <v>19.600000000000001</v>
      </c>
      <c r="CN79" s="5">
        <f t="shared" si="325"/>
        <v>0.84807692307692317</v>
      </c>
      <c r="CO79" s="167">
        <f t="shared" si="326"/>
        <v>105</v>
      </c>
      <c r="CP79" s="5">
        <f t="shared" si="327"/>
        <v>4.5432692307692308</v>
      </c>
      <c r="CQ79" s="6">
        <f t="shared" si="328"/>
        <v>67</v>
      </c>
      <c r="CR79" s="5">
        <f t="shared" si="329"/>
        <v>2.8990384615384617</v>
      </c>
      <c r="CS79" s="21">
        <f t="shared" si="330"/>
        <v>0.63809523809523805</v>
      </c>
      <c r="CT79" s="6">
        <f t="shared" si="331"/>
        <v>59.45</v>
      </c>
      <c r="CU79" s="5">
        <f t="shared" si="332"/>
        <v>2.5723557692307693</v>
      </c>
      <c r="CV79" s="6">
        <f t="shared" si="333"/>
        <v>58.7</v>
      </c>
      <c r="CW79" s="5">
        <f t="shared" si="334"/>
        <v>2.5399038461538463</v>
      </c>
      <c r="CX79" s="385">
        <f t="shared" si="335"/>
        <v>6.5100721153846157</v>
      </c>
      <c r="CY79" s="5">
        <f t="shared" si="336"/>
        <v>31.370192307692307</v>
      </c>
      <c r="CZ79" s="5">
        <f t="shared" si="337"/>
        <v>24.79326923076923</v>
      </c>
      <c r="DA79" s="6">
        <f t="shared" si="338"/>
        <v>26</v>
      </c>
      <c r="DB79" s="5">
        <f t="shared" si="339"/>
        <v>1.125</v>
      </c>
      <c r="DC79" s="6">
        <f t="shared" si="340"/>
        <v>119</v>
      </c>
      <c r="DD79" s="5">
        <f t="shared" si="341"/>
        <v>5.1490384615384617</v>
      </c>
      <c r="DE79" s="6">
        <f t="shared" si="342"/>
        <v>79</v>
      </c>
      <c r="DF79" s="5">
        <f t="shared" si="343"/>
        <v>3.4182692307692308</v>
      </c>
      <c r="DG79" s="6">
        <f t="shared" si="344"/>
        <v>92</v>
      </c>
      <c r="DH79" s="5">
        <f t="shared" si="345"/>
        <v>3.9807692307692308</v>
      </c>
      <c r="DI79" s="5">
        <f t="shared" si="346"/>
        <v>19.600000000000001</v>
      </c>
      <c r="DJ79" s="5">
        <f t="shared" si="347"/>
        <v>226.6</v>
      </c>
      <c r="DK79" s="5">
        <f t="shared" si="348"/>
        <v>9.8048076923076923</v>
      </c>
      <c r="DL79" s="286">
        <f t="shared" si="349"/>
        <v>117.86666666666666</v>
      </c>
      <c r="DM79" s="287">
        <f t="shared" si="350"/>
        <v>5.0999999999999996</v>
      </c>
      <c r="DN79" s="60">
        <f t="shared" si="351"/>
        <v>6.76</v>
      </c>
      <c r="DO79"/>
      <c r="DP79" t="s">
        <v>1586</v>
      </c>
      <c r="DQ79" t="s">
        <v>1614</v>
      </c>
      <c r="DR79">
        <v>31</v>
      </c>
      <c r="DS79" t="s">
        <v>1615</v>
      </c>
      <c r="DT79" t="s">
        <v>557</v>
      </c>
      <c r="DU79" t="s">
        <v>1201</v>
      </c>
      <c r="DV79" t="s">
        <v>394</v>
      </c>
      <c r="DW79" t="s">
        <v>1616</v>
      </c>
      <c r="DX79" s="430">
        <v>46783</v>
      </c>
      <c r="DY79">
        <v>2080</v>
      </c>
      <c r="DZ79" t="s">
        <v>1204</v>
      </c>
      <c r="EA79">
        <v>0</v>
      </c>
      <c r="EB79">
        <v>9</v>
      </c>
      <c r="EC79">
        <v>0</v>
      </c>
      <c r="ED79">
        <v>5</v>
      </c>
      <c r="EE79">
        <v>19.600000000000001</v>
      </c>
      <c r="EF79" t="s">
        <v>1617</v>
      </c>
      <c r="EG79" t="s">
        <v>1618</v>
      </c>
      <c r="EH79">
        <v>28</v>
      </c>
      <c r="EI79">
        <v>44</v>
      </c>
      <c r="EJ79">
        <v>596</v>
      </c>
      <c r="EK79">
        <v>542</v>
      </c>
      <c r="EL79">
        <v>15</v>
      </c>
      <c r="EM79">
        <v>11</v>
      </c>
      <c r="EN79">
        <v>21</v>
      </c>
      <c r="EO79">
        <v>59</v>
      </c>
      <c r="EP79">
        <v>29</v>
      </c>
      <c r="EQ79">
        <v>40</v>
      </c>
      <c r="ER79">
        <v>12</v>
      </c>
      <c r="ES79">
        <v>10</v>
      </c>
      <c r="ET79">
        <v>2</v>
      </c>
      <c r="EU79">
        <v>10</v>
      </c>
      <c r="EV79">
        <v>2</v>
      </c>
      <c r="EW79">
        <v>3</v>
      </c>
      <c r="EX79">
        <v>0.8</v>
      </c>
      <c r="EY79">
        <v>0</v>
      </c>
      <c r="EZ79">
        <v>2</v>
      </c>
      <c r="FA79">
        <v>2</v>
      </c>
      <c r="FB79">
        <v>5.0999999999999996</v>
      </c>
      <c r="FC79" t="s">
        <v>1619</v>
      </c>
      <c r="FD79">
        <v>6.76</v>
      </c>
    </row>
    <row r="80" spans="1:160" ht="24.95" customHeight="1" thickBot="1" x14ac:dyDescent="0.3">
      <c r="A80" s="29" t="str">
        <f t="shared" si="234"/>
        <v>79º</v>
      </c>
      <c r="B80" s="67" t="str">
        <f t="shared" si="236"/>
        <v>Eric Ramírez</v>
      </c>
      <c r="C80" s="83" t="str">
        <f t="shared" si="237"/>
        <v>VEN</v>
      </c>
      <c r="D80" s="9" t="str">
        <f t="shared" si="238"/>
        <v>Carabobo</v>
      </c>
      <c r="E80" s="91" t="str">
        <f t="shared" si="239"/>
        <v>Pé Preferido Desconhecido</v>
      </c>
      <c r="F80" s="155">
        <f t="shared" si="240"/>
        <v>1.9</v>
      </c>
      <c r="G80" s="35">
        <f t="shared" si="241"/>
        <v>46568</v>
      </c>
      <c r="H80" s="7">
        <f t="shared" si="242"/>
        <v>28</v>
      </c>
      <c r="I80" s="299" t="str">
        <f t="shared" si="243"/>
        <v>7,5m € - 12,5m € p/m</v>
      </c>
      <c r="J80" s="3" t="str">
        <f t="shared" si="244"/>
        <v>Desconhecido</v>
      </c>
      <c r="K80" s="89">
        <f t="shared" si="235"/>
        <v>31.398046398046404</v>
      </c>
      <c r="L80" s="133">
        <f t="shared" si="245"/>
        <v>25.555555555555557</v>
      </c>
      <c r="M80" s="134">
        <f t="shared" si="246"/>
        <v>30</v>
      </c>
      <c r="N80" s="134">
        <f t="shared" si="247"/>
        <v>76.666666666666671</v>
      </c>
      <c r="O80" s="173">
        <f t="shared" si="248"/>
        <v>1</v>
      </c>
      <c r="P80" s="402">
        <f t="shared" si="249"/>
        <v>13</v>
      </c>
      <c r="Q80" s="402">
        <f t="shared" si="250"/>
        <v>2</v>
      </c>
      <c r="R80" s="402">
        <f t="shared" si="251"/>
        <v>15</v>
      </c>
      <c r="S80" s="6">
        <f t="shared" si="252"/>
        <v>2</v>
      </c>
      <c r="T80" s="24">
        <f t="shared" si="253"/>
        <v>1150</v>
      </c>
      <c r="U80" s="21">
        <f t="shared" si="254"/>
        <v>7.8260869565217384E-2</v>
      </c>
      <c r="V80" s="298">
        <f t="shared" si="255"/>
        <v>0</v>
      </c>
      <c r="W80" s="300">
        <f t="shared" si="256"/>
        <v>0</v>
      </c>
      <c r="X80" s="298">
        <f t="shared" si="257"/>
        <v>0</v>
      </c>
      <c r="Y80" s="300">
        <f t="shared" si="258"/>
        <v>0</v>
      </c>
      <c r="Z80" s="290">
        <f t="shared" si="259"/>
        <v>0</v>
      </c>
      <c r="AA80" s="298">
        <f t="shared" si="260"/>
        <v>0</v>
      </c>
      <c r="AB80" s="286">
        <f t="shared" si="261"/>
        <v>3</v>
      </c>
      <c r="AC80" s="286">
        <f t="shared" si="262"/>
        <v>3</v>
      </c>
      <c r="AD80" s="286">
        <f t="shared" si="263"/>
        <v>0</v>
      </c>
      <c r="AE80" s="21">
        <f t="shared" si="264"/>
        <v>1</v>
      </c>
      <c r="AF80" s="421">
        <f t="shared" si="265"/>
        <v>13</v>
      </c>
      <c r="AG80" s="421">
        <f t="shared" si="266"/>
        <v>2</v>
      </c>
      <c r="AH80" s="421">
        <f t="shared" si="267"/>
        <v>15</v>
      </c>
      <c r="AI80" s="421">
        <f t="shared" si="268"/>
        <v>10</v>
      </c>
      <c r="AJ80" s="420">
        <f t="shared" si="269"/>
        <v>3</v>
      </c>
      <c r="AK80" s="422">
        <f t="shared" si="270"/>
        <v>0.50869565217391299</v>
      </c>
      <c r="AL80" s="422">
        <f t="shared" si="271"/>
        <v>7.8260869565217384E-2</v>
      </c>
      <c r="AM80" s="422">
        <f t="shared" si="272"/>
        <v>0.58695652173913038</v>
      </c>
      <c r="AN80" s="5">
        <f t="shared" si="273"/>
        <v>12.51</v>
      </c>
      <c r="AO80" s="5">
        <f t="shared" si="274"/>
        <v>10.14</v>
      </c>
      <c r="AP80" s="5">
        <f t="shared" si="275"/>
        <v>0.39678260869565218</v>
      </c>
      <c r="AQ80" s="5">
        <f t="shared" si="276"/>
        <v>1.35</v>
      </c>
      <c r="AR80" s="5">
        <f t="shared" si="277"/>
        <v>5.2826086956521738E-2</v>
      </c>
      <c r="AS80" s="5">
        <f t="shared" si="278"/>
        <v>11.49</v>
      </c>
      <c r="AT80" s="5">
        <f t="shared" si="279"/>
        <v>0.44960869565217387</v>
      </c>
      <c r="AU80" s="21">
        <f t="shared" si="280"/>
        <v>0.40298507462686567</v>
      </c>
      <c r="AV80" s="21">
        <f t="shared" si="281"/>
        <v>0.50960407683261466</v>
      </c>
      <c r="AW80" s="6">
        <f t="shared" si="282"/>
        <v>6</v>
      </c>
      <c r="AX80" s="6">
        <f t="shared" si="283"/>
        <v>3</v>
      </c>
      <c r="AY80" s="21">
        <f t="shared" si="284"/>
        <v>0.5</v>
      </c>
      <c r="AZ80" s="304">
        <f t="shared" si="285"/>
        <v>21</v>
      </c>
      <c r="BA80" s="305">
        <f t="shared" si="286"/>
        <v>0.82173913043478253</v>
      </c>
      <c r="BB80" s="413">
        <f t="shared" si="287"/>
        <v>10.022500000000001</v>
      </c>
      <c r="BC80" s="413">
        <f t="shared" si="288"/>
        <v>0.3921847826086956</v>
      </c>
      <c r="BD80" s="6">
        <f t="shared" si="289"/>
        <v>673</v>
      </c>
      <c r="BE80" s="5">
        <f t="shared" si="290"/>
        <v>26.334782608695651</v>
      </c>
      <c r="BF80" s="6">
        <f t="shared" si="291"/>
        <v>614</v>
      </c>
      <c r="BG80" s="5">
        <f t="shared" si="292"/>
        <v>24.026086956521738</v>
      </c>
      <c r="BH80" s="21">
        <f t="shared" si="293"/>
        <v>0.91233283803863297</v>
      </c>
      <c r="BI80" s="417">
        <f t="shared" si="294"/>
        <v>59</v>
      </c>
      <c r="BJ80" s="418">
        <f t="shared" si="295"/>
        <v>2.3086956521739128</v>
      </c>
      <c r="BK80" s="195">
        <f t="shared" si="296"/>
        <v>19</v>
      </c>
      <c r="BL80" s="5">
        <f t="shared" si="297"/>
        <v>0.74347826086956514</v>
      </c>
      <c r="BM80" s="21">
        <f t="shared" si="298"/>
        <v>2.8231797919762259E-2</v>
      </c>
      <c r="BN80" s="195">
        <f t="shared" si="299"/>
        <v>23</v>
      </c>
      <c r="BO80" s="185">
        <f t="shared" si="300"/>
        <v>0.89999999999999991</v>
      </c>
      <c r="BP80" s="5">
        <f t="shared" si="301"/>
        <v>11.5</v>
      </c>
      <c r="BQ80" s="21">
        <f t="shared" si="302"/>
        <v>8.6956521739130432E-2</v>
      </c>
      <c r="BR80" s="5">
        <f t="shared" si="303"/>
        <v>-0.64999999999999991</v>
      </c>
      <c r="BS80" s="5">
        <f t="shared" si="304"/>
        <v>5.8695652173913045E-2</v>
      </c>
      <c r="BT80" s="24">
        <f t="shared" si="305"/>
        <v>100</v>
      </c>
      <c r="BU80" s="5">
        <f t="shared" si="306"/>
        <v>35.9375</v>
      </c>
      <c r="BV80" s="5">
        <f t="shared" si="307"/>
        <v>0.49000000000000021</v>
      </c>
      <c r="BW80" s="5">
        <f t="shared" si="308"/>
        <v>-1.88</v>
      </c>
      <c r="BX80" s="6">
        <f t="shared" si="309"/>
        <v>91</v>
      </c>
      <c r="BY80" s="5">
        <f t="shared" si="310"/>
        <v>3.560869565217391</v>
      </c>
      <c r="BZ80" s="6">
        <f t="shared" si="311"/>
        <v>53</v>
      </c>
      <c r="CA80" s="5">
        <f t="shared" si="312"/>
        <v>2.0739130434782607</v>
      </c>
      <c r="CB80" s="6">
        <f t="shared" si="313"/>
        <v>41</v>
      </c>
      <c r="CC80" s="5">
        <f t="shared" si="314"/>
        <v>1.6043478260869564</v>
      </c>
      <c r="CD80" s="5">
        <f t="shared" si="315"/>
        <v>1.4869565217391303</v>
      </c>
      <c r="CE80" s="21">
        <f t="shared" si="316"/>
        <v>0.4175824175824176</v>
      </c>
      <c r="CF80" s="5">
        <f t="shared" si="317"/>
        <v>9.1</v>
      </c>
      <c r="CG80" s="5">
        <f t="shared" si="318"/>
        <v>3.1538461538461537</v>
      </c>
      <c r="CH80" s="21">
        <f t="shared" si="319"/>
        <v>0.10989010989010989</v>
      </c>
      <c r="CI80" s="298">
        <f t="shared" si="320"/>
        <v>7</v>
      </c>
      <c r="CJ80" s="298">
        <f t="shared" si="321"/>
        <v>3</v>
      </c>
      <c r="CK80" s="298">
        <f t="shared" si="322"/>
        <v>3</v>
      </c>
      <c r="CL80" s="21">
        <f t="shared" si="323"/>
        <v>9.7826086956521729E-2</v>
      </c>
      <c r="CM80" s="6">
        <f t="shared" si="324"/>
        <v>18.399999999999999</v>
      </c>
      <c r="CN80" s="5">
        <f t="shared" si="325"/>
        <v>0.71999999999999986</v>
      </c>
      <c r="CO80" s="167">
        <f t="shared" si="326"/>
        <v>144</v>
      </c>
      <c r="CP80" s="5">
        <f t="shared" si="327"/>
        <v>5.6347826086956516</v>
      </c>
      <c r="CQ80" s="6">
        <f t="shared" si="328"/>
        <v>88</v>
      </c>
      <c r="CR80" s="5">
        <f t="shared" si="329"/>
        <v>3.4434782608695649</v>
      </c>
      <c r="CS80" s="21">
        <f t="shared" si="330"/>
        <v>0.61111111111111116</v>
      </c>
      <c r="CT80" s="6">
        <f t="shared" si="331"/>
        <v>78.849999999999994</v>
      </c>
      <c r="CU80" s="5">
        <f t="shared" si="332"/>
        <v>3.0854347826086954</v>
      </c>
      <c r="CV80" s="6">
        <f t="shared" si="333"/>
        <v>79.599999999999994</v>
      </c>
      <c r="CW80" s="5">
        <f t="shared" si="334"/>
        <v>3.1147826086956516</v>
      </c>
      <c r="CX80" s="385">
        <f t="shared" si="335"/>
        <v>7.9948565217391314</v>
      </c>
      <c r="CY80" s="5">
        <f t="shared" si="336"/>
        <v>33.573913043478257</v>
      </c>
      <c r="CZ80" s="5">
        <f t="shared" si="337"/>
        <v>25.786956521739128</v>
      </c>
      <c r="DA80" s="6">
        <f t="shared" si="338"/>
        <v>42</v>
      </c>
      <c r="DB80" s="5">
        <f t="shared" si="339"/>
        <v>1.6434782608695651</v>
      </c>
      <c r="DC80" s="6">
        <f t="shared" si="340"/>
        <v>163</v>
      </c>
      <c r="DD80" s="5">
        <f t="shared" si="341"/>
        <v>6.3782608695652172</v>
      </c>
      <c r="DE80" s="6">
        <f t="shared" si="342"/>
        <v>120</v>
      </c>
      <c r="DF80" s="5">
        <f t="shared" si="343"/>
        <v>4.695652173913043</v>
      </c>
      <c r="DG80" s="6">
        <f t="shared" si="344"/>
        <v>115</v>
      </c>
      <c r="DH80" s="5">
        <f t="shared" si="345"/>
        <v>4.5</v>
      </c>
      <c r="DI80" s="5">
        <f t="shared" si="346"/>
        <v>18.399999999999999</v>
      </c>
      <c r="DJ80" s="5">
        <f t="shared" si="347"/>
        <v>251.7</v>
      </c>
      <c r="DK80" s="5">
        <f t="shared" si="348"/>
        <v>9.849130434782607</v>
      </c>
      <c r="DL80" s="286">
        <f t="shared" si="349"/>
        <v>138.00000000000003</v>
      </c>
      <c r="DM80" s="287">
        <f t="shared" si="350"/>
        <v>5.4</v>
      </c>
      <c r="DN80" s="60">
        <f t="shared" si="351"/>
        <v>6.98</v>
      </c>
      <c r="DO80"/>
      <c r="DP80" t="s">
        <v>1143</v>
      </c>
      <c r="DQ80" t="s">
        <v>1620</v>
      </c>
      <c r="DR80">
        <v>28</v>
      </c>
      <c r="DS80" t="s">
        <v>1621</v>
      </c>
      <c r="DT80" t="s">
        <v>798</v>
      </c>
      <c r="DU80" t="s">
        <v>1201</v>
      </c>
      <c r="DV80" t="s">
        <v>1202</v>
      </c>
      <c r="DW80" t="s">
        <v>1622</v>
      </c>
      <c r="DX80" s="430">
        <v>46568</v>
      </c>
      <c r="DY80">
        <v>2300</v>
      </c>
      <c r="DZ80">
        <v>30</v>
      </c>
      <c r="EA80">
        <v>2</v>
      </c>
      <c r="EB80">
        <v>13</v>
      </c>
      <c r="EC80">
        <v>2</v>
      </c>
      <c r="ED80">
        <v>3</v>
      </c>
      <c r="EE80">
        <v>18.399999999999999</v>
      </c>
      <c r="EF80" t="s">
        <v>1623</v>
      </c>
      <c r="EG80" t="s">
        <v>1624</v>
      </c>
      <c r="EH80">
        <v>28</v>
      </c>
      <c r="EI80">
        <v>43</v>
      </c>
      <c r="EJ80">
        <v>673</v>
      </c>
      <c r="EK80">
        <v>614</v>
      </c>
      <c r="EL80">
        <v>23</v>
      </c>
      <c r="EM80">
        <v>19</v>
      </c>
      <c r="EN80">
        <v>21</v>
      </c>
      <c r="EO80">
        <v>94</v>
      </c>
      <c r="EP80">
        <v>41</v>
      </c>
      <c r="EQ80">
        <v>52</v>
      </c>
      <c r="ER80">
        <v>16</v>
      </c>
      <c r="ES80">
        <v>6</v>
      </c>
      <c r="ET80">
        <v>3</v>
      </c>
      <c r="EU80">
        <v>6</v>
      </c>
      <c r="EV80">
        <v>3</v>
      </c>
      <c r="EW80">
        <v>3</v>
      </c>
      <c r="EX80">
        <v>1.2</v>
      </c>
      <c r="EY80">
        <v>0</v>
      </c>
      <c r="EZ80">
        <v>3</v>
      </c>
      <c r="FA80">
        <v>3</v>
      </c>
      <c r="FB80">
        <v>5.4</v>
      </c>
      <c r="FC80" t="s">
        <v>1625</v>
      </c>
      <c r="FD80">
        <v>6.98</v>
      </c>
    </row>
    <row r="81" spans="1:160" ht="24.95" customHeight="1" thickBot="1" x14ac:dyDescent="0.3">
      <c r="A81" s="29" t="str">
        <f t="shared" si="234"/>
        <v>80º</v>
      </c>
      <c r="B81" s="67" t="str">
        <f t="shared" si="236"/>
        <v>Víctor Abrego</v>
      </c>
      <c r="C81" s="83" t="str">
        <f t="shared" si="237"/>
        <v>BOL</v>
      </c>
      <c r="D81" s="9" t="str">
        <f t="shared" si="238"/>
        <v>The Strongest</v>
      </c>
      <c r="E81" s="91" t="str">
        <f t="shared" si="239"/>
        <v>Pé Preferido Desconhecido</v>
      </c>
      <c r="F81" s="155">
        <f t="shared" si="240"/>
        <v>1.76</v>
      </c>
      <c r="G81" s="35">
        <f t="shared" si="241"/>
        <v>47149</v>
      </c>
      <c r="H81" s="7">
        <f t="shared" si="242"/>
        <v>29</v>
      </c>
      <c r="I81" s="299" t="str">
        <f t="shared" si="243"/>
        <v>6,25m € - 9m € p/m</v>
      </c>
      <c r="J81" s="3" t="str">
        <f t="shared" si="244"/>
        <v>Desconhecido</v>
      </c>
      <c r="K81" s="89">
        <f t="shared" si="235"/>
        <v>31.398046398046404</v>
      </c>
      <c r="L81" s="133">
        <f t="shared" si="245"/>
        <v>34.955555555555556</v>
      </c>
      <c r="M81" s="134">
        <f t="shared" si="246"/>
        <v>48</v>
      </c>
      <c r="N81" s="134">
        <f t="shared" si="247"/>
        <v>65.541666666666671</v>
      </c>
      <c r="O81" s="173">
        <f t="shared" si="248"/>
        <v>0.79</v>
      </c>
      <c r="P81" s="402">
        <f t="shared" si="249"/>
        <v>12</v>
      </c>
      <c r="Q81" s="402">
        <f t="shared" si="250"/>
        <v>3</v>
      </c>
      <c r="R81" s="402">
        <f t="shared" si="251"/>
        <v>15</v>
      </c>
      <c r="S81" s="6">
        <f t="shared" si="252"/>
        <v>0</v>
      </c>
      <c r="T81" s="24">
        <f t="shared" si="253"/>
        <v>5000</v>
      </c>
      <c r="U81" s="21">
        <f t="shared" si="254"/>
        <v>0</v>
      </c>
      <c r="V81" s="298">
        <f t="shared" si="255"/>
        <v>34</v>
      </c>
      <c r="W81" s="300">
        <f t="shared" si="256"/>
        <v>0.97266369993642721</v>
      </c>
      <c r="X81" s="298">
        <f t="shared" si="257"/>
        <v>6</v>
      </c>
      <c r="Y81" s="300">
        <f t="shared" si="258"/>
        <v>0.17164653528289892</v>
      </c>
      <c r="Z81" s="290">
        <f t="shared" si="259"/>
        <v>0.17647058823529413</v>
      </c>
      <c r="AA81" s="298">
        <f t="shared" si="260"/>
        <v>3</v>
      </c>
      <c r="AB81" s="286">
        <f t="shared" si="261"/>
        <v>0</v>
      </c>
      <c r="AC81" s="286">
        <f t="shared" si="262"/>
        <v>0</v>
      </c>
      <c r="AD81" s="286">
        <f t="shared" si="263"/>
        <v>0</v>
      </c>
      <c r="AE81" s="21">
        <f t="shared" si="264"/>
        <v>9.9999999999999995E-8</v>
      </c>
      <c r="AF81" s="421">
        <f t="shared" si="265"/>
        <v>12</v>
      </c>
      <c r="AG81" s="421">
        <f t="shared" si="266"/>
        <v>3</v>
      </c>
      <c r="AH81" s="421">
        <f t="shared" si="267"/>
        <v>15</v>
      </c>
      <c r="AI81" s="421">
        <f t="shared" si="268"/>
        <v>12</v>
      </c>
      <c r="AJ81" s="420">
        <f t="shared" si="269"/>
        <v>1</v>
      </c>
      <c r="AK81" s="422">
        <f t="shared" si="270"/>
        <v>0.34329307056579783</v>
      </c>
      <c r="AL81" s="422">
        <f t="shared" si="271"/>
        <v>8.5823267641449458E-2</v>
      </c>
      <c r="AM81" s="422">
        <f t="shared" si="272"/>
        <v>0.42911633820724732</v>
      </c>
      <c r="AN81" s="5">
        <f t="shared" si="273"/>
        <v>8.99</v>
      </c>
      <c r="AO81" s="5">
        <f t="shared" si="274"/>
        <v>8.99</v>
      </c>
      <c r="AP81" s="5">
        <f t="shared" si="275"/>
        <v>0.25718372536554357</v>
      </c>
      <c r="AQ81" s="5">
        <f t="shared" si="276"/>
        <v>2.72</v>
      </c>
      <c r="AR81" s="5">
        <f t="shared" si="277"/>
        <v>7.7813095994914178E-2</v>
      </c>
      <c r="AS81" s="5">
        <f t="shared" si="278"/>
        <v>11.71</v>
      </c>
      <c r="AT81" s="5">
        <f t="shared" si="279"/>
        <v>0.33499682136045772</v>
      </c>
      <c r="AU81" s="21">
        <f t="shared" si="280"/>
        <v>0.47552447552447552</v>
      </c>
      <c r="AV81" s="21">
        <f t="shared" si="281"/>
        <v>0.57170080990948069</v>
      </c>
      <c r="AW81" s="6">
        <f t="shared" si="282"/>
        <v>14</v>
      </c>
      <c r="AX81" s="6">
        <f t="shared" si="283"/>
        <v>3</v>
      </c>
      <c r="AY81" s="21">
        <f t="shared" si="284"/>
        <v>0.21428571428571427</v>
      </c>
      <c r="AZ81" s="304">
        <f t="shared" si="285"/>
        <v>13</v>
      </c>
      <c r="BA81" s="305">
        <f t="shared" si="286"/>
        <v>0.37190082644628097</v>
      </c>
      <c r="BB81" s="413">
        <f t="shared" si="287"/>
        <v>14.772999999999998</v>
      </c>
      <c r="BC81" s="413">
        <f t="shared" si="288"/>
        <v>0.42262237762237759</v>
      </c>
      <c r="BD81" s="6">
        <f t="shared" si="289"/>
        <v>899</v>
      </c>
      <c r="BE81" s="5">
        <f t="shared" si="290"/>
        <v>25.718372536554355</v>
      </c>
      <c r="BF81" s="6">
        <f t="shared" si="291"/>
        <v>801</v>
      </c>
      <c r="BG81" s="5">
        <f t="shared" si="292"/>
        <v>22.914812460267004</v>
      </c>
      <c r="BH81" s="21">
        <f t="shared" si="293"/>
        <v>0.89098998887652947</v>
      </c>
      <c r="BI81" s="417">
        <f t="shared" si="294"/>
        <v>98</v>
      </c>
      <c r="BJ81" s="418">
        <f t="shared" si="295"/>
        <v>2.8035600762873489</v>
      </c>
      <c r="BK81" s="195">
        <f t="shared" si="296"/>
        <v>27</v>
      </c>
      <c r="BL81" s="5">
        <f t="shared" si="297"/>
        <v>0.77240940877304509</v>
      </c>
      <c r="BM81" s="21">
        <f t="shared" si="298"/>
        <v>3.0033370411568408E-2</v>
      </c>
      <c r="BN81" s="195">
        <f t="shared" si="299"/>
        <v>38</v>
      </c>
      <c r="BO81" s="185">
        <f t="shared" si="300"/>
        <v>1.0870947234583599</v>
      </c>
      <c r="BP81" s="5">
        <f t="shared" si="301"/>
        <v>12.666666666666666</v>
      </c>
      <c r="BQ81" s="21">
        <f t="shared" si="302"/>
        <v>7.8947368421052627E-2</v>
      </c>
      <c r="BR81" s="5">
        <f t="shared" si="303"/>
        <v>-0.2799999999999998</v>
      </c>
      <c r="BS81" s="5">
        <f t="shared" si="304"/>
        <v>7.1578947368421061E-2</v>
      </c>
      <c r="BT81" s="24">
        <f t="shared" si="305"/>
        <v>82.78947368421052</v>
      </c>
      <c r="BU81" s="5">
        <f t="shared" si="306"/>
        <v>38.839506172839506</v>
      </c>
      <c r="BV81" s="5">
        <f t="shared" si="307"/>
        <v>3.01</v>
      </c>
      <c r="BW81" s="5">
        <f t="shared" si="308"/>
        <v>3.01</v>
      </c>
      <c r="BX81" s="6">
        <f t="shared" si="309"/>
        <v>75</v>
      </c>
      <c r="BY81" s="5">
        <f t="shared" si="310"/>
        <v>2.1455816910362366</v>
      </c>
      <c r="BZ81" s="6">
        <f t="shared" si="311"/>
        <v>42</v>
      </c>
      <c r="CA81" s="5">
        <f t="shared" si="312"/>
        <v>1.2015257469802925</v>
      </c>
      <c r="CB81" s="6">
        <f t="shared" si="313"/>
        <v>33</v>
      </c>
      <c r="CC81" s="5">
        <f t="shared" si="314"/>
        <v>0.94405594405594406</v>
      </c>
      <c r="CD81" s="5">
        <f t="shared" si="315"/>
        <v>0.94405594405594406</v>
      </c>
      <c r="CE81" s="21">
        <f t="shared" si="316"/>
        <v>0.44</v>
      </c>
      <c r="CF81" s="5">
        <f t="shared" si="317"/>
        <v>6.25</v>
      </c>
      <c r="CG81" s="5">
        <f t="shared" si="318"/>
        <v>2.75</v>
      </c>
      <c r="CH81" s="21">
        <f t="shared" si="319"/>
        <v>0.16</v>
      </c>
      <c r="CI81" s="298">
        <f t="shared" si="320"/>
        <v>11</v>
      </c>
      <c r="CJ81" s="298">
        <f t="shared" si="321"/>
        <v>1</v>
      </c>
      <c r="CK81" s="298">
        <f t="shared" si="322"/>
        <v>0</v>
      </c>
      <c r="CL81" s="21">
        <f t="shared" si="323"/>
        <v>4.0868222686404505E-2</v>
      </c>
      <c r="CM81" s="6">
        <f t="shared" si="324"/>
        <v>17.3</v>
      </c>
      <c r="CN81" s="5">
        <f t="shared" si="325"/>
        <v>0.49491417673235855</v>
      </c>
      <c r="CO81" s="167">
        <f t="shared" si="326"/>
        <v>140</v>
      </c>
      <c r="CP81" s="5">
        <f t="shared" si="327"/>
        <v>4.0050858232676418</v>
      </c>
      <c r="CQ81" s="6">
        <f t="shared" si="328"/>
        <v>87</v>
      </c>
      <c r="CR81" s="5">
        <f t="shared" si="329"/>
        <v>2.4888747616020344</v>
      </c>
      <c r="CS81" s="21">
        <f t="shared" si="330"/>
        <v>0.62142857142857144</v>
      </c>
      <c r="CT81" s="6">
        <f t="shared" si="331"/>
        <v>95.22</v>
      </c>
      <c r="CU81" s="5">
        <f t="shared" si="332"/>
        <v>2.724030514939606</v>
      </c>
      <c r="CV81" s="6">
        <f t="shared" si="333"/>
        <v>97.97</v>
      </c>
      <c r="CW81" s="5">
        <f t="shared" si="334"/>
        <v>2.8027018436109343</v>
      </c>
      <c r="CX81" s="385">
        <f t="shared" si="335"/>
        <v>8.230508582326765</v>
      </c>
      <c r="CY81" s="5">
        <f t="shared" si="336"/>
        <v>31.439923712650984</v>
      </c>
      <c r="CZ81" s="5">
        <f t="shared" si="337"/>
        <v>25.060394151303242</v>
      </c>
      <c r="DA81" s="6">
        <f t="shared" si="338"/>
        <v>65</v>
      </c>
      <c r="DB81" s="5">
        <f t="shared" si="339"/>
        <v>1.859504132231405</v>
      </c>
      <c r="DC81" s="6">
        <f t="shared" si="340"/>
        <v>177</v>
      </c>
      <c r="DD81" s="5">
        <f t="shared" si="341"/>
        <v>5.0635727908455177</v>
      </c>
      <c r="DE81" s="6">
        <f t="shared" si="342"/>
        <v>123</v>
      </c>
      <c r="DF81" s="5">
        <f t="shared" si="343"/>
        <v>3.518753973299428</v>
      </c>
      <c r="DG81" s="6">
        <f t="shared" si="344"/>
        <v>151</v>
      </c>
      <c r="DH81" s="5">
        <f t="shared" si="345"/>
        <v>4.319771137952956</v>
      </c>
      <c r="DI81" s="5">
        <f t="shared" si="346"/>
        <v>17.3</v>
      </c>
      <c r="DJ81" s="5">
        <f t="shared" si="347"/>
        <v>337.9</v>
      </c>
      <c r="DK81" s="5">
        <f t="shared" si="348"/>
        <v>9.6665607120152561</v>
      </c>
      <c r="DL81" s="286">
        <f t="shared" si="349"/>
        <v>178.27333333333331</v>
      </c>
      <c r="DM81" s="287">
        <f t="shared" si="350"/>
        <v>5.0999999999999996</v>
      </c>
      <c r="DN81" s="60">
        <f t="shared" si="351"/>
        <v>6.8</v>
      </c>
      <c r="DO81"/>
      <c r="DP81" t="s">
        <v>1600</v>
      </c>
      <c r="DQ81" t="s">
        <v>1626</v>
      </c>
      <c r="DR81">
        <v>29</v>
      </c>
      <c r="DS81" t="s">
        <v>1602</v>
      </c>
      <c r="DT81" t="s">
        <v>545</v>
      </c>
      <c r="DU81" t="s">
        <v>1201</v>
      </c>
      <c r="DV81" t="s">
        <v>1202</v>
      </c>
      <c r="DW81" t="s">
        <v>1610</v>
      </c>
      <c r="DX81" s="430">
        <v>47149</v>
      </c>
      <c r="DY81">
        <v>3146</v>
      </c>
      <c r="DZ81" t="s">
        <v>1217</v>
      </c>
      <c r="EA81">
        <v>0</v>
      </c>
      <c r="EB81">
        <v>12</v>
      </c>
      <c r="EC81">
        <v>3</v>
      </c>
      <c r="ED81">
        <v>10</v>
      </c>
      <c r="EE81">
        <v>17.3</v>
      </c>
      <c r="EF81" t="s">
        <v>1577</v>
      </c>
      <c r="EG81" t="s">
        <v>1627</v>
      </c>
      <c r="EH81">
        <v>34</v>
      </c>
      <c r="EI81">
        <v>38</v>
      </c>
      <c r="EJ81">
        <v>899</v>
      </c>
      <c r="EK81">
        <v>801</v>
      </c>
      <c r="EL81">
        <v>38</v>
      </c>
      <c r="EM81">
        <v>27</v>
      </c>
      <c r="EN81">
        <v>13</v>
      </c>
      <c r="EO81">
        <v>75</v>
      </c>
      <c r="EP81">
        <v>33</v>
      </c>
      <c r="EQ81">
        <v>40</v>
      </c>
      <c r="ER81">
        <v>22</v>
      </c>
      <c r="ES81">
        <v>14</v>
      </c>
      <c r="ET81">
        <v>3</v>
      </c>
      <c r="EU81">
        <v>48</v>
      </c>
      <c r="EV81">
        <v>9</v>
      </c>
      <c r="EW81">
        <v>1</v>
      </c>
      <c r="EX81">
        <v>0.7</v>
      </c>
      <c r="EY81">
        <v>3</v>
      </c>
      <c r="EZ81">
        <v>0</v>
      </c>
      <c r="FA81">
        <v>0</v>
      </c>
      <c r="FB81">
        <v>5.0999999999999996</v>
      </c>
      <c r="FC81" t="s">
        <v>1628</v>
      </c>
      <c r="FD81">
        <v>6.8</v>
      </c>
    </row>
    <row r="82" spans="1:160" ht="24.95" customHeight="1" thickBot="1" x14ac:dyDescent="0.3">
      <c r="A82" s="29" t="str">
        <f t="shared" si="234"/>
        <v>81º</v>
      </c>
      <c r="B82" s="67" t="str">
        <f t="shared" si="236"/>
        <v>Byron Palacios</v>
      </c>
      <c r="C82" s="83" t="str">
        <f t="shared" si="237"/>
        <v>ECU</v>
      </c>
      <c r="D82" s="9" t="str">
        <f t="shared" si="238"/>
        <v>U. Católica (Quito)</v>
      </c>
      <c r="E82" s="91" t="str">
        <f t="shared" si="239"/>
        <v>Pé Preferido Desconhecido</v>
      </c>
      <c r="F82" s="155">
        <f t="shared" si="240"/>
        <v>1.85</v>
      </c>
      <c r="G82" s="35">
        <f t="shared" si="241"/>
        <v>47149</v>
      </c>
      <c r="H82" s="7">
        <f t="shared" si="242"/>
        <v>31</v>
      </c>
      <c r="I82" s="299" t="str">
        <f t="shared" si="243"/>
        <v>8m € - 12,75m € p/m</v>
      </c>
      <c r="J82" s="3" t="str">
        <f t="shared" si="244"/>
        <v>Não está à venda</v>
      </c>
      <c r="K82" s="89">
        <f t="shared" si="235"/>
        <v>31.398046398046404</v>
      </c>
      <c r="L82" s="133">
        <f t="shared" si="245"/>
        <v>32.588888888888889</v>
      </c>
      <c r="M82" s="134">
        <f t="shared" si="246"/>
        <v>38</v>
      </c>
      <c r="N82" s="134">
        <f t="shared" si="247"/>
        <v>77.184210526315795</v>
      </c>
      <c r="O82" s="173">
        <f t="shared" si="248"/>
        <v>0.95</v>
      </c>
      <c r="P82" s="402">
        <f t="shared" si="249"/>
        <v>11</v>
      </c>
      <c r="Q82" s="402">
        <f t="shared" si="250"/>
        <v>0</v>
      </c>
      <c r="R82" s="402">
        <f t="shared" si="251"/>
        <v>11</v>
      </c>
      <c r="S82" s="6">
        <f t="shared" si="252"/>
        <v>2</v>
      </c>
      <c r="T82" s="24">
        <f t="shared" si="253"/>
        <v>1466.5</v>
      </c>
      <c r="U82" s="21">
        <f t="shared" si="254"/>
        <v>6.137061029662462E-2</v>
      </c>
      <c r="V82" s="298">
        <f t="shared" si="255"/>
        <v>0</v>
      </c>
      <c r="W82" s="300">
        <f t="shared" si="256"/>
        <v>0</v>
      </c>
      <c r="X82" s="298">
        <f t="shared" si="257"/>
        <v>0</v>
      </c>
      <c r="Y82" s="300">
        <f t="shared" si="258"/>
        <v>0</v>
      </c>
      <c r="Z82" s="290">
        <f t="shared" si="259"/>
        <v>0</v>
      </c>
      <c r="AA82" s="298">
        <f t="shared" si="260"/>
        <v>0</v>
      </c>
      <c r="AB82" s="286">
        <f t="shared" si="261"/>
        <v>2</v>
      </c>
      <c r="AC82" s="286">
        <f t="shared" si="262"/>
        <v>1</v>
      </c>
      <c r="AD82" s="286">
        <f t="shared" si="263"/>
        <v>1</v>
      </c>
      <c r="AE82" s="21">
        <f t="shared" si="264"/>
        <v>0.5</v>
      </c>
      <c r="AF82" s="421">
        <f t="shared" si="265"/>
        <v>11</v>
      </c>
      <c r="AG82" s="421">
        <f t="shared" si="266"/>
        <v>0</v>
      </c>
      <c r="AH82" s="421">
        <f t="shared" si="267"/>
        <v>11</v>
      </c>
      <c r="AI82" s="421">
        <f t="shared" si="268"/>
        <v>10</v>
      </c>
      <c r="AJ82" s="420">
        <f t="shared" si="269"/>
        <v>3</v>
      </c>
      <c r="AK82" s="422">
        <f t="shared" si="270"/>
        <v>0.33753835663143539</v>
      </c>
      <c r="AL82" s="422">
        <f t="shared" si="271"/>
        <v>0</v>
      </c>
      <c r="AM82" s="422">
        <f t="shared" si="272"/>
        <v>0.33753835663143539</v>
      </c>
      <c r="AN82" s="5">
        <f t="shared" si="273"/>
        <v>12.72</v>
      </c>
      <c r="AO82" s="5">
        <f t="shared" si="274"/>
        <v>11.14</v>
      </c>
      <c r="AP82" s="5">
        <f t="shared" si="275"/>
        <v>0.34183429935219911</v>
      </c>
      <c r="AQ82" s="5">
        <f t="shared" si="276"/>
        <v>1.86</v>
      </c>
      <c r="AR82" s="5">
        <f t="shared" si="277"/>
        <v>5.7074667575860896E-2</v>
      </c>
      <c r="AS82" s="5">
        <f t="shared" si="278"/>
        <v>13</v>
      </c>
      <c r="AT82" s="5">
        <f t="shared" si="279"/>
        <v>0.39890896692805999</v>
      </c>
      <c r="AU82" s="21">
        <f t="shared" si="280"/>
        <v>1</v>
      </c>
      <c r="AV82" s="21">
        <f t="shared" si="281"/>
        <v>0.46374367622259699</v>
      </c>
      <c r="AW82" s="6">
        <f t="shared" si="282"/>
        <v>8</v>
      </c>
      <c r="AX82" s="6">
        <f t="shared" si="283"/>
        <v>4</v>
      </c>
      <c r="AY82" s="21">
        <f t="shared" si="284"/>
        <v>0.5</v>
      </c>
      <c r="AZ82" s="304">
        <f t="shared" si="285"/>
        <v>25</v>
      </c>
      <c r="BA82" s="305">
        <f t="shared" si="286"/>
        <v>0.76713262870780774</v>
      </c>
      <c r="BB82" s="413">
        <f t="shared" si="287"/>
        <v>13.119</v>
      </c>
      <c r="BC82" s="413">
        <f t="shared" si="288"/>
        <v>0.40256051824070915</v>
      </c>
      <c r="BD82" s="6">
        <f t="shared" si="289"/>
        <v>823</v>
      </c>
      <c r="BE82" s="5">
        <f t="shared" si="290"/>
        <v>25.25400613706103</v>
      </c>
      <c r="BF82" s="6">
        <f t="shared" si="291"/>
        <v>728</v>
      </c>
      <c r="BG82" s="5">
        <f t="shared" si="292"/>
        <v>22.338902147971361</v>
      </c>
      <c r="BH82" s="21">
        <f t="shared" si="293"/>
        <v>0.88456865127582018</v>
      </c>
      <c r="BI82" s="417">
        <f t="shared" si="294"/>
        <v>95</v>
      </c>
      <c r="BJ82" s="418">
        <f t="shared" si="295"/>
        <v>2.9151039890896695</v>
      </c>
      <c r="BK82" s="195">
        <f t="shared" si="296"/>
        <v>20</v>
      </c>
      <c r="BL82" s="5">
        <f t="shared" si="297"/>
        <v>0.61370610296624617</v>
      </c>
      <c r="BM82" s="21">
        <f t="shared" si="298"/>
        <v>2.4301336573511544E-2</v>
      </c>
      <c r="BN82" s="195">
        <f t="shared" si="299"/>
        <v>27</v>
      </c>
      <c r="BO82" s="185">
        <f t="shared" si="300"/>
        <v>0.82850323900443235</v>
      </c>
      <c r="BP82" s="5">
        <f t="shared" si="301"/>
        <v>25</v>
      </c>
      <c r="BQ82" s="21">
        <f t="shared" si="302"/>
        <v>0</v>
      </c>
      <c r="BR82" s="5">
        <f t="shared" si="303"/>
        <v>1.86</v>
      </c>
      <c r="BS82" s="5">
        <f t="shared" si="304"/>
        <v>6.8888888888888888E-2</v>
      </c>
      <c r="BT82" s="24">
        <f t="shared" si="305"/>
        <v>108.62962962962963</v>
      </c>
      <c r="BU82" s="5">
        <f t="shared" si="306"/>
        <v>33.712643678160923</v>
      </c>
      <c r="BV82" s="5">
        <f t="shared" si="307"/>
        <v>-1.7200000000000006</v>
      </c>
      <c r="BW82" s="5">
        <f t="shared" si="308"/>
        <v>-2.5100000000000007</v>
      </c>
      <c r="BX82" s="6">
        <f t="shared" si="309"/>
        <v>115</v>
      </c>
      <c r="BY82" s="5">
        <f t="shared" si="310"/>
        <v>3.5288100920559153</v>
      </c>
      <c r="BZ82" s="6">
        <f t="shared" si="311"/>
        <v>62</v>
      </c>
      <c r="CA82" s="5">
        <f t="shared" si="312"/>
        <v>1.9024889191953631</v>
      </c>
      <c r="CB82" s="6">
        <f t="shared" si="313"/>
        <v>55</v>
      </c>
      <c r="CC82" s="5">
        <f t="shared" si="314"/>
        <v>1.6876917831571769</v>
      </c>
      <c r="CD82" s="5">
        <f t="shared" si="315"/>
        <v>1.6570064780088647</v>
      </c>
      <c r="CE82" s="21">
        <f t="shared" si="316"/>
        <v>0.46956521739130436</v>
      </c>
      <c r="CF82" s="5">
        <f t="shared" si="317"/>
        <v>11.5</v>
      </c>
      <c r="CG82" s="5">
        <f t="shared" si="318"/>
        <v>5</v>
      </c>
      <c r="CH82" s="21">
        <f t="shared" si="319"/>
        <v>8.6956521739130432E-2</v>
      </c>
      <c r="CI82" s="298">
        <f t="shared" si="320"/>
        <v>6</v>
      </c>
      <c r="CJ82" s="298">
        <f t="shared" si="321"/>
        <v>3</v>
      </c>
      <c r="CK82" s="298">
        <f t="shared" si="322"/>
        <v>2</v>
      </c>
      <c r="CL82" s="21">
        <f t="shared" si="323"/>
        <v>9.2055915444936923E-2</v>
      </c>
      <c r="CM82" s="6">
        <f t="shared" si="324"/>
        <v>17.8</v>
      </c>
      <c r="CN82" s="5">
        <f t="shared" si="325"/>
        <v>0.54619843163995907</v>
      </c>
      <c r="CO82" s="167">
        <f t="shared" si="326"/>
        <v>177</v>
      </c>
      <c r="CP82" s="5">
        <f t="shared" si="327"/>
        <v>5.4312990112512782</v>
      </c>
      <c r="CQ82" s="6">
        <f t="shared" si="328"/>
        <v>111</v>
      </c>
      <c r="CR82" s="5">
        <f t="shared" si="329"/>
        <v>3.4060688714626663</v>
      </c>
      <c r="CS82" s="21">
        <f t="shared" si="330"/>
        <v>0.6271186440677966</v>
      </c>
      <c r="CT82" s="6">
        <f t="shared" si="331"/>
        <v>101.36</v>
      </c>
      <c r="CU82" s="5">
        <f t="shared" si="332"/>
        <v>3.1102625298329354</v>
      </c>
      <c r="CV82" s="6">
        <f t="shared" si="333"/>
        <v>101.11</v>
      </c>
      <c r="CW82" s="5">
        <f t="shared" si="334"/>
        <v>3.1025912035458574</v>
      </c>
      <c r="CX82" s="385">
        <f t="shared" si="335"/>
        <v>7.13144902829867</v>
      </c>
      <c r="CY82" s="5">
        <f t="shared" si="336"/>
        <v>31.974087964541425</v>
      </c>
      <c r="CZ82" s="5">
        <f t="shared" si="337"/>
        <v>23.995908625980224</v>
      </c>
      <c r="DA82" s="6">
        <f t="shared" si="338"/>
        <v>47</v>
      </c>
      <c r="DB82" s="5">
        <f t="shared" si="339"/>
        <v>1.4422093419706785</v>
      </c>
      <c r="DC82" s="6">
        <f t="shared" si="340"/>
        <v>202</v>
      </c>
      <c r="DD82" s="5">
        <f t="shared" si="341"/>
        <v>6.198431639959086</v>
      </c>
      <c r="DE82" s="6">
        <f t="shared" si="342"/>
        <v>151</v>
      </c>
      <c r="DF82" s="5">
        <f t="shared" si="343"/>
        <v>4.6334810773951585</v>
      </c>
      <c r="DG82" s="6">
        <f t="shared" si="344"/>
        <v>161</v>
      </c>
      <c r="DH82" s="5">
        <f t="shared" si="345"/>
        <v>4.9403341288782814</v>
      </c>
      <c r="DI82" s="5">
        <f t="shared" si="346"/>
        <v>17.8</v>
      </c>
      <c r="DJ82" s="5">
        <f t="shared" si="347"/>
        <v>337.5</v>
      </c>
      <c r="DK82" s="5">
        <f t="shared" si="348"/>
        <v>10.356290487555404</v>
      </c>
      <c r="DL82" s="286">
        <f t="shared" si="349"/>
        <v>257.45222222222225</v>
      </c>
      <c r="DM82" s="287">
        <f t="shared" si="350"/>
        <v>7.9</v>
      </c>
      <c r="DN82" s="60">
        <f t="shared" si="351"/>
        <v>6.76</v>
      </c>
      <c r="DO82"/>
      <c r="DP82" t="s">
        <v>1586</v>
      </c>
      <c r="DQ82" t="s">
        <v>1629</v>
      </c>
      <c r="DR82">
        <v>31</v>
      </c>
      <c r="DS82" t="s">
        <v>1630</v>
      </c>
      <c r="DT82" t="s">
        <v>751</v>
      </c>
      <c r="DU82" t="s">
        <v>1201</v>
      </c>
      <c r="DV82" t="s">
        <v>394</v>
      </c>
      <c r="DW82" t="s">
        <v>1631</v>
      </c>
      <c r="DX82" s="430">
        <v>47149</v>
      </c>
      <c r="DY82">
        <v>2933</v>
      </c>
      <c r="DZ82" t="s">
        <v>1225</v>
      </c>
      <c r="EA82">
        <v>2</v>
      </c>
      <c r="EB82">
        <v>11</v>
      </c>
      <c r="EC82">
        <v>0</v>
      </c>
      <c r="ED82">
        <v>7</v>
      </c>
      <c r="EE82">
        <v>17.8</v>
      </c>
      <c r="EF82" t="s">
        <v>1632</v>
      </c>
      <c r="EG82" t="s">
        <v>1421</v>
      </c>
      <c r="EH82">
        <v>26</v>
      </c>
      <c r="EI82">
        <v>45</v>
      </c>
      <c r="EJ82">
        <v>823</v>
      </c>
      <c r="EK82">
        <v>728</v>
      </c>
      <c r="EL82">
        <v>27</v>
      </c>
      <c r="EM82">
        <v>20</v>
      </c>
      <c r="EN82">
        <v>25</v>
      </c>
      <c r="EO82">
        <v>117</v>
      </c>
      <c r="EP82">
        <v>55</v>
      </c>
      <c r="EQ82">
        <v>60</v>
      </c>
      <c r="ER82">
        <v>14</v>
      </c>
      <c r="ES82">
        <v>8</v>
      </c>
      <c r="ET82">
        <v>4</v>
      </c>
      <c r="EU82">
        <v>8</v>
      </c>
      <c r="EV82">
        <v>4</v>
      </c>
      <c r="EW82">
        <v>3</v>
      </c>
      <c r="EX82">
        <v>1</v>
      </c>
      <c r="EY82">
        <v>0</v>
      </c>
      <c r="EZ82">
        <v>2</v>
      </c>
      <c r="FA82">
        <v>1</v>
      </c>
      <c r="FB82">
        <v>7.9</v>
      </c>
      <c r="FC82" t="s">
        <v>1633</v>
      </c>
      <c r="FD82">
        <v>6.76</v>
      </c>
    </row>
    <row r="83" spans="1:160" ht="24.95" customHeight="1" thickBot="1" x14ac:dyDescent="0.3">
      <c r="A83" s="29" t="str">
        <f t="shared" si="234"/>
        <v>82º</v>
      </c>
      <c r="B83" s="67" t="str">
        <f t="shared" si="236"/>
        <v>Maximiliano Salas</v>
      </c>
      <c r="C83" s="83" t="str">
        <f t="shared" si="237"/>
        <v>ARG</v>
      </c>
      <c r="D83" s="9" t="str">
        <f t="shared" si="238"/>
        <v>River Plate</v>
      </c>
      <c r="E83" s="91" t="str">
        <f t="shared" si="239"/>
        <v>Somente Pé Esquerdo</v>
      </c>
      <c r="F83" s="155">
        <f t="shared" si="240"/>
        <v>1.74</v>
      </c>
      <c r="G83" s="35">
        <f t="shared" si="241"/>
        <v>47483</v>
      </c>
      <c r="H83" s="7">
        <f t="shared" si="242"/>
        <v>29</v>
      </c>
      <c r="I83" s="299" t="str">
        <f t="shared" si="243"/>
        <v>33m € - 51m € p/m</v>
      </c>
      <c r="J83" s="3" t="str">
        <f t="shared" si="244"/>
        <v>5,8M € - 7,6M €</v>
      </c>
      <c r="K83" s="89">
        <f t="shared" si="235"/>
        <v>31.398046398046404</v>
      </c>
      <c r="L83" s="133">
        <f t="shared" si="245"/>
        <v>29.466666666666665</v>
      </c>
      <c r="M83" s="134">
        <f t="shared" si="246"/>
        <v>35</v>
      </c>
      <c r="N83" s="134">
        <f t="shared" si="247"/>
        <v>75.771428571428572</v>
      </c>
      <c r="O83" s="173">
        <f t="shared" si="248"/>
        <v>0.77</v>
      </c>
      <c r="P83" s="402">
        <f t="shared" si="249"/>
        <v>11</v>
      </c>
      <c r="Q83" s="402">
        <f t="shared" si="250"/>
        <v>0</v>
      </c>
      <c r="R83" s="402">
        <f t="shared" si="251"/>
        <v>11</v>
      </c>
      <c r="S83" s="6">
        <f t="shared" si="252"/>
        <v>3</v>
      </c>
      <c r="T83" s="24">
        <f t="shared" si="253"/>
        <v>884</v>
      </c>
      <c r="U83" s="21">
        <f t="shared" si="254"/>
        <v>0.10180995475113122</v>
      </c>
      <c r="V83" s="298">
        <f t="shared" si="255"/>
        <v>0</v>
      </c>
      <c r="W83" s="300">
        <f t="shared" si="256"/>
        <v>0</v>
      </c>
      <c r="X83" s="298">
        <f t="shared" si="257"/>
        <v>0</v>
      </c>
      <c r="Y83" s="300">
        <f t="shared" si="258"/>
        <v>0</v>
      </c>
      <c r="Z83" s="290">
        <f t="shared" si="259"/>
        <v>0</v>
      </c>
      <c r="AA83" s="298">
        <f t="shared" si="260"/>
        <v>7</v>
      </c>
      <c r="AB83" s="286">
        <f t="shared" si="261"/>
        <v>0</v>
      </c>
      <c r="AC83" s="286">
        <f t="shared" si="262"/>
        <v>0</v>
      </c>
      <c r="AD83" s="286">
        <f t="shared" si="263"/>
        <v>0</v>
      </c>
      <c r="AE83" s="21">
        <f t="shared" si="264"/>
        <v>9.9999999999999995E-8</v>
      </c>
      <c r="AF83" s="421">
        <f t="shared" si="265"/>
        <v>11</v>
      </c>
      <c r="AG83" s="421">
        <f t="shared" si="266"/>
        <v>0</v>
      </c>
      <c r="AH83" s="421">
        <f t="shared" si="267"/>
        <v>11</v>
      </c>
      <c r="AI83" s="421">
        <f t="shared" si="268"/>
        <v>11</v>
      </c>
      <c r="AJ83" s="420">
        <f t="shared" si="269"/>
        <v>3</v>
      </c>
      <c r="AK83" s="422">
        <f t="shared" si="270"/>
        <v>0.37330316742081449</v>
      </c>
      <c r="AL83" s="422">
        <f t="shared" si="271"/>
        <v>0</v>
      </c>
      <c r="AM83" s="422">
        <f t="shared" si="272"/>
        <v>0.37330316742081449</v>
      </c>
      <c r="AN83" s="5">
        <f t="shared" si="273"/>
        <v>11.74</v>
      </c>
      <c r="AO83" s="5">
        <f t="shared" si="274"/>
        <v>11.74</v>
      </c>
      <c r="AP83" s="5">
        <f t="shared" si="275"/>
        <v>0.39841628959276021</v>
      </c>
      <c r="AQ83" s="5">
        <f t="shared" si="276"/>
        <v>2.95</v>
      </c>
      <c r="AR83" s="5">
        <f t="shared" si="277"/>
        <v>0.10011312217194571</v>
      </c>
      <c r="AS83" s="5">
        <f t="shared" si="278"/>
        <v>14.690000000000001</v>
      </c>
      <c r="AT83" s="5">
        <f t="shared" si="279"/>
        <v>0.49852941176470594</v>
      </c>
      <c r="AU83" s="21">
        <f t="shared" si="280"/>
        <v>1</v>
      </c>
      <c r="AV83" s="21">
        <f t="shared" si="281"/>
        <v>0.48372911169744937</v>
      </c>
      <c r="AW83" s="6">
        <f t="shared" si="282"/>
        <v>15</v>
      </c>
      <c r="AX83" s="6">
        <f t="shared" si="283"/>
        <v>5</v>
      </c>
      <c r="AY83" s="21">
        <f t="shared" si="284"/>
        <v>0.33333333333333331</v>
      </c>
      <c r="AZ83" s="304">
        <f t="shared" si="285"/>
        <v>15</v>
      </c>
      <c r="BA83" s="305">
        <f t="shared" si="286"/>
        <v>0.50904977375565619</v>
      </c>
      <c r="BB83" s="413">
        <f t="shared" si="287"/>
        <v>13.4475</v>
      </c>
      <c r="BC83" s="413">
        <f t="shared" si="288"/>
        <v>0.4563631221719458</v>
      </c>
      <c r="BD83" s="6">
        <f t="shared" si="289"/>
        <v>905</v>
      </c>
      <c r="BE83" s="5">
        <f t="shared" si="290"/>
        <v>30.712669683257921</v>
      </c>
      <c r="BF83" s="6">
        <f t="shared" si="291"/>
        <v>813</v>
      </c>
      <c r="BG83" s="5">
        <f t="shared" si="292"/>
        <v>27.590497737556564</v>
      </c>
      <c r="BH83" s="21">
        <f t="shared" si="293"/>
        <v>0.89834254143646408</v>
      </c>
      <c r="BI83" s="417">
        <f t="shared" si="294"/>
        <v>92</v>
      </c>
      <c r="BJ83" s="418">
        <f t="shared" si="295"/>
        <v>3.1221719457013575</v>
      </c>
      <c r="BK83" s="195">
        <f t="shared" si="296"/>
        <v>25</v>
      </c>
      <c r="BL83" s="5">
        <f t="shared" si="297"/>
        <v>0.84841628959276028</v>
      </c>
      <c r="BM83" s="21">
        <f t="shared" si="298"/>
        <v>2.7624309392265192E-2</v>
      </c>
      <c r="BN83" s="195">
        <f t="shared" si="299"/>
        <v>34</v>
      </c>
      <c r="BO83" s="185">
        <f t="shared" si="300"/>
        <v>1.153846153846154</v>
      </c>
      <c r="BP83" s="5">
        <f t="shared" si="301"/>
        <v>25</v>
      </c>
      <c r="BQ83" s="21">
        <f t="shared" si="302"/>
        <v>0</v>
      </c>
      <c r="BR83" s="5">
        <f t="shared" si="303"/>
        <v>2.95</v>
      </c>
      <c r="BS83" s="5">
        <f t="shared" si="304"/>
        <v>8.6764705882352952E-2</v>
      </c>
      <c r="BT83" s="24">
        <f t="shared" si="305"/>
        <v>78</v>
      </c>
      <c r="BU83" s="5">
        <f t="shared" si="306"/>
        <v>30.482758620689655</v>
      </c>
      <c r="BV83" s="5">
        <f t="shared" si="307"/>
        <v>-0.74000000000000021</v>
      </c>
      <c r="BW83" s="5">
        <f t="shared" si="308"/>
        <v>-0.74000000000000021</v>
      </c>
      <c r="BX83" s="6">
        <f t="shared" si="309"/>
        <v>96</v>
      </c>
      <c r="BY83" s="5">
        <f t="shared" si="310"/>
        <v>3.2579185520361991</v>
      </c>
      <c r="BZ83" s="6">
        <f t="shared" si="311"/>
        <v>51</v>
      </c>
      <c r="CA83" s="5">
        <f t="shared" si="312"/>
        <v>1.7307692307692308</v>
      </c>
      <c r="CB83" s="6">
        <f t="shared" si="313"/>
        <v>45</v>
      </c>
      <c r="CC83" s="5">
        <f t="shared" si="314"/>
        <v>1.5271493212669685</v>
      </c>
      <c r="CD83" s="5">
        <f t="shared" si="315"/>
        <v>1.5271493212669685</v>
      </c>
      <c r="CE83" s="21">
        <f t="shared" si="316"/>
        <v>0.46875</v>
      </c>
      <c r="CF83" s="5">
        <f t="shared" si="317"/>
        <v>8.7272727272727266</v>
      </c>
      <c r="CG83" s="5">
        <f t="shared" si="318"/>
        <v>4.0909090909090908</v>
      </c>
      <c r="CH83" s="21">
        <f t="shared" si="319"/>
        <v>0.11458333333333333</v>
      </c>
      <c r="CI83" s="298">
        <f t="shared" si="320"/>
        <v>8</v>
      </c>
      <c r="CJ83" s="298">
        <f t="shared" si="321"/>
        <v>3</v>
      </c>
      <c r="CK83" s="298">
        <f t="shared" si="322"/>
        <v>0</v>
      </c>
      <c r="CL83" s="21">
        <f t="shared" si="323"/>
        <v>9.2554504319210196E-2</v>
      </c>
      <c r="CM83" s="6">
        <f t="shared" si="324"/>
        <v>16.100000000000001</v>
      </c>
      <c r="CN83" s="5">
        <f t="shared" si="325"/>
        <v>0.54638009049773761</v>
      </c>
      <c r="CO83" s="167">
        <f t="shared" si="326"/>
        <v>160</v>
      </c>
      <c r="CP83" s="5">
        <f t="shared" si="327"/>
        <v>5.4298642533936654</v>
      </c>
      <c r="CQ83" s="6">
        <f t="shared" si="328"/>
        <v>99</v>
      </c>
      <c r="CR83" s="5">
        <f t="shared" si="329"/>
        <v>3.3597285067873304</v>
      </c>
      <c r="CS83" s="21">
        <f t="shared" si="330"/>
        <v>0.61875000000000002</v>
      </c>
      <c r="CT83" s="6">
        <f t="shared" si="331"/>
        <v>103.45</v>
      </c>
      <c r="CU83" s="5">
        <f t="shared" si="332"/>
        <v>3.510746606334842</v>
      </c>
      <c r="CV83" s="6">
        <f t="shared" si="333"/>
        <v>103.2</v>
      </c>
      <c r="CW83" s="5">
        <f t="shared" si="334"/>
        <v>3.5022624434389145</v>
      </c>
      <c r="CX83" s="385">
        <f t="shared" si="335"/>
        <v>9.1251244343891393</v>
      </c>
      <c r="CY83" s="5">
        <f t="shared" si="336"/>
        <v>38.178733031674213</v>
      </c>
      <c r="CZ83" s="5">
        <f t="shared" si="337"/>
        <v>29.864253393665159</v>
      </c>
      <c r="DA83" s="6">
        <f t="shared" si="338"/>
        <v>59</v>
      </c>
      <c r="DB83" s="5">
        <f t="shared" si="339"/>
        <v>2.002262443438914</v>
      </c>
      <c r="DC83" s="6">
        <f t="shared" si="340"/>
        <v>193</v>
      </c>
      <c r="DD83" s="5">
        <f t="shared" si="341"/>
        <v>6.5497737556561093</v>
      </c>
      <c r="DE83" s="6">
        <f t="shared" si="342"/>
        <v>138</v>
      </c>
      <c r="DF83" s="5">
        <f t="shared" si="343"/>
        <v>4.6832579185520364</v>
      </c>
      <c r="DG83" s="6">
        <f t="shared" si="344"/>
        <v>153</v>
      </c>
      <c r="DH83" s="5">
        <f t="shared" si="345"/>
        <v>5.1923076923076925</v>
      </c>
      <c r="DI83" s="5">
        <f t="shared" si="346"/>
        <v>16.100000000000001</v>
      </c>
      <c r="DJ83" s="5">
        <f t="shared" si="347"/>
        <v>317.3</v>
      </c>
      <c r="DK83" s="5">
        <f t="shared" si="348"/>
        <v>10.768099547511314</v>
      </c>
      <c r="DL83" s="286">
        <f t="shared" si="349"/>
        <v>297.61333333333329</v>
      </c>
      <c r="DM83" s="287">
        <f t="shared" si="350"/>
        <v>10.1</v>
      </c>
      <c r="DN83" s="60">
        <f t="shared" si="351"/>
        <v>6.85</v>
      </c>
      <c r="DO83"/>
      <c r="DP83" t="s">
        <v>708</v>
      </c>
      <c r="DQ83" t="s">
        <v>1634</v>
      </c>
      <c r="DR83">
        <v>29</v>
      </c>
      <c r="DS83" t="s">
        <v>1635</v>
      </c>
      <c r="DT83" t="s">
        <v>853</v>
      </c>
      <c r="DU83" t="s">
        <v>695</v>
      </c>
      <c r="DV83" t="s">
        <v>1636</v>
      </c>
      <c r="DW83" t="s">
        <v>1637</v>
      </c>
      <c r="DX83" s="430">
        <v>47483</v>
      </c>
      <c r="DY83">
        <v>2652</v>
      </c>
      <c r="DZ83" t="s">
        <v>1187</v>
      </c>
      <c r="EA83">
        <v>3</v>
      </c>
      <c r="EB83">
        <v>11</v>
      </c>
      <c r="EC83">
        <v>0</v>
      </c>
      <c r="ED83">
        <v>8</v>
      </c>
      <c r="EE83">
        <v>16.100000000000001</v>
      </c>
      <c r="EF83" t="s">
        <v>1638</v>
      </c>
      <c r="EG83" t="s">
        <v>1618</v>
      </c>
      <c r="EH83">
        <v>24</v>
      </c>
      <c r="EI83">
        <v>39</v>
      </c>
      <c r="EJ83">
        <v>905</v>
      </c>
      <c r="EK83">
        <v>813</v>
      </c>
      <c r="EL83">
        <v>34</v>
      </c>
      <c r="EM83">
        <v>25</v>
      </c>
      <c r="EN83">
        <v>15</v>
      </c>
      <c r="EO83">
        <v>96</v>
      </c>
      <c r="EP83">
        <v>45</v>
      </c>
      <c r="EQ83">
        <v>66</v>
      </c>
      <c r="ER83">
        <v>25</v>
      </c>
      <c r="ES83">
        <v>15</v>
      </c>
      <c r="ET83">
        <v>5</v>
      </c>
      <c r="EU83">
        <v>15</v>
      </c>
      <c r="EV83">
        <v>5</v>
      </c>
      <c r="EW83">
        <v>3</v>
      </c>
      <c r="EX83">
        <v>1.1000000000000001</v>
      </c>
      <c r="EY83">
        <v>7</v>
      </c>
      <c r="EZ83">
        <v>0</v>
      </c>
      <c r="FA83">
        <v>0</v>
      </c>
      <c r="FB83">
        <v>10.1</v>
      </c>
      <c r="FC83" t="s">
        <v>1639</v>
      </c>
      <c r="FD83">
        <v>6.85</v>
      </c>
    </row>
    <row r="84" spans="1:160" ht="24.95" customHeight="1" thickBot="1" x14ac:dyDescent="0.3">
      <c r="A84" s="29" t="str">
        <f t="shared" si="234"/>
        <v>83º</v>
      </c>
      <c r="B84" s="67" t="str">
        <f t="shared" si="236"/>
        <v>Saúl Guarirapa</v>
      </c>
      <c r="C84" s="83" t="str">
        <f t="shared" si="237"/>
        <v>VEN</v>
      </c>
      <c r="D84" s="9" t="str">
        <f t="shared" si="238"/>
        <v>Zhejiang</v>
      </c>
      <c r="E84" s="91" t="str">
        <f t="shared" si="239"/>
        <v>Pé Preferido Desconhecido</v>
      </c>
      <c r="F84" s="155">
        <f t="shared" si="240"/>
        <v>1.89</v>
      </c>
      <c r="G84" s="35">
        <f t="shared" si="241"/>
        <v>46914</v>
      </c>
      <c r="H84" s="7">
        <f t="shared" si="242"/>
        <v>24</v>
      </c>
      <c r="I84" s="299" t="str">
        <f t="shared" si="243"/>
        <v>38,5m € - 57m € p/m</v>
      </c>
      <c r="J84" s="3" t="str">
        <f t="shared" si="244"/>
        <v>Desconhecido</v>
      </c>
      <c r="K84" s="89">
        <f t="shared" si="235"/>
        <v>31.398046398046404</v>
      </c>
      <c r="L84" s="133">
        <f t="shared" si="245"/>
        <v>28.866666666666667</v>
      </c>
      <c r="M84" s="134">
        <f t="shared" si="246"/>
        <v>29</v>
      </c>
      <c r="N84" s="134">
        <f t="shared" si="247"/>
        <v>89.58620689655173</v>
      </c>
      <c r="O84" s="173">
        <f t="shared" si="248"/>
        <v>1</v>
      </c>
      <c r="P84" s="402">
        <f t="shared" si="249"/>
        <v>12</v>
      </c>
      <c r="Q84" s="402">
        <f t="shared" si="250"/>
        <v>6</v>
      </c>
      <c r="R84" s="402">
        <f t="shared" si="251"/>
        <v>18</v>
      </c>
      <c r="S84" s="6">
        <f t="shared" si="252"/>
        <v>0</v>
      </c>
      <c r="T84" s="24">
        <f t="shared" si="253"/>
        <v>5000</v>
      </c>
      <c r="U84" s="21">
        <f t="shared" si="254"/>
        <v>0</v>
      </c>
      <c r="V84" s="298">
        <f t="shared" si="255"/>
        <v>0</v>
      </c>
      <c r="W84" s="300">
        <f t="shared" si="256"/>
        <v>0</v>
      </c>
      <c r="X84" s="298">
        <f t="shared" si="257"/>
        <v>0</v>
      </c>
      <c r="Y84" s="300">
        <f t="shared" si="258"/>
        <v>0</v>
      </c>
      <c r="Z84" s="290">
        <f t="shared" si="259"/>
        <v>0</v>
      </c>
      <c r="AA84" s="298">
        <f t="shared" si="260"/>
        <v>0</v>
      </c>
      <c r="AB84" s="286">
        <f t="shared" si="261"/>
        <v>0</v>
      </c>
      <c r="AC84" s="286">
        <f t="shared" si="262"/>
        <v>0</v>
      </c>
      <c r="AD84" s="286">
        <f t="shared" si="263"/>
        <v>0</v>
      </c>
      <c r="AE84" s="21">
        <f t="shared" si="264"/>
        <v>9.9999999999999995E-8</v>
      </c>
      <c r="AF84" s="421">
        <f t="shared" si="265"/>
        <v>12</v>
      </c>
      <c r="AG84" s="421">
        <f t="shared" si="266"/>
        <v>6</v>
      </c>
      <c r="AH84" s="421">
        <f t="shared" si="267"/>
        <v>18</v>
      </c>
      <c r="AI84" s="421">
        <f t="shared" si="268"/>
        <v>12</v>
      </c>
      <c r="AJ84" s="420">
        <f t="shared" si="269"/>
        <v>0</v>
      </c>
      <c r="AK84" s="422">
        <f t="shared" si="270"/>
        <v>0.41570438799076209</v>
      </c>
      <c r="AL84" s="422">
        <f t="shared" si="271"/>
        <v>0.20785219399538105</v>
      </c>
      <c r="AM84" s="422">
        <f t="shared" si="272"/>
        <v>0.62355658198614317</v>
      </c>
      <c r="AN84" s="5">
        <f t="shared" si="273"/>
        <v>10.69</v>
      </c>
      <c r="AO84" s="5">
        <f t="shared" si="274"/>
        <v>10.69</v>
      </c>
      <c r="AP84" s="5">
        <f t="shared" si="275"/>
        <v>0.37032332563510389</v>
      </c>
      <c r="AQ84" s="5">
        <f t="shared" si="276"/>
        <v>1.06</v>
      </c>
      <c r="AR84" s="5">
        <f t="shared" si="277"/>
        <v>3.6720554272517324E-2</v>
      </c>
      <c r="AS84" s="5">
        <f t="shared" si="278"/>
        <v>11.75</v>
      </c>
      <c r="AT84" s="5">
        <f t="shared" si="279"/>
        <v>0.40704387990762125</v>
      </c>
      <c r="AU84" s="21">
        <f t="shared" si="280"/>
        <v>0.15014164305949007</v>
      </c>
      <c r="AV84" s="21">
        <f t="shared" si="281"/>
        <v>0.52886734244160427</v>
      </c>
      <c r="AW84" s="6">
        <f t="shared" si="282"/>
        <v>3</v>
      </c>
      <c r="AX84" s="6">
        <f t="shared" si="283"/>
        <v>1</v>
      </c>
      <c r="AY84" s="21">
        <f t="shared" si="284"/>
        <v>0.33333333333333331</v>
      </c>
      <c r="AZ84" s="304">
        <f t="shared" si="285"/>
        <v>4</v>
      </c>
      <c r="BA84" s="305">
        <f t="shared" si="286"/>
        <v>0.13856812933025403</v>
      </c>
      <c r="BB84" s="413">
        <f t="shared" si="287"/>
        <v>3.0689999999999995</v>
      </c>
      <c r="BC84" s="413">
        <f t="shared" si="288"/>
        <v>0.10631639722863741</v>
      </c>
      <c r="BD84" s="6">
        <f t="shared" si="289"/>
        <v>624</v>
      </c>
      <c r="BE84" s="5">
        <f t="shared" si="290"/>
        <v>21.616628175519629</v>
      </c>
      <c r="BF84" s="6">
        <f t="shared" si="291"/>
        <v>448</v>
      </c>
      <c r="BG84" s="5">
        <f t="shared" si="292"/>
        <v>15.519630484988452</v>
      </c>
      <c r="BH84" s="21">
        <f t="shared" si="293"/>
        <v>0.71794871794871795</v>
      </c>
      <c r="BI84" s="417">
        <f t="shared" si="294"/>
        <v>176</v>
      </c>
      <c r="BJ84" s="418">
        <f t="shared" si="295"/>
        <v>6.096997690531178</v>
      </c>
      <c r="BK84" s="195">
        <f t="shared" si="296"/>
        <v>3</v>
      </c>
      <c r="BL84" s="5">
        <f t="shared" si="297"/>
        <v>0.10392609699769052</v>
      </c>
      <c r="BM84" s="21">
        <f t="shared" si="298"/>
        <v>4.807692307692308E-3</v>
      </c>
      <c r="BN84" s="195">
        <f t="shared" si="299"/>
        <v>9</v>
      </c>
      <c r="BO84" s="185">
        <f t="shared" si="300"/>
        <v>0.31177829099307158</v>
      </c>
      <c r="BP84" s="5">
        <f t="shared" si="301"/>
        <v>1.5</v>
      </c>
      <c r="BQ84" s="21">
        <f t="shared" si="302"/>
        <v>0.66666666666666663</v>
      </c>
      <c r="BR84" s="5">
        <f t="shared" si="303"/>
        <v>-4.9399999999999995</v>
      </c>
      <c r="BS84" s="5">
        <f t="shared" si="304"/>
        <v>0.11777777777777779</v>
      </c>
      <c r="BT84" s="24">
        <f t="shared" si="305"/>
        <v>288.66666666666669</v>
      </c>
      <c r="BU84" s="5">
        <f t="shared" si="306"/>
        <v>46.392857142857146</v>
      </c>
      <c r="BV84" s="5">
        <f t="shared" si="307"/>
        <v>1.3100000000000005</v>
      </c>
      <c r="BW84" s="5">
        <f t="shared" si="308"/>
        <v>1.3100000000000005</v>
      </c>
      <c r="BX84" s="6">
        <f t="shared" si="309"/>
        <v>83</v>
      </c>
      <c r="BY84" s="5">
        <f t="shared" si="310"/>
        <v>2.8752886836027711</v>
      </c>
      <c r="BZ84" s="6">
        <f t="shared" si="311"/>
        <v>37</v>
      </c>
      <c r="CA84" s="5">
        <f t="shared" si="312"/>
        <v>1.2817551963048499</v>
      </c>
      <c r="CB84" s="6">
        <f t="shared" si="313"/>
        <v>46</v>
      </c>
      <c r="CC84" s="5">
        <f t="shared" si="314"/>
        <v>1.5935334872979214</v>
      </c>
      <c r="CD84" s="5">
        <f t="shared" si="315"/>
        <v>1.5935334872979214</v>
      </c>
      <c r="CE84" s="21">
        <f t="shared" si="316"/>
        <v>0.55421686746987953</v>
      </c>
      <c r="CF84" s="5">
        <f t="shared" si="317"/>
        <v>6.916666666666667</v>
      </c>
      <c r="CG84" s="5">
        <f t="shared" si="318"/>
        <v>3.8333333333333335</v>
      </c>
      <c r="CH84" s="21">
        <f t="shared" si="319"/>
        <v>0.14457831325301204</v>
      </c>
      <c r="CI84" s="298">
        <f t="shared" si="320"/>
        <v>12</v>
      </c>
      <c r="CJ84" s="298">
        <f t="shared" si="321"/>
        <v>0</v>
      </c>
      <c r="CK84" s="298">
        <f t="shared" si="322"/>
        <v>0</v>
      </c>
      <c r="CL84" s="21">
        <f t="shared" si="323"/>
        <v>0</v>
      </c>
      <c r="CM84" s="6">
        <f t="shared" si="324"/>
        <v>7.2</v>
      </c>
      <c r="CN84" s="5">
        <f t="shared" si="325"/>
        <v>0.24942263279445728</v>
      </c>
      <c r="CO84" s="167">
        <f t="shared" si="326"/>
        <v>99</v>
      </c>
      <c r="CP84" s="5">
        <f t="shared" si="327"/>
        <v>3.4295612009237875</v>
      </c>
      <c r="CQ84" s="6">
        <f t="shared" si="328"/>
        <v>60</v>
      </c>
      <c r="CR84" s="5">
        <f t="shared" si="329"/>
        <v>2.0785219399538106</v>
      </c>
      <c r="CS84" s="21">
        <f t="shared" si="330"/>
        <v>0.60606060606060608</v>
      </c>
      <c r="CT84" s="6">
        <f t="shared" si="331"/>
        <v>67.06</v>
      </c>
      <c r="CU84" s="5">
        <f t="shared" si="332"/>
        <v>2.3230946882217092</v>
      </c>
      <c r="CV84" s="6">
        <f t="shared" si="333"/>
        <v>71.56</v>
      </c>
      <c r="CW84" s="5">
        <f t="shared" si="334"/>
        <v>2.478983833718245</v>
      </c>
      <c r="CX84" s="385">
        <f t="shared" si="335"/>
        <v>4.1671593533487297</v>
      </c>
      <c r="CY84" s="5">
        <f t="shared" si="336"/>
        <v>25.323325635103927</v>
      </c>
      <c r="CZ84" s="5">
        <f t="shared" si="337"/>
        <v>15.969976905311778</v>
      </c>
      <c r="DA84" s="6">
        <f t="shared" si="338"/>
        <v>12</v>
      </c>
      <c r="DB84" s="5">
        <f t="shared" si="339"/>
        <v>0.41570438799076209</v>
      </c>
      <c r="DC84" s="6">
        <f t="shared" si="340"/>
        <v>103</v>
      </c>
      <c r="DD84" s="5">
        <f t="shared" si="341"/>
        <v>3.5681293302540413</v>
      </c>
      <c r="DE84" s="6">
        <f t="shared" si="342"/>
        <v>93</v>
      </c>
      <c r="DF84" s="5">
        <f t="shared" si="343"/>
        <v>3.2217090069284064</v>
      </c>
      <c r="DG84" s="6">
        <f t="shared" si="344"/>
        <v>215</v>
      </c>
      <c r="DH84" s="5">
        <f t="shared" si="345"/>
        <v>7.4480369515011544</v>
      </c>
      <c r="DI84" s="5">
        <f t="shared" si="346"/>
        <v>7.2</v>
      </c>
      <c r="DJ84" s="5">
        <f t="shared" si="347"/>
        <v>105.1</v>
      </c>
      <c r="DK84" s="5">
        <f t="shared" si="348"/>
        <v>3.6408775981524246</v>
      </c>
      <c r="DL84" s="286">
        <f t="shared" si="349"/>
        <v>57.733333333333334</v>
      </c>
      <c r="DM84" s="287">
        <f t="shared" si="350"/>
        <v>2</v>
      </c>
      <c r="DN84" s="60">
        <f t="shared" si="351"/>
        <v>7.14</v>
      </c>
      <c r="DO84"/>
      <c r="DP84" t="s">
        <v>1143</v>
      </c>
      <c r="DQ84" t="s">
        <v>1640</v>
      </c>
      <c r="DR84">
        <v>24</v>
      </c>
      <c r="DS84" t="s">
        <v>1641</v>
      </c>
      <c r="DT84" t="s">
        <v>799</v>
      </c>
      <c r="DU84" t="s">
        <v>1201</v>
      </c>
      <c r="DV84" t="s">
        <v>1202</v>
      </c>
      <c r="DW84" t="s">
        <v>1642</v>
      </c>
      <c r="DX84" s="430">
        <v>46914</v>
      </c>
      <c r="DY84">
        <v>2598</v>
      </c>
      <c r="DZ84">
        <v>29</v>
      </c>
      <c r="EA84">
        <v>0</v>
      </c>
      <c r="EB84">
        <v>12</v>
      </c>
      <c r="EC84">
        <v>6</v>
      </c>
      <c r="ED84">
        <v>1</v>
      </c>
      <c r="EE84">
        <v>7.2</v>
      </c>
      <c r="EF84" t="s">
        <v>1643</v>
      </c>
      <c r="EG84" t="s">
        <v>1644</v>
      </c>
      <c r="EH84">
        <v>37</v>
      </c>
      <c r="EI84">
        <v>34</v>
      </c>
      <c r="EJ84">
        <v>624</v>
      </c>
      <c r="EK84">
        <v>448</v>
      </c>
      <c r="EL84">
        <v>9</v>
      </c>
      <c r="EM84">
        <v>3</v>
      </c>
      <c r="EN84">
        <v>4</v>
      </c>
      <c r="EO84">
        <v>83</v>
      </c>
      <c r="EP84">
        <v>46</v>
      </c>
      <c r="EQ84">
        <v>16</v>
      </c>
      <c r="ER84">
        <v>5</v>
      </c>
      <c r="ES84">
        <v>3</v>
      </c>
      <c r="ET84">
        <v>1</v>
      </c>
      <c r="EU84">
        <v>3</v>
      </c>
      <c r="EV84">
        <v>1</v>
      </c>
      <c r="EW84">
        <v>0</v>
      </c>
      <c r="EX84">
        <v>0.2</v>
      </c>
      <c r="EY84">
        <v>0</v>
      </c>
      <c r="EZ84">
        <v>0</v>
      </c>
      <c r="FA84">
        <v>0</v>
      </c>
      <c r="FB84">
        <v>2</v>
      </c>
      <c r="FC84" t="s">
        <v>1645</v>
      </c>
      <c r="FD84">
        <v>7.14</v>
      </c>
    </row>
    <row r="85" spans="1:160" ht="24.95" customHeight="1" thickBot="1" x14ac:dyDescent="0.3">
      <c r="A85" s="29" t="str">
        <f t="shared" si="234"/>
        <v>84º</v>
      </c>
      <c r="B85" s="67" t="str">
        <f t="shared" si="236"/>
        <v>Santiago Rodríguez</v>
      </c>
      <c r="C85" s="83" t="str">
        <f t="shared" si="237"/>
        <v>ARG</v>
      </c>
      <c r="D85" s="9" t="str">
        <f t="shared" si="238"/>
        <v>Gimnasia (Mendoza)</v>
      </c>
      <c r="E85" s="91" t="str">
        <f t="shared" si="239"/>
        <v>Pé Esquerdo</v>
      </c>
      <c r="F85" s="155">
        <f t="shared" si="240"/>
        <v>1.71</v>
      </c>
      <c r="G85" s="35">
        <f t="shared" si="241"/>
        <v>46752</v>
      </c>
      <c r="H85" s="7">
        <f t="shared" si="242"/>
        <v>29</v>
      </c>
      <c r="I85" s="299" t="str">
        <f t="shared" si="243"/>
        <v>21,5m € - 33m € p/m</v>
      </c>
      <c r="J85" s="3" t="str">
        <f t="shared" si="244"/>
        <v>2,2M € - 4,9M €</v>
      </c>
      <c r="K85" s="89">
        <f t="shared" si="235"/>
        <v>31.398046398046404</v>
      </c>
      <c r="L85" s="133">
        <f t="shared" si="245"/>
        <v>22.633333333333333</v>
      </c>
      <c r="M85" s="134">
        <f t="shared" si="246"/>
        <v>29</v>
      </c>
      <c r="N85" s="134">
        <f t="shared" si="247"/>
        <v>70.241379310344826</v>
      </c>
      <c r="O85" s="173">
        <f t="shared" si="248"/>
        <v>0.97</v>
      </c>
      <c r="P85" s="402">
        <f t="shared" si="249"/>
        <v>6</v>
      </c>
      <c r="Q85" s="402">
        <f t="shared" si="250"/>
        <v>3</v>
      </c>
      <c r="R85" s="402">
        <f t="shared" si="251"/>
        <v>9</v>
      </c>
      <c r="S85" s="6">
        <f t="shared" si="252"/>
        <v>1</v>
      </c>
      <c r="T85" s="24">
        <f t="shared" si="253"/>
        <v>2037</v>
      </c>
      <c r="U85" s="21">
        <f t="shared" si="254"/>
        <v>4.4182621502209134E-2</v>
      </c>
      <c r="V85" s="298">
        <f t="shared" si="255"/>
        <v>0</v>
      </c>
      <c r="W85" s="300">
        <f t="shared" si="256"/>
        <v>0</v>
      </c>
      <c r="X85" s="298">
        <f t="shared" si="257"/>
        <v>0</v>
      </c>
      <c r="Y85" s="300">
        <f t="shared" si="258"/>
        <v>0</v>
      </c>
      <c r="Z85" s="290">
        <f t="shared" si="259"/>
        <v>0</v>
      </c>
      <c r="AA85" s="298">
        <f t="shared" si="260"/>
        <v>3</v>
      </c>
      <c r="AB85" s="286">
        <f t="shared" si="261"/>
        <v>2</v>
      </c>
      <c r="AC85" s="286">
        <f t="shared" si="262"/>
        <v>2</v>
      </c>
      <c r="AD85" s="286">
        <f t="shared" si="263"/>
        <v>0</v>
      </c>
      <c r="AE85" s="21">
        <f t="shared" si="264"/>
        <v>1</v>
      </c>
      <c r="AF85" s="421">
        <f t="shared" si="265"/>
        <v>6</v>
      </c>
      <c r="AG85" s="421">
        <f t="shared" si="266"/>
        <v>3</v>
      </c>
      <c r="AH85" s="421">
        <f t="shared" si="267"/>
        <v>9</v>
      </c>
      <c r="AI85" s="421">
        <f t="shared" si="268"/>
        <v>4</v>
      </c>
      <c r="AJ85" s="420">
        <f t="shared" si="269"/>
        <v>2</v>
      </c>
      <c r="AK85" s="422">
        <f t="shared" si="270"/>
        <v>0.26509572901325479</v>
      </c>
      <c r="AL85" s="422">
        <f t="shared" si="271"/>
        <v>0.13254786450662739</v>
      </c>
      <c r="AM85" s="422">
        <f t="shared" si="272"/>
        <v>0.39764359351988221</v>
      </c>
      <c r="AN85" s="5">
        <f t="shared" si="273"/>
        <v>5.48</v>
      </c>
      <c r="AO85" s="5">
        <f t="shared" si="274"/>
        <v>3.9000000000000004</v>
      </c>
      <c r="AP85" s="5">
        <f t="shared" si="275"/>
        <v>0.17231222385861564</v>
      </c>
      <c r="AQ85" s="5">
        <f t="shared" si="276"/>
        <v>2.69</v>
      </c>
      <c r="AR85" s="5">
        <f t="shared" si="277"/>
        <v>0.11885125184094256</v>
      </c>
      <c r="AS85" s="5">
        <f t="shared" si="278"/>
        <v>6.59</v>
      </c>
      <c r="AT85" s="5">
        <f t="shared" si="279"/>
        <v>0.29116347569955819</v>
      </c>
      <c r="AU85" s="21">
        <f t="shared" si="280"/>
        <v>0.47275922671353254</v>
      </c>
      <c r="AV85" s="21">
        <f t="shared" si="281"/>
        <v>0.52264808362369342</v>
      </c>
      <c r="AW85" s="6">
        <f t="shared" si="282"/>
        <v>20</v>
      </c>
      <c r="AX85" s="6">
        <f t="shared" si="283"/>
        <v>4</v>
      </c>
      <c r="AY85" s="21">
        <f t="shared" si="284"/>
        <v>0.2</v>
      </c>
      <c r="AZ85" s="304">
        <f t="shared" si="285"/>
        <v>31</v>
      </c>
      <c r="BA85" s="305">
        <f t="shared" si="286"/>
        <v>1.3696612665684831</v>
      </c>
      <c r="BB85" s="413">
        <f t="shared" si="287"/>
        <v>13.1935</v>
      </c>
      <c r="BC85" s="413">
        <f t="shared" si="288"/>
        <v>0.58292341678939619</v>
      </c>
      <c r="BD85" s="6">
        <f t="shared" si="289"/>
        <v>651</v>
      </c>
      <c r="BE85" s="5">
        <f t="shared" si="290"/>
        <v>28.762886597938145</v>
      </c>
      <c r="BF85" s="6">
        <f t="shared" si="291"/>
        <v>575</v>
      </c>
      <c r="BG85" s="5">
        <f t="shared" si="292"/>
        <v>25.405007363770252</v>
      </c>
      <c r="BH85" s="21">
        <f t="shared" si="293"/>
        <v>0.88325652841781876</v>
      </c>
      <c r="BI85" s="417">
        <f t="shared" si="294"/>
        <v>76</v>
      </c>
      <c r="BJ85" s="418">
        <f t="shared" si="295"/>
        <v>3.357879234167894</v>
      </c>
      <c r="BK85" s="195">
        <f t="shared" si="296"/>
        <v>28</v>
      </c>
      <c r="BL85" s="5">
        <f t="shared" si="297"/>
        <v>1.2371134020618557</v>
      </c>
      <c r="BM85" s="21">
        <f t="shared" si="298"/>
        <v>4.3010752688172046E-2</v>
      </c>
      <c r="BN85" s="195">
        <f t="shared" si="299"/>
        <v>29</v>
      </c>
      <c r="BO85" s="185">
        <f t="shared" si="300"/>
        <v>1.2812960235640649</v>
      </c>
      <c r="BP85" s="5">
        <f t="shared" si="301"/>
        <v>9.6666666666666661</v>
      </c>
      <c r="BQ85" s="21">
        <f t="shared" si="302"/>
        <v>0.10344827586206896</v>
      </c>
      <c r="BR85" s="5">
        <f t="shared" si="303"/>
        <v>-0.31000000000000005</v>
      </c>
      <c r="BS85" s="5">
        <f t="shared" si="304"/>
        <v>9.2758620689655166E-2</v>
      </c>
      <c r="BT85" s="24">
        <f t="shared" si="305"/>
        <v>70.241379310344826</v>
      </c>
      <c r="BU85" s="5">
        <f t="shared" si="306"/>
        <v>34.525423728813557</v>
      </c>
      <c r="BV85" s="5">
        <f t="shared" si="307"/>
        <v>0.51999999999999957</v>
      </c>
      <c r="BW85" s="5">
        <f t="shared" si="308"/>
        <v>-1.0600000000000005</v>
      </c>
      <c r="BX85" s="6">
        <f t="shared" si="309"/>
        <v>57</v>
      </c>
      <c r="BY85" s="5">
        <f t="shared" si="310"/>
        <v>2.5184094256259204</v>
      </c>
      <c r="BZ85" s="6">
        <f t="shared" si="311"/>
        <v>30</v>
      </c>
      <c r="CA85" s="5">
        <f t="shared" si="312"/>
        <v>1.3254786450662739</v>
      </c>
      <c r="CB85" s="6">
        <f t="shared" si="313"/>
        <v>29</v>
      </c>
      <c r="CC85" s="5">
        <f t="shared" si="314"/>
        <v>1.2812960235640649</v>
      </c>
      <c r="CD85" s="5">
        <f t="shared" si="315"/>
        <v>1.1929307805596465</v>
      </c>
      <c r="CE85" s="21">
        <f t="shared" si="316"/>
        <v>0.47368421052631576</v>
      </c>
      <c r="CF85" s="5">
        <f t="shared" si="317"/>
        <v>14.25</v>
      </c>
      <c r="CG85" s="5">
        <f t="shared" si="318"/>
        <v>4.833333333333333</v>
      </c>
      <c r="CH85" s="21">
        <f t="shared" si="319"/>
        <v>7.0175438596491224E-2</v>
      </c>
      <c r="CI85" s="298">
        <f t="shared" si="320"/>
        <v>2</v>
      </c>
      <c r="CJ85" s="298">
        <f t="shared" si="321"/>
        <v>2</v>
      </c>
      <c r="CK85" s="298">
        <f t="shared" si="322"/>
        <v>2</v>
      </c>
      <c r="CL85" s="21">
        <f t="shared" si="323"/>
        <v>8.8365243004418267E-2</v>
      </c>
      <c r="CM85" s="6">
        <f t="shared" si="324"/>
        <v>20.8</v>
      </c>
      <c r="CN85" s="5">
        <f t="shared" si="325"/>
        <v>0.91899852724594999</v>
      </c>
      <c r="CO85" s="167">
        <f t="shared" si="326"/>
        <v>139</v>
      </c>
      <c r="CP85" s="5">
        <f t="shared" si="327"/>
        <v>6.1413843888070696</v>
      </c>
      <c r="CQ85" s="6">
        <f t="shared" si="328"/>
        <v>93</v>
      </c>
      <c r="CR85" s="5">
        <f t="shared" si="329"/>
        <v>4.1089837997054497</v>
      </c>
      <c r="CS85" s="21">
        <f t="shared" si="330"/>
        <v>0.6690647482014388</v>
      </c>
      <c r="CT85" s="6">
        <f t="shared" si="331"/>
        <v>72.19</v>
      </c>
      <c r="CU85" s="5">
        <f t="shared" si="332"/>
        <v>3.1895434462444769</v>
      </c>
      <c r="CV85" s="6">
        <f t="shared" si="333"/>
        <v>72.44</v>
      </c>
      <c r="CW85" s="5">
        <f t="shared" si="334"/>
        <v>3.2005891016200296</v>
      </c>
      <c r="CX85" s="385">
        <f t="shared" si="335"/>
        <v>9.2221944035346102</v>
      </c>
      <c r="CY85" s="5">
        <f t="shared" si="336"/>
        <v>36.759941089837994</v>
      </c>
      <c r="CZ85" s="5">
        <f t="shared" si="337"/>
        <v>28.055964653902798</v>
      </c>
      <c r="DA85" s="6">
        <f t="shared" si="338"/>
        <v>57</v>
      </c>
      <c r="DB85" s="5">
        <f t="shared" si="339"/>
        <v>2.5184094256259204</v>
      </c>
      <c r="DC85" s="6">
        <f t="shared" si="340"/>
        <v>168</v>
      </c>
      <c r="DD85" s="5">
        <f t="shared" si="341"/>
        <v>7.4226804123711343</v>
      </c>
      <c r="DE85" s="6">
        <f t="shared" si="342"/>
        <v>91</v>
      </c>
      <c r="DF85" s="5">
        <f t="shared" si="343"/>
        <v>4.0206185567010309</v>
      </c>
      <c r="DG85" s="6">
        <f t="shared" si="344"/>
        <v>122</v>
      </c>
      <c r="DH85" s="5">
        <f t="shared" si="345"/>
        <v>5.3902798232695144</v>
      </c>
      <c r="DI85" s="5">
        <f t="shared" si="346"/>
        <v>20.8</v>
      </c>
      <c r="DJ85" s="5">
        <f t="shared" si="347"/>
        <v>231.8</v>
      </c>
      <c r="DK85" s="5">
        <f t="shared" si="348"/>
        <v>10.241531664212078</v>
      </c>
      <c r="DL85" s="286">
        <f t="shared" si="349"/>
        <v>142.59</v>
      </c>
      <c r="DM85" s="287">
        <f t="shared" si="350"/>
        <v>6.3</v>
      </c>
      <c r="DN85" s="60">
        <f t="shared" si="351"/>
        <v>6.82</v>
      </c>
      <c r="DO85"/>
      <c r="DP85" t="s">
        <v>708</v>
      </c>
      <c r="DQ85" t="s">
        <v>1646</v>
      </c>
      <c r="DR85">
        <v>29</v>
      </c>
      <c r="DS85" t="s">
        <v>1647</v>
      </c>
      <c r="DT85" t="s">
        <v>1648</v>
      </c>
      <c r="DU85" t="s">
        <v>579</v>
      </c>
      <c r="DV85" t="s">
        <v>1649</v>
      </c>
      <c r="DW85" t="s">
        <v>1650</v>
      </c>
      <c r="DX85" s="430">
        <v>46752</v>
      </c>
      <c r="DY85">
        <v>2037</v>
      </c>
      <c r="DZ85" t="s">
        <v>1651</v>
      </c>
      <c r="EA85">
        <v>1</v>
      </c>
      <c r="EB85">
        <v>6</v>
      </c>
      <c r="EC85">
        <v>3</v>
      </c>
      <c r="ED85">
        <v>3</v>
      </c>
      <c r="EE85">
        <v>20.8</v>
      </c>
      <c r="EF85" t="s">
        <v>1652</v>
      </c>
      <c r="EG85" t="s">
        <v>1653</v>
      </c>
      <c r="EH85">
        <v>22</v>
      </c>
      <c r="EI85">
        <v>38</v>
      </c>
      <c r="EJ85">
        <v>651</v>
      </c>
      <c r="EK85">
        <v>575</v>
      </c>
      <c r="EL85">
        <v>29</v>
      </c>
      <c r="EM85">
        <v>28</v>
      </c>
      <c r="EN85">
        <v>31</v>
      </c>
      <c r="EO85">
        <v>59</v>
      </c>
      <c r="EP85">
        <v>29</v>
      </c>
      <c r="EQ85">
        <v>61</v>
      </c>
      <c r="ER85">
        <v>18</v>
      </c>
      <c r="ES85">
        <v>20</v>
      </c>
      <c r="ET85">
        <v>4</v>
      </c>
      <c r="EU85">
        <v>20</v>
      </c>
      <c r="EV85">
        <v>4</v>
      </c>
      <c r="EW85">
        <v>2</v>
      </c>
      <c r="EX85">
        <v>1</v>
      </c>
      <c r="EY85">
        <v>3</v>
      </c>
      <c r="EZ85">
        <v>2</v>
      </c>
      <c r="FA85">
        <v>2</v>
      </c>
      <c r="FB85">
        <v>6.3</v>
      </c>
      <c r="FC85" t="s">
        <v>1654</v>
      </c>
      <c r="FD85">
        <v>6.82</v>
      </c>
    </row>
    <row r="86" spans="1:160" ht="24.95" customHeight="1" thickBot="1" x14ac:dyDescent="0.3">
      <c r="A86" s="29" t="str">
        <f t="shared" si="234"/>
        <v>85º</v>
      </c>
      <c r="B86" s="67" t="str">
        <f t="shared" si="236"/>
        <v>Rwan Cruz</v>
      </c>
      <c r="C86" s="83" t="str">
        <f t="shared" si="237"/>
        <v>BRA</v>
      </c>
      <c r="D86" s="9" t="str">
        <f t="shared" si="238"/>
        <v>Ludogorets</v>
      </c>
      <c r="E86" s="91" t="str">
        <f t="shared" si="239"/>
        <v>Somente Pé Direito</v>
      </c>
      <c r="F86" s="155">
        <f t="shared" si="240"/>
        <v>1.87</v>
      </c>
      <c r="G86" s="35">
        <f t="shared" si="241"/>
        <v>47118</v>
      </c>
      <c r="H86" s="7">
        <f t="shared" si="242"/>
        <v>25</v>
      </c>
      <c r="I86" s="299" t="str">
        <f t="shared" si="243"/>
        <v>22,5m € - 34,5m € p/m</v>
      </c>
      <c r="J86" s="3" t="str">
        <f t="shared" si="244"/>
        <v>170m € - 12M €</v>
      </c>
      <c r="K86" s="89">
        <f t="shared" si="235"/>
        <v>31.398046398046404</v>
      </c>
      <c r="L86" s="133">
        <f t="shared" si="245"/>
        <v>24.422222222222221</v>
      </c>
      <c r="M86" s="134">
        <f t="shared" si="246"/>
        <v>27</v>
      </c>
      <c r="N86" s="134">
        <f t="shared" si="247"/>
        <v>81.407407407407405</v>
      </c>
      <c r="O86" s="173">
        <f t="shared" si="248"/>
        <v>1</v>
      </c>
      <c r="P86" s="402">
        <f t="shared" si="249"/>
        <v>17</v>
      </c>
      <c r="Q86" s="402">
        <f t="shared" si="250"/>
        <v>0</v>
      </c>
      <c r="R86" s="402">
        <f t="shared" si="251"/>
        <v>17</v>
      </c>
      <c r="S86" s="6">
        <f t="shared" si="252"/>
        <v>3</v>
      </c>
      <c r="T86" s="24">
        <f t="shared" si="253"/>
        <v>732.66666666666663</v>
      </c>
      <c r="U86" s="21">
        <f t="shared" si="254"/>
        <v>0.12283894449499545</v>
      </c>
      <c r="V86" s="298">
        <f t="shared" si="255"/>
        <v>0</v>
      </c>
      <c r="W86" s="300">
        <f t="shared" si="256"/>
        <v>0</v>
      </c>
      <c r="X86" s="298">
        <f t="shared" si="257"/>
        <v>0</v>
      </c>
      <c r="Y86" s="300">
        <f t="shared" si="258"/>
        <v>0</v>
      </c>
      <c r="Z86" s="290">
        <f t="shared" si="259"/>
        <v>0</v>
      </c>
      <c r="AA86" s="298">
        <f t="shared" si="260"/>
        <v>0</v>
      </c>
      <c r="AB86" s="286">
        <f t="shared" si="261"/>
        <v>0</v>
      </c>
      <c r="AC86" s="286">
        <f t="shared" si="262"/>
        <v>0</v>
      </c>
      <c r="AD86" s="286">
        <f t="shared" si="263"/>
        <v>0</v>
      </c>
      <c r="AE86" s="21">
        <f t="shared" si="264"/>
        <v>9.9999999999999995E-8</v>
      </c>
      <c r="AF86" s="421">
        <f t="shared" si="265"/>
        <v>17</v>
      </c>
      <c r="AG86" s="421">
        <f t="shared" si="266"/>
        <v>0</v>
      </c>
      <c r="AH86" s="421">
        <f t="shared" si="267"/>
        <v>17</v>
      </c>
      <c r="AI86" s="421">
        <f t="shared" si="268"/>
        <v>17</v>
      </c>
      <c r="AJ86" s="420">
        <f t="shared" si="269"/>
        <v>2</v>
      </c>
      <c r="AK86" s="422">
        <f t="shared" si="270"/>
        <v>0.69608735213830764</v>
      </c>
      <c r="AL86" s="422">
        <f t="shared" si="271"/>
        <v>0</v>
      </c>
      <c r="AM86" s="422">
        <f t="shared" si="272"/>
        <v>0.69608735213830764</v>
      </c>
      <c r="AN86" s="5">
        <f t="shared" si="273"/>
        <v>8.44</v>
      </c>
      <c r="AO86" s="5">
        <f t="shared" si="274"/>
        <v>8.44</v>
      </c>
      <c r="AP86" s="5">
        <f t="shared" si="275"/>
        <v>0.34558689717925389</v>
      </c>
      <c r="AQ86" s="5">
        <f t="shared" si="276"/>
        <v>2.79</v>
      </c>
      <c r="AR86" s="5">
        <f t="shared" si="277"/>
        <v>0.11424021838034577</v>
      </c>
      <c r="AS86" s="5">
        <f t="shared" si="278"/>
        <v>11.23</v>
      </c>
      <c r="AT86" s="5">
        <f t="shared" si="279"/>
        <v>0.45982711555959971</v>
      </c>
      <c r="AU86" s="21">
        <f t="shared" si="280"/>
        <v>1</v>
      </c>
      <c r="AV86" s="21">
        <f t="shared" si="281"/>
        <v>0.66823899371069184</v>
      </c>
      <c r="AW86" s="6">
        <f t="shared" si="282"/>
        <v>11</v>
      </c>
      <c r="AX86" s="6">
        <f t="shared" si="283"/>
        <v>4</v>
      </c>
      <c r="AY86" s="21">
        <f t="shared" si="284"/>
        <v>0.36363636363636365</v>
      </c>
      <c r="AZ86" s="304">
        <f t="shared" si="285"/>
        <v>18</v>
      </c>
      <c r="BA86" s="305">
        <f t="shared" si="286"/>
        <v>0.73703366696997274</v>
      </c>
      <c r="BB86" s="413">
        <f t="shared" si="287"/>
        <v>10.683499999999999</v>
      </c>
      <c r="BC86" s="413">
        <f t="shared" si="288"/>
        <v>0.43744995450409468</v>
      </c>
      <c r="BD86" s="6">
        <f t="shared" si="289"/>
        <v>655</v>
      </c>
      <c r="BE86" s="5">
        <f t="shared" si="290"/>
        <v>26.819836214740675</v>
      </c>
      <c r="BF86" s="6">
        <f t="shared" si="291"/>
        <v>569</v>
      </c>
      <c r="BG86" s="5">
        <f t="shared" si="292"/>
        <v>23.298453139217472</v>
      </c>
      <c r="BH86" s="21">
        <f t="shared" si="293"/>
        <v>0.86870229007633593</v>
      </c>
      <c r="BI86" s="417">
        <f t="shared" si="294"/>
        <v>86</v>
      </c>
      <c r="BJ86" s="418">
        <f t="shared" si="295"/>
        <v>3.521383075523203</v>
      </c>
      <c r="BK86" s="195">
        <f t="shared" si="296"/>
        <v>21</v>
      </c>
      <c r="BL86" s="5">
        <f t="shared" si="297"/>
        <v>0.85987261146496818</v>
      </c>
      <c r="BM86" s="21">
        <f t="shared" si="298"/>
        <v>3.2061068702290078E-2</v>
      </c>
      <c r="BN86" s="195">
        <f t="shared" si="299"/>
        <v>23</v>
      </c>
      <c r="BO86" s="185">
        <f t="shared" si="300"/>
        <v>0.94176524112829851</v>
      </c>
      <c r="BP86" s="5">
        <f t="shared" si="301"/>
        <v>25</v>
      </c>
      <c r="BQ86" s="21">
        <f t="shared" si="302"/>
        <v>0</v>
      </c>
      <c r="BR86" s="5">
        <f t="shared" si="303"/>
        <v>2.79</v>
      </c>
      <c r="BS86" s="5">
        <f t="shared" si="304"/>
        <v>0.12130434782608696</v>
      </c>
      <c r="BT86" s="24">
        <f t="shared" si="305"/>
        <v>95.565217391304344</v>
      </c>
      <c r="BU86" s="5">
        <f t="shared" si="306"/>
        <v>33.303030303030305</v>
      </c>
      <c r="BV86" s="5">
        <f t="shared" si="307"/>
        <v>8.56</v>
      </c>
      <c r="BW86" s="5">
        <f t="shared" si="308"/>
        <v>8.56</v>
      </c>
      <c r="BX86" s="6">
        <f t="shared" si="309"/>
        <v>79</v>
      </c>
      <c r="BY86" s="5">
        <f t="shared" si="310"/>
        <v>3.2347588717015472</v>
      </c>
      <c r="BZ86" s="6">
        <f t="shared" si="311"/>
        <v>41</v>
      </c>
      <c r="CA86" s="5">
        <f t="shared" si="312"/>
        <v>1.6787989080982713</v>
      </c>
      <c r="CB86" s="6">
        <f t="shared" si="313"/>
        <v>38</v>
      </c>
      <c r="CC86" s="5">
        <f t="shared" si="314"/>
        <v>1.5559599636032757</v>
      </c>
      <c r="CD86" s="5">
        <f t="shared" si="315"/>
        <v>1.5559599636032757</v>
      </c>
      <c r="CE86" s="21">
        <f t="shared" si="316"/>
        <v>0.48101265822784811</v>
      </c>
      <c r="CF86" s="5">
        <f t="shared" si="317"/>
        <v>4.6470588235294121</v>
      </c>
      <c r="CG86" s="5">
        <f t="shared" si="318"/>
        <v>2.2352941176470589</v>
      </c>
      <c r="CH86" s="21">
        <f t="shared" si="319"/>
        <v>0.21518987341772153</v>
      </c>
      <c r="CI86" s="298">
        <f t="shared" si="320"/>
        <v>15</v>
      </c>
      <c r="CJ86" s="298">
        <f t="shared" si="321"/>
        <v>2</v>
      </c>
      <c r="CK86" s="298">
        <f t="shared" si="322"/>
        <v>0</v>
      </c>
      <c r="CL86" s="21">
        <f t="shared" si="323"/>
        <v>8.1892629663330302E-2</v>
      </c>
      <c r="CM86" s="6">
        <f t="shared" si="324"/>
        <v>16.3</v>
      </c>
      <c r="CN86" s="5">
        <f t="shared" si="325"/>
        <v>0.66742493175614204</v>
      </c>
      <c r="CO86" s="167">
        <f t="shared" si="326"/>
        <v>131</v>
      </c>
      <c r="CP86" s="5">
        <f t="shared" si="327"/>
        <v>5.3639672429481351</v>
      </c>
      <c r="CQ86" s="6">
        <f t="shared" si="328"/>
        <v>83</v>
      </c>
      <c r="CR86" s="5">
        <f t="shared" si="329"/>
        <v>3.3985441310282076</v>
      </c>
      <c r="CS86" s="21">
        <f t="shared" si="330"/>
        <v>0.63358778625954193</v>
      </c>
      <c r="CT86" s="6">
        <f t="shared" si="331"/>
        <v>83.289999999999992</v>
      </c>
      <c r="CU86" s="5">
        <f t="shared" si="332"/>
        <v>3.4104185623293901</v>
      </c>
      <c r="CV86" s="6">
        <f t="shared" si="333"/>
        <v>85.539999999999992</v>
      </c>
      <c r="CW86" s="5">
        <f t="shared" si="334"/>
        <v>3.5025477707006369</v>
      </c>
      <c r="CX86" s="385">
        <f t="shared" si="335"/>
        <v>8.7840900818926304</v>
      </c>
      <c r="CY86" s="5">
        <f t="shared" si="336"/>
        <v>33.739763421292089</v>
      </c>
      <c r="CZ86" s="5">
        <f t="shared" si="337"/>
        <v>25.304822565969065</v>
      </c>
      <c r="DA86" s="6">
        <f t="shared" si="338"/>
        <v>44</v>
      </c>
      <c r="DB86" s="5">
        <f t="shared" si="339"/>
        <v>1.8016378525932668</v>
      </c>
      <c r="DC86" s="6">
        <f t="shared" si="340"/>
        <v>157</v>
      </c>
      <c r="DD86" s="5">
        <f t="shared" si="341"/>
        <v>6.4285714285714288</v>
      </c>
      <c r="DE86" s="6">
        <f t="shared" si="342"/>
        <v>107</v>
      </c>
      <c r="DF86" s="5">
        <f t="shared" si="343"/>
        <v>4.3812556869881716</v>
      </c>
      <c r="DG86" s="6">
        <f t="shared" si="344"/>
        <v>134</v>
      </c>
      <c r="DH86" s="5">
        <f t="shared" si="345"/>
        <v>5.4868061874431309</v>
      </c>
      <c r="DI86" s="5">
        <f t="shared" si="346"/>
        <v>16.3</v>
      </c>
      <c r="DJ86" s="5">
        <f t="shared" si="347"/>
        <v>235.8</v>
      </c>
      <c r="DK86" s="5">
        <f t="shared" si="348"/>
        <v>9.6551410373066435</v>
      </c>
      <c r="DL86" s="286">
        <f t="shared" si="349"/>
        <v>122.1111111111111</v>
      </c>
      <c r="DM86" s="287">
        <f t="shared" si="350"/>
        <v>5</v>
      </c>
      <c r="DN86" s="60">
        <f t="shared" si="351"/>
        <v>7.17</v>
      </c>
      <c r="DO86"/>
      <c r="DP86" t="s">
        <v>13</v>
      </c>
      <c r="DQ86" t="s">
        <v>1655</v>
      </c>
      <c r="DR86">
        <v>25</v>
      </c>
      <c r="DS86" t="s">
        <v>1656</v>
      </c>
      <c r="DT86" t="s">
        <v>713</v>
      </c>
      <c r="DU86" t="s">
        <v>574</v>
      </c>
      <c r="DV86" t="s">
        <v>1657</v>
      </c>
      <c r="DW86" t="s">
        <v>1658</v>
      </c>
      <c r="DX86" s="430">
        <v>47118</v>
      </c>
      <c r="DY86">
        <v>2198</v>
      </c>
      <c r="DZ86">
        <v>27</v>
      </c>
      <c r="EA86">
        <v>3</v>
      </c>
      <c r="EB86">
        <v>17</v>
      </c>
      <c r="EC86">
        <v>0</v>
      </c>
      <c r="ED86">
        <v>5</v>
      </c>
      <c r="EE86">
        <v>16.3</v>
      </c>
      <c r="EF86" t="s">
        <v>1659</v>
      </c>
      <c r="EG86" t="s">
        <v>1660</v>
      </c>
      <c r="EH86">
        <v>15</v>
      </c>
      <c r="EI86">
        <v>51</v>
      </c>
      <c r="EJ86">
        <v>655</v>
      </c>
      <c r="EK86">
        <v>569</v>
      </c>
      <c r="EL86">
        <v>23</v>
      </c>
      <c r="EM86">
        <v>21</v>
      </c>
      <c r="EN86">
        <v>18</v>
      </c>
      <c r="EO86">
        <v>79</v>
      </c>
      <c r="EP86">
        <v>38</v>
      </c>
      <c r="EQ86">
        <v>37</v>
      </c>
      <c r="ER86">
        <v>15</v>
      </c>
      <c r="ES86">
        <v>11</v>
      </c>
      <c r="ET86">
        <v>4</v>
      </c>
      <c r="EU86">
        <v>11</v>
      </c>
      <c r="EV86">
        <v>4</v>
      </c>
      <c r="EW86">
        <v>2</v>
      </c>
      <c r="EX86">
        <v>1</v>
      </c>
      <c r="EY86">
        <v>0</v>
      </c>
      <c r="EZ86">
        <v>0</v>
      </c>
      <c r="FA86">
        <v>0</v>
      </c>
      <c r="FB86">
        <v>5</v>
      </c>
      <c r="FC86" t="s">
        <v>1661</v>
      </c>
      <c r="FD86">
        <v>7.17</v>
      </c>
    </row>
    <row r="87" spans="1:160" ht="24.95" customHeight="1" thickBot="1" x14ac:dyDescent="0.3">
      <c r="A87" s="29" t="str">
        <f t="shared" si="234"/>
        <v>86º</v>
      </c>
      <c r="B87" s="67" t="str">
        <f t="shared" si="236"/>
        <v>Leandro Moreira</v>
      </c>
      <c r="C87" s="83" t="str">
        <f t="shared" si="237"/>
        <v>ARG</v>
      </c>
      <c r="D87" s="9" t="str">
        <f t="shared" si="238"/>
        <v>Argentino (Merlo)</v>
      </c>
      <c r="E87" s="91" t="str">
        <f t="shared" si="239"/>
        <v>Pé Esquerdo</v>
      </c>
      <c r="F87" s="155">
        <f t="shared" si="240"/>
        <v>1.83</v>
      </c>
      <c r="G87" s="35">
        <f t="shared" si="241"/>
        <v>46387</v>
      </c>
      <c r="H87" s="7">
        <f t="shared" si="242"/>
        <v>24</v>
      </c>
      <c r="I87" s="299" t="str">
        <f t="shared" si="243"/>
        <v>950 € - 1,5m € p/m</v>
      </c>
      <c r="J87" s="3" t="str">
        <f t="shared" si="244"/>
        <v>0 € - 70m €</v>
      </c>
      <c r="K87" s="89">
        <f t="shared" si="235"/>
        <v>31.398046398046404</v>
      </c>
      <c r="L87" s="133">
        <f t="shared" si="245"/>
        <v>30.244444444444444</v>
      </c>
      <c r="M87" s="134">
        <f t="shared" si="246"/>
        <v>38</v>
      </c>
      <c r="N87" s="134">
        <f t="shared" si="247"/>
        <v>71.631578947368425</v>
      </c>
      <c r="O87" s="173">
        <f t="shared" si="248"/>
        <v>1</v>
      </c>
      <c r="P87" s="402">
        <f t="shared" si="249"/>
        <v>14</v>
      </c>
      <c r="Q87" s="402">
        <f t="shared" si="250"/>
        <v>2</v>
      </c>
      <c r="R87" s="402">
        <f t="shared" si="251"/>
        <v>16</v>
      </c>
      <c r="S87" s="6">
        <f t="shared" si="252"/>
        <v>1</v>
      </c>
      <c r="T87" s="24">
        <f t="shared" si="253"/>
        <v>2722</v>
      </c>
      <c r="U87" s="21">
        <f t="shared" si="254"/>
        <v>3.3063923585598828E-2</v>
      </c>
      <c r="V87" s="298">
        <f t="shared" si="255"/>
        <v>0</v>
      </c>
      <c r="W87" s="300">
        <f t="shared" si="256"/>
        <v>0</v>
      </c>
      <c r="X87" s="298">
        <f t="shared" si="257"/>
        <v>0</v>
      </c>
      <c r="Y87" s="300">
        <f t="shared" si="258"/>
        <v>0</v>
      </c>
      <c r="Z87" s="290">
        <f t="shared" si="259"/>
        <v>0</v>
      </c>
      <c r="AA87" s="298">
        <f t="shared" si="260"/>
        <v>4</v>
      </c>
      <c r="AB87" s="286">
        <f t="shared" si="261"/>
        <v>0</v>
      </c>
      <c r="AC87" s="286">
        <f t="shared" si="262"/>
        <v>0</v>
      </c>
      <c r="AD87" s="286">
        <f t="shared" si="263"/>
        <v>0</v>
      </c>
      <c r="AE87" s="21">
        <f t="shared" si="264"/>
        <v>9.9999999999999995E-8</v>
      </c>
      <c r="AF87" s="421">
        <f t="shared" si="265"/>
        <v>14</v>
      </c>
      <c r="AG87" s="421">
        <f t="shared" si="266"/>
        <v>2</v>
      </c>
      <c r="AH87" s="421">
        <f t="shared" si="267"/>
        <v>16</v>
      </c>
      <c r="AI87" s="421">
        <f t="shared" si="268"/>
        <v>14</v>
      </c>
      <c r="AJ87" s="420">
        <f t="shared" si="269"/>
        <v>0</v>
      </c>
      <c r="AK87" s="422">
        <f t="shared" si="270"/>
        <v>0.46289493019838357</v>
      </c>
      <c r="AL87" s="422">
        <f t="shared" si="271"/>
        <v>6.6127847171197657E-2</v>
      </c>
      <c r="AM87" s="422">
        <f t="shared" si="272"/>
        <v>0.52902277736958125</v>
      </c>
      <c r="AN87" s="5">
        <f t="shared" si="273"/>
        <v>12.26</v>
      </c>
      <c r="AO87" s="5">
        <f t="shared" si="274"/>
        <v>12.26</v>
      </c>
      <c r="AP87" s="5">
        <f t="shared" si="275"/>
        <v>0.40536370315944159</v>
      </c>
      <c r="AQ87" s="5">
        <f t="shared" si="276"/>
        <v>0.99</v>
      </c>
      <c r="AR87" s="5">
        <f t="shared" si="277"/>
        <v>3.273328434974284E-2</v>
      </c>
      <c r="AS87" s="5">
        <f t="shared" si="278"/>
        <v>13.25</v>
      </c>
      <c r="AT87" s="5">
        <f t="shared" si="279"/>
        <v>0.43809698750918441</v>
      </c>
      <c r="AU87" s="21">
        <f t="shared" si="280"/>
        <v>0.33110367892976583</v>
      </c>
      <c r="AV87" s="21">
        <f t="shared" si="281"/>
        <v>0.53313023610053312</v>
      </c>
      <c r="AW87" s="6">
        <f t="shared" si="282"/>
        <v>12</v>
      </c>
      <c r="AX87" s="6">
        <f t="shared" si="283"/>
        <v>2</v>
      </c>
      <c r="AY87" s="21">
        <f t="shared" si="284"/>
        <v>0.16666666666666666</v>
      </c>
      <c r="AZ87" s="304">
        <f t="shared" si="285"/>
        <v>24</v>
      </c>
      <c r="BA87" s="305">
        <f t="shared" si="286"/>
        <v>0.79353416605437177</v>
      </c>
      <c r="BB87" s="413">
        <f t="shared" si="287"/>
        <v>9.8285000000000018</v>
      </c>
      <c r="BC87" s="413">
        <f t="shared" si="288"/>
        <v>0.32496877296105808</v>
      </c>
      <c r="BD87" s="6">
        <f t="shared" si="289"/>
        <v>734</v>
      </c>
      <c r="BE87" s="5">
        <f t="shared" si="290"/>
        <v>24.268919911829538</v>
      </c>
      <c r="BF87" s="6">
        <f t="shared" si="291"/>
        <v>641</v>
      </c>
      <c r="BG87" s="5">
        <f t="shared" si="292"/>
        <v>21.193975018368846</v>
      </c>
      <c r="BH87" s="21">
        <f t="shared" si="293"/>
        <v>0.8732970027247956</v>
      </c>
      <c r="BI87" s="417">
        <f t="shared" si="294"/>
        <v>93</v>
      </c>
      <c r="BJ87" s="418">
        <f t="shared" si="295"/>
        <v>3.0749448934606907</v>
      </c>
      <c r="BK87" s="195">
        <f t="shared" si="296"/>
        <v>15</v>
      </c>
      <c r="BL87" s="5">
        <f t="shared" si="297"/>
        <v>0.49595885378398236</v>
      </c>
      <c r="BM87" s="21">
        <f t="shared" si="298"/>
        <v>2.0435967302452316E-2</v>
      </c>
      <c r="BN87" s="195">
        <f t="shared" si="299"/>
        <v>19</v>
      </c>
      <c r="BO87" s="185">
        <f t="shared" si="300"/>
        <v>0.62821454812637767</v>
      </c>
      <c r="BP87" s="5">
        <f t="shared" si="301"/>
        <v>9.5</v>
      </c>
      <c r="BQ87" s="21">
        <f t="shared" si="302"/>
        <v>0.10526315789473684</v>
      </c>
      <c r="BR87" s="5">
        <f t="shared" si="303"/>
        <v>-1.01</v>
      </c>
      <c r="BS87" s="5">
        <f t="shared" si="304"/>
        <v>5.2105263157894738E-2</v>
      </c>
      <c r="BT87" s="24">
        <f t="shared" si="305"/>
        <v>143.26315789473685</v>
      </c>
      <c r="BU87" s="5">
        <f t="shared" si="306"/>
        <v>39.449275362318843</v>
      </c>
      <c r="BV87" s="5">
        <f t="shared" si="307"/>
        <v>1.7400000000000002</v>
      </c>
      <c r="BW87" s="5">
        <f t="shared" si="308"/>
        <v>1.7400000000000002</v>
      </c>
      <c r="BX87" s="6">
        <f t="shared" si="309"/>
        <v>99</v>
      </c>
      <c r="BY87" s="5">
        <f t="shared" si="310"/>
        <v>3.2733284349742835</v>
      </c>
      <c r="BZ87" s="6">
        <f t="shared" si="311"/>
        <v>52</v>
      </c>
      <c r="CA87" s="5">
        <f t="shared" si="312"/>
        <v>1.7193240264511389</v>
      </c>
      <c r="CB87" s="6">
        <f t="shared" si="313"/>
        <v>47</v>
      </c>
      <c r="CC87" s="5">
        <f t="shared" si="314"/>
        <v>1.5540044085231448</v>
      </c>
      <c r="CD87" s="5">
        <f t="shared" si="315"/>
        <v>1.5540044085231448</v>
      </c>
      <c r="CE87" s="21">
        <f t="shared" si="316"/>
        <v>0.47474747474747475</v>
      </c>
      <c r="CF87" s="5">
        <f t="shared" si="317"/>
        <v>7.0714285714285712</v>
      </c>
      <c r="CG87" s="5">
        <f t="shared" si="318"/>
        <v>3.3571428571428572</v>
      </c>
      <c r="CH87" s="21">
        <f t="shared" si="319"/>
        <v>0.14141414141414141</v>
      </c>
      <c r="CI87" s="298">
        <f t="shared" si="320"/>
        <v>14</v>
      </c>
      <c r="CJ87" s="298">
        <f t="shared" si="321"/>
        <v>0</v>
      </c>
      <c r="CK87" s="298">
        <f t="shared" si="322"/>
        <v>0</v>
      </c>
      <c r="CL87" s="21">
        <f t="shared" si="323"/>
        <v>0</v>
      </c>
      <c r="CM87" s="6">
        <f t="shared" si="324"/>
        <v>22.6</v>
      </c>
      <c r="CN87" s="5">
        <f t="shared" si="325"/>
        <v>0.74724467303453346</v>
      </c>
      <c r="CO87" s="167">
        <f t="shared" si="326"/>
        <v>154</v>
      </c>
      <c r="CP87" s="5">
        <f t="shared" si="327"/>
        <v>5.0918442321822193</v>
      </c>
      <c r="CQ87" s="6">
        <f t="shared" si="328"/>
        <v>92</v>
      </c>
      <c r="CR87" s="5">
        <f t="shared" si="329"/>
        <v>3.0418809698750917</v>
      </c>
      <c r="CS87" s="21">
        <f t="shared" si="330"/>
        <v>0.59740259740259738</v>
      </c>
      <c r="CT87" s="6">
        <f t="shared" si="331"/>
        <v>79.990000000000009</v>
      </c>
      <c r="CU87" s="5">
        <f t="shared" si="332"/>
        <v>2.6447832476120503</v>
      </c>
      <c r="CV87" s="6">
        <f t="shared" si="333"/>
        <v>83.99</v>
      </c>
      <c r="CW87" s="5">
        <f t="shared" si="334"/>
        <v>2.7770389419544452</v>
      </c>
      <c r="CX87" s="385">
        <f t="shared" si="335"/>
        <v>6.055426157237326</v>
      </c>
      <c r="CY87" s="5">
        <f t="shared" si="336"/>
        <v>30.286554004408526</v>
      </c>
      <c r="CZ87" s="5">
        <f t="shared" si="337"/>
        <v>22.417340191036004</v>
      </c>
      <c r="DA87" s="6">
        <f t="shared" si="338"/>
        <v>34</v>
      </c>
      <c r="DB87" s="5">
        <f t="shared" si="339"/>
        <v>1.12417340191036</v>
      </c>
      <c r="DC87" s="6">
        <f t="shared" si="340"/>
        <v>172</v>
      </c>
      <c r="DD87" s="5">
        <f t="shared" si="341"/>
        <v>5.6869948567229978</v>
      </c>
      <c r="DE87" s="6">
        <f t="shared" si="342"/>
        <v>121</v>
      </c>
      <c r="DF87" s="5">
        <f t="shared" si="343"/>
        <v>4.0007347538574578</v>
      </c>
      <c r="DG87" s="6">
        <f t="shared" si="344"/>
        <v>155</v>
      </c>
      <c r="DH87" s="5">
        <f t="shared" si="345"/>
        <v>5.1249081557678178</v>
      </c>
      <c r="DI87" s="5">
        <f t="shared" si="346"/>
        <v>22.6</v>
      </c>
      <c r="DJ87" s="5">
        <f t="shared" si="347"/>
        <v>299.3</v>
      </c>
      <c r="DK87" s="5">
        <f t="shared" si="348"/>
        <v>9.8960323291697296</v>
      </c>
      <c r="DL87" s="286">
        <f t="shared" si="349"/>
        <v>160.29555555555555</v>
      </c>
      <c r="DM87" s="287">
        <f t="shared" si="350"/>
        <v>5.3</v>
      </c>
      <c r="DN87" s="60">
        <f t="shared" si="351"/>
        <v>6.82</v>
      </c>
      <c r="DO87" t="s">
        <v>19</v>
      </c>
      <c r="DP87" t="s">
        <v>708</v>
      </c>
      <c r="DQ87" t="s">
        <v>1662</v>
      </c>
      <c r="DR87">
        <v>24</v>
      </c>
      <c r="DS87" t="s">
        <v>1663</v>
      </c>
      <c r="DT87" t="s">
        <v>696</v>
      </c>
      <c r="DU87" t="s">
        <v>579</v>
      </c>
      <c r="DV87" t="s">
        <v>1664</v>
      </c>
      <c r="DW87" t="s">
        <v>1172</v>
      </c>
      <c r="DX87" s="430">
        <v>46387</v>
      </c>
      <c r="DY87">
        <v>2722</v>
      </c>
      <c r="DZ87">
        <v>38</v>
      </c>
      <c r="EA87">
        <v>1</v>
      </c>
      <c r="EB87">
        <v>14</v>
      </c>
      <c r="EC87">
        <v>2</v>
      </c>
      <c r="ED87">
        <v>3</v>
      </c>
      <c r="EE87">
        <v>22.6</v>
      </c>
      <c r="EF87" t="s">
        <v>1665</v>
      </c>
      <c r="EG87" t="s">
        <v>1666</v>
      </c>
      <c r="EH87">
        <v>37</v>
      </c>
      <c r="EI87">
        <v>39</v>
      </c>
      <c r="EJ87">
        <v>734</v>
      </c>
      <c r="EK87">
        <v>641</v>
      </c>
      <c r="EL87">
        <v>19</v>
      </c>
      <c r="EM87">
        <v>15</v>
      </c>
      <c r="EN87">
        <v>24</v>
      </c>
      <c r="EO87">
        <v>99</v>
      </c>
      <c r="EP87">
        <v>47</v>
      </c>
      <c r="EQ87">
        <v>46</v>
      </c>
      <c r="ER87">
        <v>14</v>
      </c>
      <c r="ES87">
        <v>12</v>
      </c>
      <c r="ET87">
        <v>2</v>
      </c>
      <c r="EU87">
        <v>12</v>
      </c>
      <c r="EV87">
        <v>2</v>
      </c>
      <c r="EW87">
        <v>0</v>
      </c>
      <c r="EX87">
        <v>1.1000000000000001</v>
      </c>
      <c r="EY87">
        <v>4</v>
      </c>
      <c r="EZ87">
        <v>0</v>
      </c>
      <c r="FA87">
        <v>0</v>
      </c>
      <c r="FB87">
        <v>5.3</v>
      </c>
      <c r="FC87" t="s">
        <v>1667</v>
      </c>
      <c r="FD87">
        <v>6.82</v>
      </c>
    </row>
    <row r="88" spans="1:160" ht="24.95" customHeight="1" thickBot="1" x14ac:dyDescent="0.3">
      <c r="A88" s="29" t="str">
        <f t="shared" si="234"/>
        <v>87º</v>
      </c>
      <c r="B88" s="67" t="str">
        <f t="shared" si="236"/>
        <v>Ramiro Pávez</v>
      </c>
      <c r="C88" s="83" t="str">
        <f t="shared" si="237"/>
        <v>ARG</v>
      </c>
      <c r="D88" s="9" t="str">
        <f t="shared" si="238"/>
        <v>Fernández Vial</v>
      </c>
      <c r="E88" s="91" t="str">
        <f t="shared" si="239"/>
        <v>Pé Preferido Desconhecido</v>
      </c>
      <c r="F88" s="155">
        <f t="shared" si="240"/>
        <v>1.83</v>
      </c>
      <c r="G88" s="35">
        <f t="shared" si="241"/>
        <v>46387</v>
      </c>
      <c r="H88" s="7">
        <f t="shared" si="242"/>
        <v>22</v>
      </c>
      <c r="I88" s="299" t="str">
        <f t="shared" si="243"/>
        <v>140 € - 250 € p/m</v>
      </c>
      <c r="J88" s="3" t="str">
        <f t="shared" si="244"/>
        <v>Desconhecido</v>
      </c>
      <c r="K88" s="89">
        <f t="shared" si="235"/>
        <v>31.398046398046404</v>
      </c>
      <c r="L88" s="133">
        <f t="shared" si="245"/>
        <v>24</v>
      </c>
      <c r="M88" s="134">
        <f t="shared" si="246"/>
        <v>24</v>
      </c>
      <c r="N88" s="134">
        <f t="shared" si="247"/>
        <v>90</v>
      </c>
      <c r="O88" s="173">
        <f t="shared" si="248"/>
        <v>1</v>
      </c>
      <c r="P88" s="402">
        <f t="shared" si="249"/>
        <v>9</v>
      </c>
      <c r="Q88" s="402">
        <f t="shared" si="250"/>
        <v>4</v>
      </c>
      <c r="R88" s="402">
        <f t="shared" si="251"/>
        <v>13</v>
      </c>
      <c r="S88" s="6">
        <f t="shared" si="252"/>
        <v>0</v>
      </c>
      <c r="T88" s="24">
        <f t="shared" si="253"/>
        <v>5000</v>
      </c>
      <c r="U88" s="21">
        <f t="shared" si="254"/>
        <v>0</v>
      </c>
      <c r="V88" s="298">
        <f t="shared" si="255"/>
        <v>0</v>
      </c>
      <c r="W88" s="300">
        <f t="shared" si="256"/>
        <v>0</v>
      </c>
      <c r="X88" s="298">
        <f t="shared" si="257"/>
        <v>0</v>
      </c>
      <c r="Y88" s="300">
        <f t="shared" si="258"/>
        <v>0</v>
      </c>
      <c r="Z88" s="290">
        <f t="shared" si="259"/>
        <v>0</v>
      </c>
      <c r="AA88" s="298">
        <f t="shared" si="260"/>
        <v>0</v>
      </c>
      <c r="AB88" s="286">
        <f t="shared" si="261"/>
        <v>0</v>
      </c>
      <c r="AC88" s="286">
        <f t="shared" si="262"/>
        <v>0</v>
      </c>
      <c r="AD88" s="286">
        <f t="shared" si="263"/>
        <v>0</v>
      </c>
      <c r="AE88" s="21">
        <f t="shared" si="264"/>
        <v>9.9999999999999995E-8</v>
      </c>
      <c r="AF88" s="421">
        <f t="shared" si="265"/>
        <v>9</v>
      </c>
      <c r="AG88" s="421">
        <f t="shared" si="266"/>
        <v>4</v>
      </c>
      <c r="AH88" s="421">
        <f t="shared" si="267"/>
        <v>13</v>
      </c>
      <c r="AI88" s="421">
        <f t="shared" si="268"/>
        <v>9</v>
      </c>
      <c r="AJ88" s="420">
        <f t="shared" si="269"/>
        <v>0</v>
      </c>
      <c r="AK88" s="422">
        <f t="shared" si="270"/>
        <v>0.375</v>
      </c>
      <c r="AL88" s="422">
        <f t="shared" si="271"/>
        <v>0.16666666666666666</v>
      </c>
      <c r="AM88" s="422">
        <f t="shared" si="272"/>
        <v>0.54166666666666663</v>
      </c>
      <c r="AN88" s="5">
        <f t="shared" si="273"/>
        <v>6.55</v>
      </c>
      <c r="AO88" s="5">
        <f t="shared" si="274"/>
        <v>6.55</v>
      </c>
      <c r="AP88" s="5">
        <f t="shared" si="275"/>
        <v>0.27291666666666664</v>
      </c>
      <c r="AQ88" s="5">
        <f t="shared" si="276"/>
        <v>2.38</v>
      </c>
      <c r="AR88" s="5">
        <f t="shared" si="277"/>
        <v>9.9166666666666667E-2</v>
      </c>
      <c r="AS88" s="5">
        <f t="shared" si="278"/>
        <v>8.93</v>
      </c>
      <c r="AT88" s="5">
        <f t="shared" si="279"/>
        <v>0.37208333333333332</v>
      </c>
      <c r="AU88" s="21">
        <f t="shared" si="280"/>
        <v>0.37304075235109718</v>
      </c>
      <c r="AV88" s="21">
        <f t="shared" si="281"/>
        <v>0.5787781350482315</v>
      </c>
      <c r="AW88" s="6">
        <f t="shared" si="282"/>
        <v>0</v>
      </c>
      <c r="AX88" s="6">
        <f t="shared" si="283"/>
        <v>0</v>
      </c>
      <c r="AY88" s="21">
        <f t="shared" si="284"/>
        <v>0</v>
      </c>
      <c r="AZ88" s="304">
        <f t="shared" si="285"/>
        <v>0</v>
      </c>
      <c r="BA88" s="305">
        <f t="shared" si="286"/>
        <v>0</v>
      </c>
      <c r="BB88" s="413">
        <f t="shared" si="287"/>
        <v>0.35699999999999998</v>
      </c>
      <c r="BC88" s="413">
        <f t="shared" si="288"/>
        <v>1.4874999999999999E-2</v>
      </c>
      <c r="BD88" s="6">
        <f t="shared" si="289"/>
        <v>480</v>
      </c>
      <c r="BE88" s="5">
        <f t="shared" si="290"/>
        <v>20</v>
      </c>
      <c r="BF88" s="6">
        <f t="shared" si="291"/>
        <v>282</v>
      </c>
      <c r="BG88" s="5">
        <f t="shared" si="292"/>
        <v>11.75</v>
      </c>
      <c r="BH88" s="21">
        <f t="shared" si="293"/>
        <v>0.58750000000000002</v>
      </c>
      <c r="BI88" s="417">
        <f t="shared" si="294"/>
        <v>198</v>
      </c>
      <c r="BJ88" s="418">
        <f t="shared" si="295"/>
        <v>8.25</v>
      </c>
      <c r="BK88" s="195">
        <f t="shared" si="296"/>
        <v>0</v>
      </c>
      <c r="BL88" s="5">
        <f t="shared" si="297"/>
        <v>0</v>
      </c>
      <c r="BM88" s="21">
        <f t="shared" si="298"/>
        <v>0</v>
      </c>
      <c r="BN88" s="195">
        <f t="shared" si="299"/>
        <v>0</v>
      </c>
      <c r="BO88" s="185">
        <f t="shared" si="300"/>
        <v>0</v>
      </c>
      <c r="BP88" s="5">
        <f t="shared" si="301"/>
        <v>0</v>
      </c>
      <c r="BQ88" s="21">
        <f t="shared" si="302"/>
        <v>0</v>
      </c>
      <c r="BR88" s="5">
        <f t="shared" si="303"/>
        <v>-1.62</v>
      </c>
      <c r="BS88" s="5">
        <f t="shared" si="304"/>
        <v>0</v>
      </c>
      <c r="BT88" s="24">
        <f t="shared" si="305"/>
        <v>0</v>
      </c>
      <c r="BU88" s="5">
        <f t="shared" si="306"/>
        <v>120</v>
      </c>
      <c r="BV88" s="5">
        <f t="shared" si="307"/>
        <v>2.4500000000000002</v>
      </c>
      <c r="BW88" s="5">
        <f t="shared" si="308"/>
        <v>2.4500000000000002</v>
      </c>
      <c r="BX88" s="6">
        <f t="shared" si="309"/>
        <v>53</v>
      </c>
      <c r="BY88" s="5">
        <f t="shared" si="310"/>
        <v>2.2083333333333335</v>
      </c>
      <c r="BZ88" s="6">
        <f t="shared" si="311"/>
        <v>35</v>
      </c>
      <c r="CA88" s="5">
        <f t="shared" si="312"/>
        <v>1.4583333333333333</v>
      </c>
      <c r="CB88" s="6">
        <f t="shared" si="313"/>
        <v>18</v>
      </c>
      <c r="CC88" s="5">
        <f t="shared" si="314"/>
        <v>0.75</v>
      </c>
      <c r="CD88" s="5">
        <f t="shared" si="315"/>
        <v>0.75</v>
      </c>
      <c r="CE88" s="21">
        <f t="shared" si="316"/>
        <v>0.33962264150943394</v>
      </c>
      <c r="CF88" s="5">
        <f t="shared" si="317"/>
        <v>5.8888888888888893</v>
      </c>
      <c r="CG88" s="5">
        <f t="shared" si="318"/>
        <v>2</v>
      </c>
      <c r="CH88" s="21">
        <f t="shared" si="319"/>
        <v>0.16981132075471697</v>
      </c>
      <c r="CI88" s="298">
        <f t="shared" si="320"/>
        <v>9</v>
      </c>
      <c r="CJ88" s="298">
        <f t="shared" si="321"/>
        <v>0</v>
      </c>
      <c r="CK88" s="298">
        <f t="shared" si="322"/>
        <v>0</v>
      </c>
      <c r="CL88" s="21">
        <f t="shared" si="323"/>
        <v>0</v>
      </c>
      <c r="CM88" s="6">
        <f t="shared" si="324"/>
        <v>0</v>
      </c>
      <c r="CN88" s="5">
        <f t="shared" si="325"/>
        <v>0</v>
      </c>
      <c r="CO88" s="167">
        <f t="shared" si="326"/>
        <v>53</v>
      </c>
      <c r="CP88" s="5">
        <f t="shared" si="327"/>
        <v>2.2083333333333335</v>
      </c>
      <c r="CQ88" s="6">
        <f t="shared" si="328"/>
        <v>18</v>
      </c>
      <c r="CR88" s="5">
        <f t="shared" si="329"/>
        <v>0.75</v>
      </c>
      <c r="CS88" s="21">
        <f t="shared" si="330"/>
        <v>0.33962264150943394</v>
      </c>
      <c r="CT88" s="6">
        <f t="shared" si="331"/>
        <v>26.88</v>
      </c>
      <c r="CU88" s="5">
        <f t="shared" si="332"/>
        <v>1.1199999999999999</v>
      </c>
      <c r="CV88" s="6">
        <f t="shared" si="333"/>
        <v>30.13</v>
      </c>
      <c r="CW88" s="5">
        <f t="shared" si="334"/>
        <v>1.2554166666666666</v>
      </c>
      <c r="CX88" s="385">
        <f t="shared" si="335"/>
        <v>2.6500000000000004</v>
      </c>
      <c r="CY88" s="5">
        <f t="shared" si="336"/>
        <v>22.208333333333332</v>
      </c>
      <c r="CZ88" s="5">
        <f t="shared" si="337"/>
        <v>11.75</v>
      </c>
      <c r="DA88" s="6">
        <f t="shared" si="338"/>
        <v>0</v>
      </c>
      <c r="DB88" s="5">
        <f t="shared" si="339"/>
        <v>0</v>
      </c>
      <c r="DC88" s="6">
        <f t="shared" si="340"/>
        <v>53</v>
      </c>
      <c r="DD88" s="5">
        <f t="shared" si="341"/>
        <v>2.2083333333333335</v>
      </c>
      <c r="DE88" s="6">
        <f t="shared" si="342"/>
        <v>53</v>
      </c>
      <c r="DF88" s="5">
        <f t="shared" si="343"/>
        <v>2.2083333333333335</v>
      </c>
      <c r="DG88" s="6">
        <f t="shared" si="344"/>
        <v>233</v>
      </c>
      <c r="DH88" s="5">
        <f t="shared" si="345"/>
        <v>9.7083333333333339</v>
      </c>
      <c r="DI88" s="5">
        <f t="shared" si="346"/>
        <v>0</v>
      </c>
      <c r="DJ88" s="5">
        <f t="shared" si="347"/>
        <v>0</v>
      </c>
      <c r="DK88" s="5">
        <f t="shared" si="348"/>
        <v>0</v>
      </c>
      <c r="DL88" s="286">
        <f t="shared" si="349"/>
        <v>0</v>
      </c>
      <c r="DM88" s="287">
        <f t="shared" si="350"/>
        <v>0</v>
      </c>
      <c r="DN88" s="60">
        <f t="shared" si="351"/>
        <v>7.23</v>
      </c>
      <c r="DO88"/>
      <c r="DP88" t="s">
        <v>708</v>
      </c>
      <c r="DQ88" t="s">
        <v>1668</v>
      </c>
      <c r="DR88">
        <v>22</v>
      </c>
      <c r="DS88" t="s">
        <v>1669</v>
      </c>
      <c r="DT88" t="s">
        <v>696</v>
      </c>
      <c r="DU88" t="s">
        <v>1201</v>
      </c>
      <c r="DV88" t="s">
        <v>1202</v>
      </c>
      <c r="DW88" t="s">
        <v>1670</v>
      </c>
      <c r="DX88" s="430">
        <v>46387</v>
      </c>
      <c r="DY88">
        <v>2160</v>
      </c>
      <c r="DZ88">
        <v>24</v>
      </c>
      <c r="EA88">
        <v>0</v>
      </c>
      <c r="EB88">
        <v>9</v>
      </c>
      <c r="EC88">
        <v>4</v>
      </c>
      <c r="ED88">
        <v>0</v>
      </c>
      <c r="EE88">
        <v>0</v>
      </c>
      <c r="EF88" t="s">
        <v>1671</v>
      </c>
      <c r="EG88" t="s">
        <v>1672</v>
      </c>
      <c r="EH88">
        <v>36</v>
      </c>
      <c r="EI88">
        <v>24</v>
      </c>
      <c r="EJ88">
        <v>480</v>
      </c>
      <c r="EK88">
        <v>282</v>
      </c>
      <c r="EL88">
        <v>0</v>
      </c>
      <c r="EM88">
        <v>0</v>
      </c>
      <c r="EN88">
        <v>0</v>
      </c>
      <c r="EO88">
        <v>53</v>
      </c>
      <c r="EP88">
        <v>18</v>
      </c>
      <c r="EQ88">
        <v>0</v>
      </c>
      <c r="ER88">
        <v>0</v>
      </c>
      <c r="ES88">
        <v>0</v>
      </c>
      <c r="ET88">
        <v>0</v>
      </c>
      <c r="EU88">
        <v>0</v>
      </c>
      <c r="EV88">
        <v>0</v>
      </c>
      <c r="EW88">
        <v>0</v>
      </c>
      <c r="EX88">
        <v>0</v>
      </c>
      <c r="EY88">
        <v>0</v>
      </c>
      <c r="EZ88">
        <v>0</v>
      </c>
      <c r="FA88">
        <v>0</v>
      </c>
      <c r="FB88">
        <v>0</v>
      </c>
      <c r="FC88" t="s">
        <v>1270</v>
      </c>
      <c r="FD88">
        <v>7.23</v>
      </c>
    </row>
    <row r="89" spans="1:160" ht="24.95" customHeight="1" thickBot="1" x14ac:dyDescent="0.3">
      <c r="A89" s="29" t="str">
        <f t="shared" si="234"/>
        <v>88º</v>
      </c>
      <c r="B89" s="67" t="str">
        <f t="shared" si="236"/>
        <v>Nelson Da Silva</v>
      </c>
      <c r="C89" s="83" t="str">
        <f t="shared" si="237"/>
        <v>ARG</v>
      </c>
      <c r="D89" s="9" t="str">
        <f t="shared" si="238"/>
        <v>Palestino</v>
      </c>
      <c r="E89" s="91" t="str">
        <f t="shared" si="239"/>
        <v>Pé Preferido Desconhecido</v>
      </c>
      <c r="F89" s="155">
        <f t="shared" si="240"/>
        <v>1.87</v>
      </c>
      <c r="G89" s="35">
        <f t="shared" si="241"/>
        <v>47118</v>
      </c>
      <c r="H89" s="7">
        <f t="shared" si="242"/>
        <v>30</v>
      </c>
      <c r="I89" s="299" t="str">
        <f t="shared" si="243"/>
        <v>2,9m € - 4,6m € p/m</v>
      </c>
      <c r="J89" s="3" t="str">
        <f t="shared" si="244"/>
        <v>Desconhecido</v>
      </c>
      <c r="K89" s="89">
        <f t="shared" si="235"/>
        <v>31.398046398046404</v>
      </c>
      <c r="L89" s="133">
        <f t="shared" si="245"/>
        <v>35.155555555555559</v>
      </c>
      <c r="M89" s="134">
        <f t="shared" si="246"/>
        <v>45</v>
      </c>
      <c r="N89" s="134">
        <f t="shared" si="247"/>
        <v>70.311111111111117</v>
      </c>
      <c r="O89" s="173">
        <f t="shared" si="248"/>
        <v>0.96</v>
      </c>
      <c r="P89" s="402">
        <f t="shared" si="249"/>
        <v>12</v>
      </c>
      <c r="Q89" s="402">
        <f t="shared" si="250"/>
        <v>1</v>
      </c>
      <c r="R89" s="402">
        <f t="shared" si="251"/>
        <v>13</v>
      </c>
      <c r="S89" s="6">
        <f t="shared" si="252"/>
        <v>2</v>
      </c>
      <c r="T89" s="24">
        <f t="shared" si="253"/>
        <v>1582</v>
      </c>
      <c r="U89" s="21">
        <f t="shared" si="254"/>
        <v>5.6890012642225027E-2</v>
      </c>
      <c r="V89" s="298">
        <f t="shared" si="255"/>
        <v>0</v>
      </c>
      <c r="W89" s="300">
        <f t="shared" si="256"/>
        <v>0</v>
      </c>
      <c r="X89" s="298">
        <f t="shared" si="257"/>
        <v>0</v>
      </c>
      <c r="Y89" s="300">
        <f t="shared" si="258"/>
        <v>0</v>
      </c>
      <c r="Z89" s="290">
        <f t="shared" si="259"/>
        <v>0</v>
      </c>
      <c r="AA89" s="298">
        <f t="shared" si="260"/>
        <v>0</v>
      </c>
      <c r="AB89" s="286">
        <f t="shared" si="261"/>
        <v>3</v>
      </c>
      <c r="AC89" s="286">
        <f t="shared" si="262"/>
        <v>3</v>
      </c>
      <c r="AD89" s="286">
        <f t="shared" si="263"/>
        <v>0</v>
      </c>
      <c r="AE89" s="21">
        <f t="shared" si="264"/>
        <v>1</v>
      </c>
      <c r="AF89" s="421">
        <f t="shared" si="265"/>
        <v>12</v>
      </c>
      <c r="AG89" s="421">
        <f t="shared" si="266"/>
        <v>1</v>
      </c>
      <c r="AH89" s="421">
        <f t="shared" si="267"/>
        <v>13</v>
      </c>
      <c r="AI89" s="421">
        <f t="shared" si="268"/>
        <v>9</v>
      </c>
      <c r="AJ89" s="420">
        <f t="shared" si="269"/>
        <v>2</v>
      </c>
      <c r="AK89" s="422">
        <f t="shared" si="270"/>
        <v>0.34134007585335013</v>
      </c>
      <c r="AL89" s="422">
        <f t="shared" si="271"/>
        <v>2.8445006321112513E-2</v>
      </c>
      <c r="AM89" s="422">
        <f t="shared" si="272"/>
        <v>0.36978508217446265</v>
      </c>
      <c r="AN89" s="5">
        <f t="shared" si="273"/>
        <v>8.83</v>
      </c>
      <c r="AO89" s="5">
        <f t="shared" si="274"/>
        <v>6.46</v>
      </c>
      <c r="AP89" s="5">
        <f t="shared" si="275"/>
        <v>0.18375474083438684</v>
      </c>
      <c r="AQ89" s="5">
        <f t="shared" si="276"/>
        <v>3.46</v>
      </c>
      <c r="AR89" s="5">
        <f t="shared" si="277"/>
        <v>9.841972187104929E-2</v>
      </c>
      <c r="AS89" s="5">
        <f t="shared" si="278"/>
        <v>9.92</v>
      </c>
      <c r="AT89" s="5">
        <f t="shared" si="279"/>
        <v>0.28217446270543611</v>
      </c>
      <c r="AU89" s="21">
        <f t="shared" si="280"/>
        <v>0.77578475336322872</v>
      </c>
      <c r="AV89" s="21">
        <f t="shared" si="281"/>
        <v>0.57609217474795971</v>
      </c>
      <c r="AW89" s="6">
        <f t="shared" si="282"/>
        <v>18</v>
      </c>
      <c r="AX89" s="6">
        <f t="shared" si="283"/>
        <v>7</v>
      </c>
      <c r="AY89" s="21">
        <f t="shared" si="284"/>
        <v>0.3888888888888889</v>
      </c>
      <c r="AZ89" s="304">
        <f t="shared" si="285"/>
        <v>25</v>
      </c>
      <c r="BA89" s="305">
        <f t="shared" si="286"/>
        <v>0.71112515802781284</v>
      </c>
      <c r="BB89" s="413">
        <f t="shared" si="287"/>
        <v>12.554</v>
      </c>
      <c r="BC89" s="413">
        <f t="shared" si="288"/>
        <v>0.35709860935524645</v>
      </c>
      <c r="BD89" s="6">
        <f t="shared" si="289"/>
        <v>854</v>
      </c>
      <c r="BE89" s="5">
        <f t="shared" si="290"/>
        <v>24.292035398230087</v>
      </c>
      <c r="BF89" s="6">
        <f t="shared" si="291"/>
        <v>755</v>
      </c>
      <c r="BG89" s="5">
        <f t="shared" si="292"/>
        <v>21.475979772439949</v>
      </c>
      <c r="BH89" s="21">
        <f t="shared" si="293"/>
        <v>0.88407494145199061</v>
      </c>
      <c r="BI89" s="417">
        <f t="shared" si="294"/>
        <v>99</v>
      </c>
      <c r="BJ89" s="418">
        <f t="shared" si="295"/>
        <v>2.8160556257901388</v>
      </c>
      <c r="BK89" s="195">
        <f t="shared" si="296"/>
        <v>19</v>
      </c>
      <c r="BL89" s="5">
        <f t="shared" si="297"/>
        <v>0.54045512010113772</v>
      </c>
      <c r="BM89" s="21">
        <f t="shared" si="298"/>
        <v>2.224824355971897E-2</v>
      </c>
      <c r="BN89" s="195">
        <f t="shared" si="299"/>
        <v>24</v>
      </c>
      <c r="BO89" s="185">
        <f t="shared" si="300"/>
        <v>0.68268015170670027</v>
      </c>
      <c r="BP89" s="5">
        <f t="shared" si="301"/>
        <v>24</v>
      </c>
      <c r="BQ89" s="21">
        <f t="shared" si="302"/>
        <v>4.1666666666666664E-2</v>
      </c>
      <c r="BR89" s="5">
        <f t="shared" si="303"/>
        <v>2.46</v>
      </c>
      <c r="BS89" s="5">
        <f t="shared" si="304"/>
        <v>0.14416666666666667</v>
      </c>
      <c r="BT89" s="24">
        <f t="shared" si="305"/>
        <v>131.83333333333334</v>
      </c>
      <c r="BU89" s="5">
        <f t="shared" si="306"/>
        <v>45.855072463768117</v>
      </c>
      <c r="BV89" s="5">
        <f t="shared" si="307"/>
        <v>3.17</v>
      </c>
      <c r="BW89" s="5">
        <f t="shared" si="308"/>
        <v>0.79999999999999982</v>
      </c>
      <c r="BX89" s="6">
        <f t="shared" si="309"/>
        <v>74</v>
      </c>
      <c r="BY89" s="5">
        <f t="shared" si="310"/>
        <v>2.1049304677623262</v>
      </c>
      <c r="BZ89" s="6">
        <f t="shared" si="311"/>
        <v>35</v>
      </c>
      <c r="CA89" s="5">
        <f t="shared" si="312"/>
        <v>0.99557522123893794</v>
      </c>
      <c r="CB89" s="6">
        <f t="shared" si="313"/>
        <v>42</v>
      </c>
      <c r="CC89" s="5">
        <f t="shared" si="314"/>
        <v>1.1946902654867255</v>
      </c>
      <c r="CD89" s="5">
        <f t="shared" si="315"/>
        <v>1.109355246523388</v>
      </c>
      <c r="CE89" s="21">
        <f t="shared" si="316"/>
        <v>0.52702702702702697</v>
      </c>
      <c r="CF89" s="5">
        <f t="shared" si="317"/>
        <v>8.2222222222222214</v>
      </c>
      <c r="CG89" s="5">
        <f t="shared" si="318"/>
        <v>3.5</v>
      </c>
      <c r="CH89" s="21">
        <f t="shared" si="319"/>
        <v>0.12162162162162163</v>
      </c>
      <c r="CI89" s="298">
        <f t="shared" si="320"/>
        <v>7</v>
      </c>
      <c r="CJ89" s="298">
        <f t="shared" si="321"/>
        <v>2</v>
      </c>
      <c r="CK89" s="298">
        <f t="shared" si="322"/>
        <v>3</v>
      </c>
      <c r="CL89" s="21">
        <f t="shared" si="323"/>
        <v>8.1271446631750038E-2</v>
      </c>
      <c r="CM89" s="6">
        <f t="shared" si="324"/>
        <v>20.7</v>
      </c>
      <c r="CN89" s="5">
        <f t="shared" si="325"/>
        <v>0.58881163084702903</v>
      </c>
      <c r="CO89" s="167">
        <f t="shared" si="326"/>
        <v>144</v>
      </c>
      <c r="CP89" s="5">
        <f t="shared" si="327"/>
        <v>4.096080910240202</v>
      </c>
      <c r="CQ89" s="6">
        <f t="shared" si="328"/>
        <v>98</v>
      </c>
      <c r="CR89" s="5">
        <f t="shared" si="329"/>
        <v>2.7876106194690262</v>
      </c>
      <c r="CS89" s="21">
        <f t="shared" si="330"/>
        <v>0.68055555555555558</v>
      </c>
      <c r="CT89" s="6">
        <f t="shared" si="331"/>
        <v>87.960000000000008</v>
      </c>
      <c r="CU89" s="5">
        <f t="shared" si="332"/>
        <v>2.502022756005057</v>
      </c>
      <c r="CV89" s="6">
        <f t="shared" si="333"/>
        <v>89.210000000000008</v>
      </c>
      <c r="CW89" s="5">
        <f t="shared" si="334"/>
        <v>2.5375790139064476</v>
      </c>
      <c r="CX89" s="385">
        <f t="shared" si="335"/>
        <v>6.2585840707964602</v>
      </c>
      <c r="CY89" s="5">
        <f t="shared" si="336"/>
        <v>29.696586599241463</v>
      </c>
      <c r="CZ89" s="5">
        <f t="shared" si="337"/>
        <v>22.869785082174459</v>
      </c>
      <c r="DA89" s="6">
        <f t="shared" si="338"/>
        <v>43</v>
      </c>
      <c r="DB89" s="5">
        <f t="shared" si="339"/>
        <v>1.2231352718078381</v>
      </c>
      <c r="DC89" s="6">
        <f t="shared" si="340"/>
        <v>166</v>
      </c>
      <c r="DD89" s="5">
        <f t="shared" si="341"/>
        <v>4.7218710493046769</v>
      </c>
      <c r="DE89" s="6">
        <f t="shared" si="342"/>
        <v>107</v>
      </c>
      <c r="DF89" s="5">
        <f t="shared" si="343"/>
        <v>3.043615676359039</v>
      </c>
      <c r="DG89" s="6">
        <f t="shared" si="344"/>
        <v>145</v>
      </c>
      <c r="DH89" s="5">
        <f t="shared" si="345"/>
        <v>4.1245259165613142</v>
      </c>
      <c r="DI89" s="5">
        <f t="shared" si="346"/>
        <v>20.7</v>
      </c>
      <c r="DJ89" s="5">
        <f t="shared" si="347"/>
        <v>363.3</v>
      </c>
      <c r="DK89" s="5">
        <f t="shared" si="348"/>
        <v>10.334070796460177</v>
      </c>
      <c r="DL89" s="286">
        <f t="shared" si="349"/>
        <v>189.84000000000003</v>
      </c>
      <c r="DM89" s="287">
        <f t="shared" si="350"/>
        <v>5.4</v>
      </c>
      <c r="DN89" s="60">
        <f t="shared" si="351"/>
        <v>6.74</v>
      </c>
      <c r="DO89"/>
      <c r="DP89" t="s">
        <v>708</v>
      </c>
      <c r="DQ89" t="s">
        <v>1673</v>
      </c>
      <c r="DR89">
        <v>30</v>
      </c>
      <c r="DS89" t="s">
        <v>1674</v>
      </c>
      <c r="DT89" t="s">
        <v>713</v>
      </c>
      <c r="DU89" t="s">
        <v>1201</v>
      </c>
      <c r="DV89" t="s">
        <v>1202</v>
      </c>
      <c r="DW89" t="s">
        <v>1675</v>
      </c>
      <c r="DX89" s="430">
        <v>47118</v>
      </c>
      <c r="DY89">
        <v>3164</v>
      </c>
      <c r="DZ89" t="s">
        <v>1275</v>
      </c>
      <c r="EA89">
        <v>2</v>
      </c>
      <c r="EB89">
        <v>12</v>
      </c>
      <c r="EC89">
        <v>1</v>
      </c>
      <c r="ED89">
        <v>6</v>
      </c>
      <c r="EE89">
        <v>20.7</v>
      </c>
      <c r="EF89" t="s">
        <v>1676</v>
      </c>
      <c r="EG89" t="s">
        <v>1677</v>
      </c>
      <c r="EH89">
        <v>33</v>
      </c>
      <c r="EI89">
        <v>64</v>
      </c>
      <c r="EJ89">
        <v>854</v>
      </c>
      <c r="EK89">
        <v>755</v>
      </c>
      <c r="EL89">
        <v>24</v>
      </c>
      <c r="EM89">
        <v>19</v>
      </c>
      <c r="EN89">
        <v>25</v>
      </c>
      <c r="EO89">
        <v>77</v>
      </c>
      <c r="EP89">
        <v>42</v>
      </c>
      <c r="EQ89">
        <v>55</v>
      </c>
      <c r="ER89">
        <v>22</v>
      </c>
      <c r="ES89">
        <v>18</v>
      </c>
      <c r="ET89">
        <v>7</v>
      </c>
      <c r="EU89">
        <v>18</v>
      </c>
      <c r="EV89">
        <v>7</v>
      </c>
      <c r="EW89">
        <v>2</v>
      </c>
      <c r="EX89">
        <v>0.7</v>
      </c>
      <c r="EY89">
        <v>0</v>
      </c>
      <c r="EZ89">
        <v>3</v>
      </c>
      <c r="FA89">
        <v>3</v>
      </c>
      <c r="FB89">
        <v>5.4</v>
      </c>
      <c r="FC89" t="s">
        <v>1678</v>
      </c>
      <c r="FD89">
        <v>6.74</v>
      </c>
    </row>
    <row r="90" spans="1:160" ht="24.95" customHeight="1" thickBot="1" x14ac:dyDescent="0.3">
      <c r="A90" s="29" t="str">
        <f t="shared" si="234"/>
        <v>89º</v>
      </c>
      <c r="B90" s="67" t="str">
        <f t="shared" si="236"/>
        <v>Kauã Elias</v>
      </c>
      <c r="C90" s="83" t="str">
        <f t="shared" si="237"/>
        <v>BRA</v>
      </c>
      <c r="D90" s="9" t="str">
        <f t="shared" si="238"/>
        <v>Shakhtar</v>
      </c>
      <c r="E90" s="91" t="str">
        <f t="shared" si="239"/>
        <v>Pé Preferido Desconhecido</v>
      </c>
      <c r="F90" s="155">
        <f t="shared" si="240"/>
        <v>1.81</v>
      </c>
      <c r="G90" s="35">
        <f t="shared" si="241"/>
        <v>47483</v>
      </c>
      <c r="H90" s="7">
        <f t="shared" si="242"/>
        <v>20</v>
      </c>
      <c r="I90" s="299" t="str">
        <f t="shared" si="243"/>
        <v>33m € - 47m € p/m</v>
      </c>
      <c r="J90" s="3" t="str">
        <f t="shared" si="244"/>
        <v>Desconhecido</v>
      </c>
      <c r="K90" s="89">
        <f t="shared" si="235"/>
        <v>31.398046398046404</v>
      </c>
      <c r="L90" s="133">
        <f t="shared" si="245"/>
        <v>29.81111111111111</v>
      </c>
      <c r="M90" s="134">
        <f t="shared" si="246"/>
        <v>31</v>
      </c>
      <c r="N90" s="134">
        <f t="shared" si="247"/>
        <v>86.548387096774192</v>
      </c>
      <c r="O90" s="173">
        <f t="shared" si="248"/>
        <v>1</v>
      </c>
      <c r="P90" s="402">
        <f t="shared" si="249"/>
        <v>20</v>
      </c>
      <c r="Q90" s="402">
        <f t="shared" si="250"/>
        <v>4</v>
      </c>
      <c r="R90" s="402">
        <f t="shared" si="251"/>
        <v>24</v>
      </c>
      <c r="S90" s="6">
        <f t="shared" si="252"/>
        <v>3</v>
      </c>
      <c r="T90" s="24">
        <f t="shared" si="253"/>
        <v>894.33333333333337</v>
      </c>
      <c r="U90" s="21">
        <f t="shared" si="254"/>
        <v>0.10063361908311592</v>
      </c>
      <c r="V90" s="298">
        <f t="shared" si="255"/>
        <v>0</v>
      </c>
      <c r="W90" s="300">
        <f t="shared" si="256"/>
        <v>0</v>
      </c>
      <c r="X90" s="298">
        <f t="shared" si="257"/>
        <v>0</v>
      </c>
      <c r="Y90" s="300">
        <f t="shared" si="258"/>
        <v>0</v>
      </c>
      <c r="Z90" s="290">
        <f t="shared" si="259"/>
        <v>0</v>
      </c>
      <c r="AA90" s="298">
        <f t="shared" si="260"/>
        <v>2</v>
      </c>
      <c r="AB90" s="286">
        <f t="shared" si="261"/>
        <v>1</v>
      </c>
      <c r="AC90" s="286">
        <f t="shared" si="262"/>
        <v>1</v>
      </c>
      <c r="AD90" s="286">
        <f t="shared" si="263"/>
        <v>0</v>
      </c>
      <c r="AE90" s="21">
        <f t="shared" si="264"/>
        <v>1</v>
      </c>
      <c r="AF90" s="421">
        <f t="shared" si="265"/>
        <v>20</v>
      </c>
      <c r="AG90" s="421">
        <f t="shared" si="266"/>
        <v>4</v>
      </c>
      <c r="AH90" s="421">
        <f t="shared" si="267"/>
        <v>24</v>
      </c>
      <c r="AI90" s="421">
        <f t="shared" si="268"/>
        <v>19</v>
      </c>
      <c r="AJ90" s="420">
        <f t="shared" si="269"/>
        <v>0</v>
      </c>
      <c r="AK90" s="422">
        <f t="shared" si="270"/>
        <v>0.67089079388743944</v>
      </c>
      <c r="AL90" s="422">
        <f t="shared" si="271"/>
        <v>0.1341781587774879</v>
      </c>
      <c r="AM90" s="422">
        <f t="shared" si="272"/>
        <v>0.8050689526649274</v>
      </c>
      <c r="AN90" s="5">
        <f t="shared" si="273"/>
        <v>8.6</v>
      </c>
      <c r="AO90" s="5">
        <f t="shared" si="274"/>
        <v>7.81</v>
      </c>
      <c r="AP90" s="5">
        <f t="shared" si="275"/>
        <v>0.26198285501304508</v>
      </c>
      <c r="AQ90" s="5">
        <f t="shared" si="276"/>
        <v>3.23</v>
      </c>
      <c r="AR90" s="5">
        <f t="shared" si="277"/>
        <v>0.10834886321282147</v>
      </c>
      <c r="AS90" s="5">
        <f t="shared" si="278"/>
        <v>11.04</v>
      </c>
      <c r="AT90" s="5">
        <f t="shared" si="279"/>
        <v>0.37033171822586658</v>
      </c>
      <c r="AU90" s="21">
        <f t="shared" si="280"/>
        <v>0.44674965421853385</v>
      </c>
      <c r="AV90" s="21">
        <f t="shared" si="281"/>
        <v>0.69930069930069927</v>
      </c>
      <c r="AW90" s="6">
        <f t="shared" si="282"/>
        <v>8</v>
      </c>
      <c r="AX90" s="6">
        <f t="shared" si="283"/>
        <v>5</v>
      </c>
      <c r="AY90" s="21">
        <f t="shared" si="284"/>
        <v>0.625</v>
      </c>
      <c r="AZ90" s="304">
        <f t="shared" si="285"/>
        <v>22</v>
      </c>
      <c r="BA90" s="305">
        <f t="shared" si="286"/>
        <v>0.73797987327618342</v>
      </c>
      <c r="BB90" s="413">
        <f t="shared" si="287"/>
        <v>11.589500000000001</v>
      </c>
      <c r="BC90" s="413">
        <f t="shared" si="288"/>
        <v>0.38876444278792405</v>
      </c>
      <c r="BD90" s="6">
        <f t="shared" si="289"/>
        <v>824</v>
      </c>
      <c r="BE90" s="5">
        <f t="shared" si="290"/>
        <v>27.640700708162505</v>
      </c>
      <c r="BF90" s="6">
        <f t="shared" si="291"/>
        <v>726</v>
      </c>
      <c r="BG90" s="5">
        <f t="shared" si="292"/>
        <v>24.353335818114051</v>
      </c>
      <c r="BH90" s="21">
        <f t="shared" si="293"/>
        <v>0.8810679611650486</v>
      </c>
      <c r="BI90" s="417">
        <f t="shared" si="294"/>
        <v>98</v>
      </c>
      <c r="BJ90" s="418">
        <f t="shared" si="295"/>
        <v>3.2873648900484533</v>
      </c>
      <c r="BK90" s="195">
        <f t="shared" si="296"/>
        <v>26</v>
      </c>
      <c r="BL90" s="5">
        <f t="shared" si="297"/>
        <v>0.87215803205367126</v>
      </c>
      <c r="BM90" s="21">
        <f t="shared" si="298"/>
        <v>3.1553398058252427E-2</v>
      </c>
      <c r="BN90" s="195">
        <f t="shared" si="299"/>
        <v>32</v>
      </c>
      <c r="BO90" s="185">
        <f t="shared" si="300"/>
        <v>1.0734252702199032</v>
      </c>
      <c r="BP90" s="5">
        <f t="shared" si="301"/>
        <v>8</v>
      </c>
      <c r="BQ90" s="21">
        <f t="shared" si="302"/>
        <v>0.125</v>
      </c>
      <c r="BR90" s="5">
        <f t="shared" si="303"/>
        <v>-0.77</v>
      </c>
      <c r="BS90" s="5">
        <f t="shared" si="304"/>
        <v>0.1009375</v>
      </c>
      <c r="BT90" s="24">
        <f t="shared" si="305"/>
        <v>83.84375</v>
      </c>
      <c r="BU90" s="5">
        <f t="shared" si="306"/>
        <v>37.263888888888886</v>
      </c>
      <c r="BV90" s="5">
        <f t="shared" si="307"/>
        <v>11.4</v>
      </c>
      <c r="BW90" s="5">
        <f t="shared" si="308"/>
        <v>10.61</v>
      </c>
      <c r="BX90" s="6">
        <f t="shared" si="309"/>
        <v>71</v>
      </c>
      <c r="BY90" s="5">
        <f t="shared" si="310"/>
        <v>2.38166231830041</v>
      </c>
      <c r="BZ90" s="6">
        <f t="shared" si="311"/>
        <v>33</v>
      </c>
      <c r="CA90" s="5">
        <f t="shared" si="312"/>
        <v>1.1069698099142751</v>
      </c>
      <c r="CB90" s="6">
        <f t="shared" si="313"/>
        <v>39</v>
      </c>
      <c r="CC90" s="5">
        <f t="shared" si="314"/>
        <v>1.308237048080507</v>
      </c>
      <c r="CD90" s="5">
        <f t="shared" si="315"/>
        <v>1.2746925083861349</v>
      </c>
      <c r="CE90" s="21">
        <f t="shared" si="316"/>
        <v>0.53521126760563376</v>
      </c>
      <c r="CF90" s="5">
        <f t="shared" si="317"/>
        <v>3.736842105263158</v>
      </c>
      <c r="CG90" s="5">
        <f t="shared" si="318"/>
        <v>1.95</v>
      </c>
      <c r="CH90" s="21">
        <f t="shared" si="319"/>
        <v>0.26760563380281688</v>
      </c>
      <c r="CI90" s="298">
        <f t="shared" si="320"/>
        <v>19</v>
      </c>
      <c r="CJ90" s="298">
        <f t="shared" si="321"/>
        <v>0</v>
      </c>
      <c r="CK90" s="298">
        <f t="shared" si="322"/>
        <v>1</v>
      </c>
      <c r="CL90" s="21">
        <f t="shared" si="323"/>
        <v>0</v>
      </c>
      <c r="CM90" s="6">
        <f t="shared" si="324"/>
        <v>16.100000000000001</v>
      </c>
      <c r="CN90" s="5">
        <f t="shared" si="325"/>
        <v>0.54006708907938883</v>
      </c>
      <c r="CO90" s="167">
        <f t="shared" si="326"/>
        <v>134</v>
      </c>
      <c r="CP90" s="5">
        <f t="shared" si="327"/>
        <v>4.494968319045844</v>
      </c>
      <c r="CQ90" s="6">
        <f t="shared" si="328"/>
        <v>98</v>
      </c>
      <c r="CR90" s="5">
        <f t="shared" si="329"/>
        <v>3.2873648900484533</v>
      </c>
      <c r="CS90" s="21">
        <f t="shared" si="330"/>
        <v>0.73134328358208955</v>
      </c>
      <c r="CT90" s="6">
        <f t="shared" si="331"/>
        <v>92.22999999999999</v>
      </c>
      <c r="CU90" s="5">
        <f t="shared" si="332"/>
        <v>3.0938128960119267</v>
      </c>
      <c r="CV90" s="6">
        <f t="shared" si="333"/>
        <v>98.22999999999999</v>
      </c>
      <c r="CW90" s="5">
        <f t="shared" si="334"/>
        <v>3.2950801341781584</v>
      </c>
      <c r="CX90" s="385">
        <f t="shared" si="335"/>
        <v>8.5006895266492712</v>
      </c>
      <c r="CY90" s="5">
        <f t="shared" si="336"/>
        <v>33.611628773760714</v>
      </c>
      <c r="CZ90" s="5">
        <f t="shared" si="337"/>
        <v>26.36600819977637</v>
      </c>
      <c r="DA90" s="6">
        <f t="shared" si="338"/>
        <v>58</v>
      </c>
      <c r="DB90" s="5">
        <f t="shared" si="339"/>
        <v>1.9455833022735745</v>
      </c>
      <c r="DC90" s="6">
        <f t="shared" si="340"/>
        <v>161</v>
      </c>
      <c r="DD90" s="5">
        <f t="shared" si="341"/>
        <v>5.4006708907938874</v>
      </c>
      <c r="DE90" s="6">
        <f t="shared" si="342"/>
        <v>106</v>
      </c>
      <c r="DF90" s="5">
        <f t="shared" si="343"/>
        <v>3.5557212076034292</v>
      </c>
      <c r="DG90" s="6">
        <f t="shared" si="344"/>
        <v>134</v>
      </c>
      <c r="DH90" s="5">
        <f t="shared" si="345"/>
        <v>4.494968319045844</v>
      </c>
      <c r="DI90" s="5">
        <f t="shared" si="346"/>
        <v>16.100000000000001</v>
      </c>
      <c r="DJ90" s="5">
        <f t="shared" si="347"/>
        <v>289.2</v>
      </c>
      <c r="DK90" s="5">
        <f t="shared" si="348"/>
        <v>9.7010808796123733</v>
      </c>
      <c r="DL90" s="286">
        <f t="shared" si="349"/>
        <v>163.96111111111111</v>
      </c>
      <c r="DM90" s="287">
        <f t="shared" si="350"/>
        <v>5.5</v>
      </c>
      <c r="DN90" s="60">
        <f t="shared" si="351"/>
        <v>7.2</v>
      </c>
      <c r="DO90" t="s">
        <v>19</v>
      </c>
      <c r="DP90" t="s">
        <v>13</v>
      </c>
      <c r="DQ90" t="s">
        <v>1679</v>
      </c>
      <c r="DR90">
        <v>20</v>
      </c>
      <c r="DS90" t="s">
        <v>1680</v>
      </c>
      <c r="DT90" t="s">
        <v>557</v>
      </c>
      <c r="DU90" t="s">
        <v>1201</v>
      </c>
      <c r="DV90" t="s">
        <v>1202</v>
      </c>
      <c r="DW90" t="s">
        <v>1681</v>
      </c>
      <c r="DX90" s="430">
        <v>47483</v>
      </c>
      <c r="DY90">
        <v>2683</v>
      </c>
      <c r="DZ90">
        <v>31</v>
      </c>
      <c r="EA90">
        <v>3</v>
      </c>
      <c r="EB90">
        <v>20</v>
      </c>
      <c r="EC90">
        <v>4</v>
      </c>
      <c r="ED90">
        <v>2</v>
      </c>
      <c r="EE90">
        <v>16.100000000000001</v>
      </c>
      <c r="EF90" t="s">
        <v>1682</v>
      </c>
      <c r="EG90" t="s">
        <v>1683</v>
      </c>
      <c r="EH90">
        <v>36</v>
      </c>
      <c r="EI90">
        <v>55</v>
      </c>
      <c r="EJ90">
        <v>824</v>
      </c>
      <c r="EK90">
        <v>726</v>
      </c>
      <c r="EL90">
        <v>32</v>
      </c>
      <c r="EM90">
        <v>26</v>
      </c>
      <c r="EN90">
        <v>22</v>
      </c>
      <c r="EO90">
        <v>72</v>
      </c>
      <c r="EP90">
        <v>39</v>
      </c>
      <c r="EQ90">
        <v>43</v>
      </c>
      <c r="ER90">
        <v>11</v>
      </c>
      <c r="ES90">
        <v>8</v>
      </c>
      <c r="ET90">
        <v>5</v>
      </c>
      <c r="EU90">
        <v>8</v>
      </c>
      <c r="EV90">
        <v>5</v>
      </c>
      <c r="EW90">
        <v>0</v>
      </c>
      <c r="EX90">
        <v>0.5</v>
      </c>
      <c r="EY90">
        <v>2</v>
      </c>
      <c r="EZ90">
        <v>1</v>
      </c>
      <c r="FA90">
        <v>1</v>
      </c>
      <c r="FB90">
        <v>5.5</v>
      </c>
      <c r="FC90" t="s">
        <v>1684</v>
      </c>
      <c r="FD90">
        <v>7.2</v>
      </c>
    </row>
    <row r="91" spans="1:160" ht="24.95" customHeight="1" thickBot="1" x14ac:dyDescent="0.3">
      <c r="A91" s="29" t="str">
        <f t="shared" si="234"/>
        <v>90º</v>
      </c>
      <c r="B91" s="67" t="str">
        <f t="shared" si="236"/>
        <v>Charles</v>
      </c>
      <c r="C91" s="83" t="str">
        <f t="shared" si="237"/>
        <v>BRA</v>
      </c>
      <c r="D91" s="9" t="str">
        <f t="shared" si="238"/>
        <v>Serra Branca</v>
      </c>
      <c r="E91" s="91" t="str">
        <f t="shared" si="239"/>
        <v>Pé Direito</v>
      </c>
      <c r="F91" s="155">
        <f t="shared" si="240"/>
        <v>1.76</v>
      </c>
      <c r="G91" s="35">
        <f t="shared" si="241"/>
        <v>46752</v>
      </c>
      <c r="H91" s="7">
        <f t="shared" si="242"/>
        <v>29</v>
      </c>
      <c r="I91" s="299" t="str">
        <f t="shared" si="243"/>
        <v>4,6m € - 6,75m € p/m</v>
      </c>
      <c r="J91" s="3" t="str">
        <f t="shared" si="244"/>
        <v>1,5m € - 14m €</v>
      </c>
      <c r="K91" s="89">
        <f t="shared" si="235"/>
        <v>31.398046398046404</v>
      </c>
      <c r="L91" s="133">
        <f t="shared" si="245"/>
        <v>28.755555555555556</v>
      </c>
      <c r="M91" s="134">
        <f t="shared" si="246"/>
        <v>32</v>
      </c>
      <c r="N91" s="134">
        <f t="shared" si="247"/>
        <v>80.875</v>
      </c>
      <c r="O91" s="173">
        <f t="shared" si="248"/>
        <v>0.91</v>
      </c>
      <c r="P91" s="402">
        <f t="shared" si="249"/>
        <v>4</v>
      </c>
      <c r="Q91" s="402">
        <f t="shared" si="250"/>
        <v>6</v>
      </c>
      <c r="R91" s="402">
        <f t="shared" si="251"/>
        <v>10</v>
      </c>
      <c r="S91" s="6">
        <f t="shared" si="252"/>
        <v>4</v>
      </c>
      <c r="T91" s="24">
        <f t="shared" si="253"/>
        <v>647</v>
      </c>
      <c r="U91" s="21">
        <f t="shared" si="254"/>
        <v>0.13910355486862441</v>
      </c>
      <c r="V91" s="298">
        <f t="shared" si="255"/>
        <v>0</v>
      </c>
      <c r="W91" s="300">
        <f t="shared" si="256"/>
        <v>0</v>
      </c>
      <c r="X91" s="298">
        <f t="shared" si="257"/>
        <v>0</v>
      </c>
      <c r="Y91" s="300">
        <f t="shared" si="258"/>
        <v>0</v>
      </c>
      <c r="Z91" s="290">
        <f t="shared" si="259"/>
        <v>0</v>
      </c>
      <c r="AA91" s="298">
        <f t="shared" si="260"/>
        <v>0</v>
      </c>
      <c r="AB91" s="286">
        <f t="shared" si="261"/>
        <v>0</v>
      </c>
      <c r="AC91" s="286">
        <f t="shared" si="262"/>
        <v>0</v>
      </c>
      <c r="AD91" s="286">
        <f t="shared" si="263"/>
        <v>0</v>
      </c>
      <c r="AE91" s="21">
        <f t="shared" si="264"/>
        <v>9.9999999999999995E-8</v>
      </c>
      <c r="AF91" s="421">
        <f t="shared" si="265"/>
        <v>4</v>
      </c>
      <c r="AG91" s="421">
        <f t="shared" si="266"/>
        <v>6</v>
      </c>
      <c r="AH91" s="421">
        <f t="shared" si="267"/>
        <v>10</v>
      </c>
      <c r="AI91" s="421">
        <f t="shared" si="268"/>
        <v>4</v>
      </c>
      <c r="AJ91" s="420">
        <f t="shared" si="269"/>
        <v>2</v>
      </c>
      <c r="AK91" s="422">
        <f t="shared" si="270"/>
        <v>0.13910355486862441</v>
      </c>
      <c r="AL91" s="422">
        <f t="shared" si="271"/>
        <v>0.20865533230293662</v>
      </c>
      <c r="AM91" s="422">
        <f t="shared" si="272"/>
        <v>0.34775888717156106</v>
      </c>
      <c r="AN91" s="5">
        <f t="shared" si="273"/>
        <v>4.72</v>
      </c>
      <c r="AO91" s="5">
        <f t="shared" si="274"/>
        <v>4.72</v>
      </c>
      <c r="AP91" s="5">
        <f t="shared" si="275"/>
        <v>0.16414219474497679</v>
      </c>
      <c r="AQ91" s="5">
        <f t="shared" si="276"/>
        <v>2.2999999999999998</v>
      </c>
      <c r="AR91" s="5">
        <f t="shared" si="277"/>
        <v>7.9984544049459039E-2</v>
      </c>
      <c r="AS91" s="5">
        <f t="shared" si="278"/>
        <v>7.02</v>
      </c>
      <c r="AT91" s="5">
        <f t="shared" si="279"/>
        <v>0.24412673879443583</v>
      </c>
      <c r="AU91" s="21">
        <f t="shared" si="280"/>
        <v>0.27710843373493971</v>
      </c>
      <c r="AV91" s="21">
        <f t="shared" si="281"/>
        <v>0.45871559633027531</v>
      </c>
      <c r="AW91" s="6">
        <f t="shared" si="282"/>
        <v>147</v>
      </c>
      <c r="AX91" s="6">
        <f t="shared" si="283"/>
        <v>28</v>
      </c>
      <c r="AY91" s="21">
        <f t="shared" si="284"/>
        <v>0.19047619047619047</v>
      </c>
      <c r="AZ91" s="304">
        <f t="shared" si="285"/>
        <v>108</v>
      </c>
      <c r="BA91" s="305">
        <f t="shared" si="286"/>
        <v>3.7557959814528594</v>
      </c>
      <c r="BB91" s="413">
        <f t="shared" si="287"/>
        <v>30.124999999999996</v>
      </c>
      <c r="BC91" s="413">
        <f t="shared" si="288"/>
        <v>1.0476236476043277</v>
      </c>
      <c r="BD91" s="6">
        <f t="shared" si="289"/>
        <v>1223</v>
      </c>
      <c r="BE91" s="5">
        <f t="shared" si="290"/>
        <v>42.530911901081915</v>
      </c>
      <c r="BF91" s="6">
        <f t="shared" si="291"/>
        <v>1110</v>
      </c>
      <c r="BG91" s="5">
        <f t="shared" si="292"/>
        <v>38.601236476043276</v>
      </c>
      <c r="BH91" s="21">
        <f t="shared" si="293"/>
        <v>0.90760425183973836</v>
      </c>
      <c r="BI91" s="417">
        <f t="shared" si="294"/>
        <v>113</v>
      </c>
      <c r="BJ91" s="418">
        <f t="shared" si="295"/>
        <v>3.9296754250386399</v>
      </c>
      <c r="BK91" s="195">
        <f t="shared" si="296"/>
        <v>91</v>
      </c>
      <c r="BL91" s="5">
        <f t="shared" si="297"/>
        <v>3.1646058732612055</v>
      </c>
      <c r="BM91" s="21">
        <f t="shared" si="298"/>
        <v>7.4407195421095668E-2</v>
      </c>
      <c r="BN91" s="195">
        <f t="shared" si="299"/>
        <v>44</v>
      </c>
      <c r="BO91" s="185">
        <f t="shared" si="300"/>
        <v>1.5301391035548686</v>
      </c>
      <c r="BP91" s="5">
        <f t="shared" si="301"/>
        <v>7.333333333333333</v>
      </c>
      <c r="BQ91" s="21">
        <f t="shared" si="302"/>
        <v>0.13636363636363635</v>
      </c>
      <c r="BR91" s="5">
        <f t="shared" si="303"/>
        <v>-3.7</v>
      </c>
      <c r="BS91" s="5">
        <f t="shared" si="304"/>
        <v>5.2272727272727269E-2</v>
      </c>
      <c r="BT91" s="24">
        <f t="shared" si="305"/>
        <v>58.81818181818182</v>
      </c>
      <c r="BU91" s="5">
        <f t="shared" si="306"/>
        <v>41.079365079365083</v>
      </c>
      <c r="BV91" s="5">
        <f t="shared" si="307"/>
        <v>-0.71999999999999975</v>
      </c>
      <c r="BW91" s="5">
        <f t="shared" si="308"/>
        <v>-0.71999999999999975</v>
      </c>
      <c r="BX91" s="6">
        <f t="shared" si="309"/>
        <v>39</v>
      </c>
      <c r="BY91" s="5">
        <f t="shared" si="310"/>
        <v>1.3562596599690881</v>
      </c>
      <c r="BZ91" s="6">
        <f t="shared" si="311"/>
        <v>24</v>
      </c>
      <c r="CA91" s="5">
        <f t="shared" si="312"/>
        <v>0.83462132921174648</v>
      </c>
      <c r="CB91" s="6">
        <f t="shared" si="313"/>
        <v>15</v>
      </c>
      <c r="CC91" s="5">
        <f t="shared" si="314"/>
        <v>0.52163833075734156</v>
      </c>
      <c r="CD91" s="5">
        <f t="shared" si="315"/>
        <v>0.52163833075734156</v>
      </c>
      <c r="CE91" s="21">
        <f t="shared" si="316"/>
        <v>0.38461538461538464</v>
      </c>
      <c r="CF91" s="5">
        <f t="shared" si="317"/>
        <v>9.75</v>
      </c>
      <c r="CG91" s="5">
        <f t="shared" si="318"/>
        <v>3.75</v>
      </c>
      <c r="CH91" s="21">
        <f t="shared" si="319"/>
        <v>0.10256410256410256</v>
      </c>
      <c r="CI91" s="298">
        <f t="shared" si="320"/>
        <v>2</v>
      </c>
      <c r="CJ91" s="298">
        <f t="shared" si="321"/>
        <v>2</v>
      </c>
      <c r="CK91" s="298">
        <f t="shared" si="322"/>
        <v>0</v>
      </c>
      <c r="CL91" s="21">
        <f t="shared" si="323"/>
        <v>0.347758887171561</v>
      </c>
      <c r="CM91" s="6">
        <f t="shared" si="324"/>
        <v>12.6</v>
      </c>
      <c r="CN91" s="5">
        <f t="shared" si="325"/>
        <v>0.4381761978361669</v>
      </c>
      <c r="CO91" s="167">
        <f t="shared" si="326"/>
        <v>338</v>
      </c>
      <c r="CP91" s="5">
        <f t="shared" si="327"/>
        <v>11.754250386398763</v>
      </c>
      <c r="CQ91" s="6">
        <f t="shared" si="328"/>
        <v>195</v>
      </c>
      <c r="CR91" s="5">
        <f t="shared" si="329"/>
        <v>6.7812982998454405</v>
      </c>
      <c r="CS91" s="21">
        <f t="shared" si="330"/>
        <v>0.57692307692307687</v>
      </c>
      <c r="CT91" s="6">
        <f t="shared" si="331"/>
        <v>100.3</v>
      </c>
      <c r="CU91" s="5">
        <f t="shared" si="332"/>
        <v>3.488021638330757</v>
      </c>
      <c r="CV91" s="6">
        <f t="shared" si="333"/>
        <v>100.8</v>
      </c>
      <c r="CW91" s="5">
        <f t="shared" si="334"/>
        <v>3.5054095826893352</v>
      </c>
      <c r="CX91" s="385">
        <f t="shared" si="335"/>
        <v>15.01921947449768</v>
      </c>
      <c r="CY91" s="5">
        <f t="shared" si="336"/>
        <v>56.371715610510044</v>
      </c>
      <c r="CZ91" s="5">
        <f t="shared" si="337"/>
        <v>43.435085007727977</v>
      </c>
      <c r="DA91" s="6">
        <f t="shared" si="338"/>
        <v>135</v>
      </c>
      <c r="DB91" s="5">
        <f t="shared" si="339"/>
        <v>4.6947449768160743</v>
      </c>
      <c r="DC91" s="6">
        <f t="shared" si="340"/>
        <v>433</v>
      </c>
      <c r="DD91" s="5">
        <f t="shared" si="341"/>
        <v>15.057959814528592</v>
      </c>
      <c r="DE91" s="6">
        <f t="shared" si="342"/>
        <v>87</v>
      </c>
      <c r="DF91" s="5">
        <f t="shared" si="343"/>
        <v>3.0255023183925811</v>
      </c>
      <c r="DG91" s="6">
        <f t="shared" si="344"/>
        <v>256</v>
      </c>
      <c r="DH91" s="5">
        <f t="shared" si="345"/>
        <v>8.9026275115919624</v>
      </c>
      <c r="DI91" s="5">
        <f t="shared" si="346"/>
        <v>12.6</v>
      </c>
      <c r="DJ91" s="5">
        <f t="shared" si="347"/>
        <v>334.8</v>
      </c>
      <c r="DK91" s="5">
        <f t="shared" si="348"/>
        <v>11.642967542503865</v>
      </c>
      <c r="DL91" s="286">
        <f t="shared" si="349"/>
        <v>347.9422222222222</v>
      </c>
      <c r="DM91" s="287">
        <f t="shared" si="350"/>
        <v>12.1</v>
      </c>
      <c r="DN91" s="60">
        <f t="shared" si="351"/>
        <v>6.99</v>
      </c>
      <c r="DO91"/>
      <c r="DP91" t="s">
        <v>13</v>
      </c>
      <c r="DQ91" t="s">
        <v>1685</v>
      </c>
      <c r="DR91">
        <v>29</v>
      </c>
      <c r="DS91" t="s">
        <v>1686</v>
      </c>
      <c r="DT91" t="s">
        <v>545</v>
      </c>
      <c r="DU91" t="s">
        <v>573</v>
      </c>
      <c r="DV91" t="s">
        <v>1687</v>
      </c>
      <c r="DW91" t="s">
        <v>1688</v>
      </c>
      <c r="DX91" s="430">
        <v>46752</v>
      </c>
      <c r="DY91">
        <v>2588</v>
      </c>
      <c r="DZ91" t="s">
        <v>1288</v>
      </c>
      <c r="EA91">
        <v>4</v>
      </c>
      <c r="EB91">
        <v>4</v>
      </c>
      <c r="EC91">
        <v>6</v>
      </c>
      <c r="ED91">
        <v>4</v>
      </c>
      <c r="EE91">
        <v>12.6</v>
      </c>
      <c r="EF91" t="s">
        <v>1689</v>
      </c>
      <c r="EG91" t="s">
        <v>923</v>
      </c>
      <c r="EH91">
        <v>28</v>
      </c>
      <c r="EI91">
        <v>31</v>
      </c>
      <c r="EJ91">
        <v>1223</v>
      </c>
      <c r="EK91">
        <v>1110</v>
      </c>
      <c r="EL91">
        <v>44</v>
      </c>
      <c r="EM91">
        <v>91</v>
      </c>
      <c r="EN91">
        <v>108</v>
      </c>
      <c r="EO91">
        <v>39</v>
      </c>
      <c r="EP91">
        <v>15</v>
      </c>
      <c r="EQ91">
        <v>224</v>
      </c>
      <c r="ER91">
        <v>56</v>
      </c>
      <c r="ES91">
        <v>147</v>
      </c>
      <c r="ET91">
        <v>28</v>
      </c>
      <c r="EU91">
        <v>147</v>
      </c>
      <c r="EV91">
        <v>28</v>
      </c>
      <c r="EW91">
        <v>2</v>
      </c>
      <c r="EX91">
        <v>0.2</v>
      </c>
      <c r="EY91">
        <v>0</v>
      </c>
      <c r="EZ91">
        <v>0</v>
      </c>
      <c r="FA91">
        <v>0</v>
      </c>
      <c r="FB91">
        <v>12.1</v>
      </c>
      <c r="FC91" t="s">
        <v>1690</v>
      </c>
      <c r="FD91">
        <v>6.99</v>
      </c>
    </row>
    <row r="92" spans="1:160" ht="24.95" customHeight="1" thickBot="1" x14ac:dyDescent="0.3">
      <c r="A92" s="29" t="str">
        <f t="shared" si="234"/>
        <v>91º</v>
      </c>
      <c r="B92" s="67" t="str">
        <f t="shared" si="236"/>
        <v>Alonso Barría</v>
      </c>
      <c r="C92" s="83" t="str">
        <f t="shared" si="237"/>
        <v>CHI</v>
      </c>
      <c r="D92" s="9" t="str">
        <f t="shared" si="238"/>
        <v>Artigas de Rivera</v>
      </c>
      <c r="E92" s="91" t="str">
        <f t="shared" si="239"/>
        <v>Pé Preferido Desconhecido</v>
      </c>
      <c r="F92" s="155">
        <f t="shared" si="240"/>
        <v>1.8</v>
      </c>
      <c r="G92" s="35" t="str">
        <f t="shared" si="241"/>
        <v>N/A</v>
      </c>
      <c r="H92" s="7">
        <f t="shared" si="242"/>
        <v>21</v>
      </c>
      <c r="I92" s="299" t="str">
        <f t="shared" si="243"/>
        <v>N/D</v>
      </c>
      <c r="J92" s="3" t="str">
        <f t="shared" si="244"/>
        <v>Desconhecido</v>
      </c>
      <c r="K92" s="89">
        <f t="shared" si="235"/>
        <v>31.398046398046404</v>
      </c>
      <c r="L92" s="133">
        <f t="shared" si="245"/>
        <v>40.088888888888889</v>
      </c>
      <c r="M92" s="134">
        <f t="shared" si="246"/>
        <v>41</v>
      </c>
      <c r="N92" s="134">
        <f t="shared" si="247"/>
        <v>88</v>
      </c>
      <c r="O92" s="173">
        <f t="shared" si="248"/>
        <v>0.98</v>
      </c>
      <c r="P92" s="402">
        <f t="shared" si="249"/>
        <v>7</v>
      </c>
      <c r="Q92" s="402">
        <f t="shared" si="250"/>
        <v>3</v>
      </c>
      <c r="R92" s="402">
        <f t="shared" si="251"/>
        <v>10</v>
      </c>
      <c r="S92" s="6">
        <f t="shared" si="252"/>
        <v>0</v>
      </c>
      <c r="T92" s="24">
        <f t="shared" si="253"/>
        <v>5000</v>
      </c>
      <c r="U92" s="21">
        <f t="shared" si="254"/>
        <v>0</v>
      </c>
      <c r="V92" s="298">
        <f t="shared" si="255"/>
        <v>0</v>
      </c>
      <c r="W92" s="300">
        <f t="shared" si="256"/>
        <v>0</v>
      </c>
      <c r="X92" s="298">
        <f t="shared" si="257"/>
        <v>0</v>
      </c>
      <c r="Y92" s="300">
        <f t="shared" si="258"/>
        <v>0</v>
      </c>
      <c r="Z92" s="290">
        <f t="shared" si="259"/>
        <v>0</v>
      </c>
      <c r="AA92" s="298">
        <f t="shared" si="260"/>
        <v>0</v>
      </c>
      <c r="AB92" s="286">
        <f t="shared" si="261"/>
        <v>0</v>
      </c>
      <c r="AC92" s="286">
        <f t="shared" si="262"/>
        <v>0</v>
      </c>
      <c r="AD92" s="286">
        <f t="shared" si="263"/>
        <v>0</v>
      </c>
      <c r="AE92" s="21">
        <f t="shared" si="264"/>
        <v>9.9999999999999995E-8</v>
      </c>
      <c r="AF92" s="421">
        <f t="shared" si="265"/>
        <v>7</v>
      </c>
      <c r="AG92" s="421">
        <f t="shared" si="266"/>
        <v>3</v>
      </c>
      <c r="AH92" s="421">
        <f t="shared" si="267"/>
        <v>10</v>
      </c>
      <c r="AI92" s="421">
        <f t="shared" si="268"/>
        <v>7</v>
      </c>
      <c r="AJ92" s="420">
        <f t="shared" si="269"/>
        <v>0</v>
      </c>
      <c r="AK92" s="422">
        <f t="shared" si="270"/>
        <v>0.17461197339246121</v>
      </c>
      <c r="AL92" s="422">
        <f t="shared" si="271"/>
        <v>7.4833702882483366E-2</v>
      </c>
      <c r="AM92" s="422">
        <f t="shared" si="272"/>
        <v>0.24944567627494457</v>
      </c>
      <c r="AN92" s="5">
        <f t="shared" si="273"/>
        <v>12.55</v>
      </c>
      <c r="AO92" s="5">
        <f t="shared" si="274"/>
        <v>12.55</v>
      </c>
      <c r="AP92" s="5">
        <f t="shared" si="275"/>
        <v>0.31305432372505543</v>
      </c>
      <c r="AQ92" s="5">
        <f t="shared" si="276"/>
        <v>2.42</v>
      </c>
      <c r="AR92" s="5">
        <f t="shared" si="277"/>
        <v>6.0365853658536583E-2</v>
      </c>
      <c r="AS92" s="5">
        <f t="shared" si="278"/>
        <v>14.97</v>
      </c>
      <c r="AT92" s="5">
        <f t="shared" si="279"/>
        <v>0.37342017738359201</v>
      </c>
      <c r="AU92" s="21">
        <f t="shared" si="280"/>
        <v>0.44649446494464945</v>
      </c>
      <c r="AV92" s="21">
        <f t="shared" si="281"/>
        <v>0.35805626598465473</v>
      </c>
      <c r="AW92" s="6">
        <f t="shared" si="282"/>
        <v>0</v>
      </c>
      <c r="AX92" s="6">
        <f t="shared" si="283"/>
        <v>0</v>
      </c>
      <c r="AY92" s="21">
        <f t="shared" si="284"/>
        <v>0</v>
      </c>
      <c r="AZ92" s="304">
        <f t="shared" si="285"/>
        <v>0</v>
      </c>
      <c r="BA92" s="305">
        <f t="shared" si="286"/>
        <v>0</v>
      </c>
      <c r="BB92" s="413">
        <f t="shared" si="287"/>
        <v>0.36299999999999999</v>
      </c>
      <c r="BC92" s="413">
        <f t="shared" si="288"/>
        <v>9.0548780487804872E-3</v>
      </c>
      <c r="BD92" s="6">
        <f t="shared" si="289"/>
        <v>820</v>
      </c>
      <c r="BE92" s="5">
        <f t="shared" si="290"/>
        <v>20.454545454545453</v>
      </c>
      <c r="BF92" s="6">
        <f t="shared" si="291"/>
        <v>449</v>
      </c>
      <c r="BG92" s="5">
        <f t="shared" si="292"/>
        <v>11.200110864745012</v>
      </c>
      <c r="BH92" s="21">
        <f t="shared" si="293"/>
        <v>0.54756097560975614</v>
      </c>
      <c r="BI92" s="417">
        <f t="shared" si="294"/>
        <v>371</v>
      </c>
      <c r="BJ92" s="418">
        <f t="shared" si="295"/>
        <v>9.254434589800443</v>
      </c>
      <c r="BK92" s="195">
        <f t="shared" si="296"/>
        <v>0</v>
      </c>
      <c r="BL92" s="5">
        <f t="shared" si="297"/>
        <v>0</v>
      </c>
      <c r="BM92" s="21">
        <f t="shared" si="298"/>
        <v>0</v>
      </c>
      <c r="BN92" s="195">
        <f t="shared" si="299"/>
        <v>0</v>
      </c>
      <c r="BO92" s="185">
        <f t="shared" si="300"/>
        <v>0</v>
      </c>
      <c r="BP92" s="5">
        <f t="shared" si="301"/>
        <v>0</v>
      </c>
      <c r="BQ92" s="21">
        <f t="shared" si="302"/>
        <v>0</v>
      </c>
      <c r="BR92" s="5">
        <f t="shared" si="303"/>
        <v>-0.58000000000000007</v>
      </c>
      <c r="BS92" s="5">
        <f t="shared" si="304"/>
        <v>0</v>
      </c>
      <c r="BT92" s="24">
        <f t="shared" si="305"/>
        <v>0</v>
      </c>
      <c r="BU92" s="5">
        <f t="shared" si="306"/>
        <v>56.375</v>
      </c>
      <c r="BV92" s="5">
        <f t="shared" si="307"/>
        <v>-5.5500000000000007</v>
      </c>
      <c r="BW92" s="5">
        <f t="shared" si="308"/>
        <v>-5.5500000000000007</v>
      </c>
      <c r="BX92" s="6">
        <f t="shared" si="309"/>
        <v>132</v>
      </c>
      <c r="BY92" s="5">
        <f t="shared" si="310"/>
        <v>3.2926829268292681</v>
      </c>
      <c r="BZ92" s="6">
        <f t="shared" si="311"/>
        <v>68</v>
      </c>
      <c r="CA92" s="5">
        <f t="shared" si="312"/>
        <v>1.6962305986696231</v>
      </c>
      <c r="CB92" s="6">
        <f t="shared" si="313"/>
        <v>64</v>
      </c>
      <c r="CC92" s="5">
        <f t="shared" si="314"/>
        <v>1.5964523281596452</v>
      </c>
      <c r="CD92" s="5">
        <f t="shared" si="315"/>
        <v>1.5964523281596452</v>
      </c>
      <c r="CE92" s="21">
        <f t="shared" si="316"/>
        <v>0.48484848484848486</v>
      </c>
      <c r="CF92" s="5">
        <f t="shared" si="317"/>
        <v>18.857142857142858</v>
      </c>
      <c r="CG92" s="5">
        <f t="shared" si="318"/>
        <v>9.1428571428571423</v>
      </c>
      <c r="CH92" s="21">
        <f t="shared" si="319"/>
        <v>5.3030303030303032E-2</v>
      </c>
      <c r="CI92" s="298">
        <f t="shared" si="320"/>
        <v>7</v>
      </c>
      <c r="CJ92" s="298">
        <f t="shared" si="321"/>
        <v>0</v>
      </c>
      <c r="CK92" s="298">
        <f t="shared" si="322"/>
        <v>0</v>
      </c>
      <c r="CL92" s="21">
        <f t="shared" si="323"/>
        <v>0</v>
      </c>
      <c r="CM92" s="6">
        <f t="shared" si="324"/>
        <v>0</v>
      </c>
      <c r="CN92" s="5">
        <f t="shared" si="325"/>
        <v>0</v>
      </c>
      <c r="CO92" s="167">
        <f t="shared" si="326"/>
        <v>132</v>
      </c>
      <c r="CP92" s="5">
        <f t="shared" si="327"/>
        <v>3.2926829268292681</v>
      </c>
      <c r="CQ92" s="6">
        <f t="shared" si="328"/>
        <v>64</v>
      </c>
      <c r="CR92" s="5">
        <f t="shared" si="329"/>
        <v>1.5964523281596452</v>
      </c>
      <c r="CS92" s="21">
        <f t="shared" si="330"/>
        <v>0.48484848484848486</v>
      </c>
      <c r="CT92" s="6">
        <f t="shared" si="331"/>
        <v>71.42</v>
      </c>
      <c r="CU92" s="5">
        <f t="shared" si="332"/>
        <v>1.7815410199556541</v>
      </c>
      <c r="CV92" s="6">
        <f t="shared" si="333"/>
        <v>73.92</v>
      </c>
      <c r="CW92" s="5">
        <f t="shared" si="334"/>
        <v>1.8439024390243903</v>
      </c>
      <c r="CX92" s="385">
        <f t="shared" si="335"/>
        <v>1.9975609756097557</v>
      </c>
      <c r="CY92" s="5">
        <f t="shared" si="336"/>
        <v>23.747228381374722</v>
      </c>
      <c r="CZ92" s="5">
        <f t="shared" si="337"/>
        <v>11.200110864745012</v>
      </c>
      <c r="DA92" s="6">
        <f t="shared" si="338"/>
        <v>0</v>
      </c>
      <c r="DB92" s="5">
        <f t="shared" si="339"/>
        <v>0</v>
      </c>
      <c r="DC92" s="6">
        <f t="shared" si="340"/>
        <v>132</v>
      </c>
      <c r="DD92" s="5">
        <f t="shared" si="341"/>
        <v>3.2926829268292681</v>
      </c>
      <c r="DE92" s="6">
        <f t="shared" si="342"/>
        <v>132</v>
      </c>
      <c r="DF92" s="5">
        <f t="shared" si="343"/>
        <v>3.2926829268292681</v>
      </c>
      <c r="DG92" s="6">
        <f t="shared" si="344"/>
        <v>439</v>
      </c>
      <c r="DH92" s="5">
        <f t="shared" si="345"/>
        <v>10.950665188470067</v>
      </c>
      <c r="DI92" s="5">
        <f t="shared" si="346"/>
        <v>0</v>
      </c>
      <c r="DJ92" s="5">
        <f t="shared" si="347"/>
        <v>0</v>
      </c>
      <c r="DK92" s="5">
        <f t="shared" si="348"/>
        <v>0</v>
      </c>
      <c r="DL92" s="286">
        <f t="shared" si="349"/>
        <v>0</v>
      </c>
      <c r="DM92" s="287">
        <f t="shared" si="350"/>
        <v>0</v>
      </c>
      <c r="DN92" s="60">
        <f t="shared" si="351"/>
        <v>5.86</v>
      </c>
      <c r="DO92"/>
      <c r="DP92" t="s">
        <v>1160</v>
      </c>
      <c r="DQ92" t="s">
        <v>1691</v>
      </c>
      <c r="DR92">
        <v>21</v>
      </c>
      <c r="DS92" t="s">
        <v>1692</v>
      </c>
      <c r="DT92" t="s">
        <v>711</v>
      </c>
      <c r="DU92" t="s">
        <v>1201</v>
      </c>
      <c r="DV92" t="s">
        <v>1202</v>
      </c>
      <c r="DW92" t="s">
        <v>1693</v>
      </c>
      <c r="DX92" t="s">
        <v>1695</v>
      </c>
      <c r="DY92">
        <v>3608</v>
      </c>
      <c r="DZ92" t="s">
        <v>984</v>
      </c>
      <c r="EA92">
        <v>0</v>
      </c>
      <c r="EB92">
        <v>7</v>
      </c>
      <c r="EC92">
        <v>3</v>
      </c>
      <c r="ED92">
        <v>0</v>
      </c>
      <c r="EE92">
        <v>0</v>
      </c>
      <c r="EF92" t="s">
        <v>1694</v>
      </c>
      <c r="EG92" t="s">
        <v>1584</v>
      </c>
      <c r="EH92">
        <v>62</v>
      </c>
      <c r="EI92">
        <v>38</v>
      </c>
      <c r="EJ92">
        <v>820</v>
      </c>
      <c r="EK92">
        <v>449</v>
      </c>
      <c r="EL92">
        <v>0</v>
      </c>
      <c r="EM92">
        <v>0</v>
      </c>
      <c r="EN92">
        <v>0</v>
      </c>
      <c r="EO92">
        <v>132</v>
      </c>
      <c r="EP92">
        <v>64</v>
      </c>
      <c r="EQ92">
        <v>0</v>
      </c>
      <c r="ER92">
        <v>0</v>
      </c>
      <c r="ES92">
        <v>0</v>
      </c>
      <c r="ET92">
        <v>0</v>
      </c>
      <c r="EU92">
        <v>0</v>
      </c>
      <c r="EV92">
        <v>0</v>
      </c>
      <c r="EW92">
        <v>0</v>
      </c>
      <c r="EX92">
        <v>0</v>
      </c>
      <c r="EY92">
        <v>0</v>
      </c>
      <c r="EZ92">
        <v>0</v>
      </c>
      <c r="FA92">
        <v>0</v>
      </c>
      <c r="FB92">
        <v>0</v>
      </c>
      <c r="FC92" t="s">
        <v>1270</v>
      </c>
      <c r="FD92">
        <v>5.86</v>
      </c>
    </row>
    <row r="93" spans="1:160" ht="24.95" customHeight="1" x14ac:dyDescent="0.25"/>
    <row r="94" spans="1:160" ht="24.95" customHeight="1" x14ac:dyDescent="0.25"/>
    <row r="95" spans="1:160" ht="24.95" customHeight="1" x14ac:dyDescent="0.25"/>
    <row r="96" spans="1:160"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sheetData>
  <autoFilter ref="B1:FD1" xr:uid="{00000000-0001-0000-0500-000000000000}">
    <sortState xmlns:xlrd2="http://schemas.microsoft.com/office/spreadsheetml/2017/richdata2" ref="B2:FD15">
      <sortCondition descending="1" ref="CX1"/>
    </sortState>
  </autoFilter>
  <phoneticPr fontId="52" type="noConversion"/>
  <conditionalFormatting sqref="H2:H92">
    <cfRule type="colorScale" priority="894">
      <colorScale>
        <cfvo type="num" val="23"/>
        <cfvo type="num" val="28"/>
        <cfvo type="num" val="30"/>
        <color rgb="FF63BE7B"/>
        <color rgb="FFFFEB84"/>
        <color rgb="FFF8696B"/>
      </colorScale>
    </cfRule>
  </conditionalFormatting>
  <conditionalFormatting sqref="BT1:BT1048576">
    <cfRule type="iconSet" priority="431">
      <iconSet iconSet="4Arrows" reverse="1">
        <cfvo type="percent" val="0"/>
        <cfvo type="percent" val="25"/>
        <cfvo type="percent" val="50"/>
        <cfvo type="percent" val="75"/>
      </iconSet>
    </cfRule>
    <cfRule type="colorScale" priority="432">
      <colorScale>
        <cfvo type="min"/>
        <cfvo type="percentile" val="50"/>
        <cfvo type="max"/>
        <color rgb="FF63BE7B"/>
        <color rgb="FFFFEB84"/>
        <color rgb="FFF8696B"/>
      </colorScale>
    </cfRule>
  </conditionalFormatting>
  <conditionalFormatting sqref="CM1:CM1048576">
    <cfRule type="colorScale" priority="553">
      <colorScale>
        <cfvo type="min"/>
        <cfvo type="max"/>
        <color rgb="FFFFEF9C"/>
        <color rgb="FF63BE7B"/>
      </colorScale>
    </cfRule>
    <cfRule type="colorScale" priority="830">
      <colorScale>
        <cfvo type="min"/>
        <cfvo type="percentile" val="50"/>
        <cfvo type="max"/>
        <color rgb="FFF8696B"/>
        <color rgb="FFFFEB84"/>
        <color rgb="FF63BE7B"/>
      </colorScale>
    </cfRule>
  </conditionalFormatting>
  <conditionalFormatting sqref="AW1:AW1048576">
    <cfRule type="colorScale" priority="380">
      <colorScale>
        <cfvo type="min"/>
        <cfvo type="percentile" val="50"/>
        <cfvo type="max"/>
        <color rgb="FFF8696B"/>
        <color rgb="FFFCFCFF"/>
        <color rgb="FF5A8AC6"/>
      </colorScale>
    </cfRule>
    <cfRule type="iconSet" priority="400">
      <iconSet iconSet="5Arrows">
        <cfvo type="percent" val="0"/>
        <cfvo type="percent" val="20"/>
        <cfvo type="percent" val="40"/>
        <cfvo type="percent" val="60"/>
        <cfvo type="percent" val="80"/>
      </iconSet>
    </cfRule>
  </conditionalFormatting>
  <conditionalFormatting sqref="BU1:BU1048576">
    <cfRule type="colorScale" priority="422">
      <colorScale>
        <cfvo type="min"/>
        <cfvo type="percentile" val="50"/>
        <cfvo type="max"/>
        <color rgb="FF63BE7B"/>
        <color rgb="FFFFEB84"/>
        <color rgb="FFF8696B"/>
      </colorScale>
    </cfRule>
    <cfRule type="iconSet" priority="430">
      <iconSet iconSet="3Arrows" reverse="1">
        <cfvo type="percent" val="0"/>
        <cfvo type="percent" val="33"/>
        <cfvo type="percent" val="67"/>
      </iconSet>
    </cfRule>
  </conditionalFormatting>
  <conditionalFormatting sqref="AX1:AY1048576">
    <cfRule type="colorScale" priority="471">
      <colorScale>
        <cfvo type="min"/>
        <cfvo type="percentile" val="50"/>
        <cfvo type="max"/>
        <color rgb="FFF8696B"/>
        <color rgb="FFFFEB84"/>
        <color rgb="FF63BE7B"/>
      </colorScale>
    </cfRule>
  </conditionalFormatting>
  <conditionalFormatting sqref="CV2:CW1048576">
    <cfRule type="colorScale" priority="719">
      <colorScale>
        <cfvo type="min"/>
        <cfvo type="percentile" val="50"/>
        <cfvo type="max"/>
        <color rgb="FFF8696B"/>
        <color rgb="FFFFEB84"/>
        <color rgb="FF63BE7B"/>
      </colorScale>
    </cfRule>
  </conditionalFormatting>
  <conditionalFormatting sqref="AX1:AY1048576">
    <cfRule type="colorScale" priority="82027">
      <colorScale>
        <cfvo type="min"/>
        <cfvo type="percentile" val="50"/>
        <cfvo type="max"/>
        <color rgb="FFF8696B"/>
        <color rgb="FFFFEB84"/>
        <color rgb="FF63BE7B"/>
      </colorScale>
    </cfRule>
    <cfRule type="colorScale" priority="82028">
      <colorScale>
        <cfvo type="min"/>
        <cfvo type="max"/>
        <color rgb="FFFFEF9C"/>
        <color rgb="FF63BE7B"/>
      </colorScale>
    </cfRule>
  </conditionalFormatting>
  <conditionalFormatting sqref="CY2:CY1048576">
    <cfRule type="colorScale" priority="674">
      <colorScale>
        <cfvo type="min"/>
        <cfvo type="percentile" val="50"/>
        <cfvo type="max"/>
        <color rgb="FFF8696B"/>
        <color rgb="FFFFEB84"/>
        <color rgb="FF63BE7B"/>
      </colorScale>
    </cfRule>
  </conditionalFormatting>
  <conditionalFormatting sqref="CY1">
    <cfRule type="colorScale" priority="673">
      <colorScale>
        <cfvo type="min"/>
        <cfvo type="percentile" val="50"/>
        <cfvo type="max"/>
        <color rgb="FFF8696B"/>
        <color rgb="FFFFEB84"/>
        <color rgb="FF63BE7B"/>
      </colorScale>
    </cfRule>
  </conditionalFormatting>
  <conditionalFormatting sqref="CY1">
    <cfRule type="colorScale" priority="672">
      <colorScale>
        <cfvo type="min"/>
        <cfvo type="percentile" val="50"/>
        <cfvo type="max"/>
        <color rgb="FF63BE7B"/>
        <color rgb="FFFFEB84"/>
        <color rgb="FFF8696B"/>
      </colorScale>
    </cfRule>
  </conditionalFormatting>
  <conditionalFormatting sqref="CY1">
    <cfRule type="colorScale" priority="671">
      <colorScale>
        <cfvo type="min"/>
        <cfvo type="percentile" val="50"/>
        <cfvo type="max"/>
        <color rgb="FFF8696B"/>
        <color rgb="FFFFEB84"/>
        <color rgb="FF63BE7B"/>
      </colorScale>
    </cfRule>
  </conditionalFormatting>
  <conditionalFormatting sqref="CV1:CW1">
    <cfRule type="colorScale" priority="670">
      <colorScale>
        <cfvo type="min"/>
        <cfvo type="percentile" val="50"/>
        <cfvo type="max"/>
        <color rgb="FFF8696B"/>
        <color rgb="FFFFEB84"/>
        <color rgb="FF63BE7B"/>
      </colorScale>
    </cfRule>
  </conditionalFormatting>
  <conditionalFormatting sqref="CV1:CW1">
    <cfRule type="colorScale" priority="669">
      <colorScale>
        <cfvo type="min"/>
        <cfvo type="percentile" val="50"/>
        <cfvo type="max"/>
        <color rgb="FFF8696B"/>
        <color rgb="FFFFEB84"/>
        <color rgb="FF63BE7B"/>
      </colorScale>
    </cfRule>
  </conditionalFormatting>
  <conditionalFormatting sqref="CY1:CY1048576">
    <cfRule type="iconSet" priority="370">
      <iconSet iconSet="5Arrows">
        <cfvo type="percent" val="0"/>
        <cfvo type="percent" val="20"/>
        <cfvo type="percent" val="40"/>
        <cfvo type="percent" val="60"/>
        <cfvo type="percent" val="80"/>
      </iconSet>
    </cfRule>
    <cfRule type="colorScale" priority="516">
      <colorScale>
        <cfvo type="min"/>
        <cfvo type="percentile" val="50"/>
        <cfvo type="max"/>
        <color rgb="FFF8696B"/>
        <color rgb="FFFFEB84"/>
        <color rgb="FF63BE7B"/>
      </colorScale>
    </cfRule>
  </conditionalFormatting>
  <conditionalFormatting sqref="CV1:CW1048576">
    <cfRule type="colorScale" priority="555">
      <colorScale>
        <cfvo type="min"/>
        <cfvo type="percentile" val="50"/>
        <cfvo type="max"/>
        <color rgb="FFF8696B"/>
        <color rgb="FFFFEB84"/>
        <color rgb="FF63BE7B"/>
      </colorScale>
    </cfRule>
  </conditionalFormatting>
  <conditionalFormatting sqref="G1:G1048576">
    <cfRule type="containsText" dxfId="3" priority="280" operator="containsText" text="Sem Data Final">
      <formula>NOT(ISERROR(SEARCH("Sem Data Final",G1)))</formula>
    </cfRule>
    <cfRule type="colorScale" priority="433">
      <colorScale>
        <cfvo type="min"/>
        <cfvo type="percentile" val="50"/>
        <cfvo type="max"/>
        <color rgb="FF63BE7B"/>
        <color rgb="FFFFEB84"/>
        <color rgb="FFF8696B"/>
      </colorScale>
    </cfRule>
  </conditionalFormatting>
  <conditionalFormatting sqref="CT2:CT1048576">
    <cfRule type="colorScale" priority="571">
      <colorScale>
        <cfvo type="min"/>
        <cfvo type="percentile" val="50"/>
        <cfvo type="max"/>
        <color rgb="FFF8696B"/>
        <color rgb="FFFFEB84"/>
        <color rgb="FF63BE7B"/>
      </colorScale>
    </cfRule>
  </conditionalFormatting>
  <conditionalFormatting sqref="CT1:CU1">
    <cfRule type="colorScale" priority="568">
      <colorScale>
        <cfvo type="min"/>
        <cfvo type="percentile" val="50"/>
        <cfvo type="max"/>
        <color rgb="FFF8696B"/>
        <color rgb="FFFFEB84"/>
        <color rgb="FF63BE7B"/>
      </colorScale>
    </cfRule>
  </conditionalFormatting>
  <conditionalFormatting sqref="CT1:CU1">
    <cfRule type="colorScale" priority="567">
      <colorScale>
        <cfvo type="min"/>
        <cfvo type="percentile" val="50"/>
        <cfvo type="max"/>
        <color rgb="FFF8696B"/>
        <color rgb="FFFFEB84"/>
        <color rgb="FF63BE7B"/>
      </colorScale>
    </cfRule>
  </conditionalFormatting>
  <conditionalFormatting sqref="CT1:CU1 CT2:CT1048576">
    <cfRule type="colorScale" priority="566">
      <colorScale>
        <cfvo type="min"/>
        <cfvo type="percentile" val="50"/>
        <cfvo type="max"/>
        <color rgb="FFF8696B"/>
        <color rgb="FFFFEB84"/>
        <color rgb="FF63BE7B"/>
      </colorScale>
    </cfRule>
  </conditionalFormatting>
  <conditionalFormatting sqref="CU2:CU1048576">
    <cfRule type="colorScale" priority="563">
      <colorScale>
        <cfvo type="min"/>
        <cfvo type="percentile" val="50"/>
        <cfvo type="max"/>
        <color rgb="FFF8696B"/>
        <color rgb="FFFFEB84"/>
        <color rgb="FF63BE7B"/>
      </colorScale>
    </cfRule>
  </conditionalFormatting>
  <conditionalFormatting sqref="CT1:CT1048576">
    <cfRule type="iconSet" priority="374">
      <iconSet iconSet="4Arrows">
        <cfvo type="percent" val="0"/>
        <cfvo type="percent" val="25"/>
        <cfvo type="percent" val="50"/>
        <cfvo type="percent" val="75"/>
      </iconSet>
    </cfRule>
    <cfRule type="colorScale" priority="551">
      <colorScale>
        <cfvo type="min"/>
        <cfvo type="percentile" val="50"/>
        <cfvo type="max"/>
        <color rgb="FFF8696B"/>
        <color rgb="FFFFEB84"/>
        <color rgb="FF63BE7B"/>
      </colorScale>
    </cfRule>
  </conditionalFormatting>
  <conditionalFormatting sqref="CU1:CU1048576">
    <cfRule type="iconSet" priority="377">
      <iconSet iconSet="5Arrows">
        <cfvo type="percent" val="0"/>
        <cfvo type="percent" val="20"/>
        <cfvo type="percent" val="40"/>
        <cfvo type="percent" val="60"/>
        <cfvo type="percent" val="80"/>
      </iconSet>
    </cfRule>
    <cfRule type="colorScale" priority="517">
      <colorScale>
        <cfvo type="min"/>
        <cfvo type="percentile" val="50"/>
        <cfvo type="max"/>
        <color rgb="FFF8696B"/>
        <color rgb="FFFFEB84"/>
        <color rgb="FF63BE7B"/>
      </colorScale>
    </cfRule>
  </conditionalFormatting>
  <conditionalFormatting sqref="CV1:CV1048576">
    <cfRule type="iconSet" priority="375">
      <iconSet iconSet="5Arrows">
        <cfvo type="percent" val="0"/>
        <cfvo type="percent" val="20"/>
        <cfvo type="percent" val="40"/>
        <cfvo type="percent" val="60"/>
        <cfvo type="percent" val="80"/>
      </iconSet>
    </cfRule>
    <cfRule type="colorScale" priority="515">
      <colorScale>
        <cfvo type="min"/>
        <cfvo type="percentile" val="50"/>
        <cfvo type="max"/>
        <color rgb="FFF8696B"/>
        <color rgb="FFFFEB84"/>
        <color rgb="FF63BE7B"/>
      </colorScale>
    </cfRule>
  </conditionalFormatting>
  <conditionalFormatting sqref="CW1:CW1048576">
    <cfRule type="iconSet" priority="376">
      <iconSet iconSet="5Arrows">
        <cfvo type="percent" val="0"/>
        <cfvo type="percent" val="20"/>
        <cfvo type="percent" val="40"/>
        <cfvo type="percent" val="60"/>
        <cfvo type="percent" val="80"/>
      </iconSet>
    </cfRule>
    <cfRule type="colorScale" priority="514">
      <colorScale>
        <cfvo type="min"/>
        <cfvo type="percentile" val="50"/>
        <cfvo type="max"/>
        <color rgb="FFF8696B"/>
        <color rgb="FFFFEB84"/>
        <color rgb="FF63BE7B"/>
      </colorScale>
    </cfRule>
  </conditionalFormatting>
  <conditionalFormatting sqref="CZ1:CZ1048576">
    <cfRule type="iconSet" priority="369">
      <iconSet iconSet="5Arrows">
        <cfvo type="percent" val="0"/>
        <cfvo type="percent" val="20"/>
        <cfvo type="percent" val="40"/>
        <cfvo type="percent" val="60"/>
        <cfvo type="percent" val="80"/>
      </iconSet>
    </cfRule>
    <cfRule type="colorScale" priority="513">
      <colorScale>
        <cfvo type="min"/>
        <cfvo type="percentile" val="50"/>
        <cfvo type="max"/>
        <color rgb="FFF8696B"/>
        <color rgb="FFFFEB84"/>
        <color rgb="FF63BE7B"/>
      </colorScale>
    </cfRule>
  </conditionalFormatting>
  <conditionalFormatting sqref="AS1:AT1">
    <cfRule type="colorScale" priority="498">
      <colorScale>
        <cfvo type="min"/>
        <cfvo type="percentile" val="50"/>
        <cfvo type="max"/>
        <color rgb="FFF8696B"/>
        <color rgb="FFFFEB84"/>
        <color rgb="FF63BE7B"/>
      </colorScale>
    </cfRule>
  </conditionalFormatting>
  <conditionalFormatting sqref="AS1:AT1">
    <cfRule type="colorScale" priority="497">
      <colorScale>
        <cfvo type="min"/>
        <cfvo type="percentile" val="50"/>
        <cfvo type="max"/>
        <color rgb="FFF8696B"/>
        <color rgb="FFFFEB84"/>
        <color rgb="FF63BE7B"/>
      </colorScale>
    </cfRule>
  </conditionalFormatting>
  <conditionalFormatting sqref="AS1">
    <cfRule type="colorScale" priority="496">
      <colorScale>
        <cfvo type="min"/>
        <cfvo type="percentile" val="50"/>
        <cfvo type="max"/>
        <color rgb="FFF8696B"/>
        <color rgb="FFFFEB84"/>
        <color rgb="FF63BE7B"/>
      </colorScale>
    </cfRule>
  </conditionalFormatting>
  <conditionalFormatting sqref="AT1">
    <cfRule type="colorScale" priority="495">
      <colorScale>
        <cfvo type="min"/>
        <cfvo type="percentile" val="50"/>
        <cfvo type="max"/>
        <color rgb="FFF8696B"/>
        <color rgb="FFFFEB84"/>
        <color rgb="FF63BE7B"/>
      </colorScale>
    </cfRule>
  </conditionalFormatting>
  <conditionalFormatting sqref="AS1:AT1">
    <cfRule type="colorScale" priority="494">
      <colorScale>
        <cfvo type="min"/>
        <cfvo type="percentile" val="50"/>
        <cfvo type="max"/>
        <color rgb="FF63BE7B"/>
        <color rgb="FFFFEB84"/>
        <color rgb="FFF8696B"/>
      </colorScale>
    </cfRule>
  </conditionalFormatting>
  <conditionalFormatting sqref="AS1:AT1">
    <cfRule type="colorScale" priority="493">
      <colorScale>
        <cfvo type="min"/>
        <cfvo type="percentile" val="50"/>
        <cfvo type="max"/>
        <color rgb="FFF8696B"/>
        <color rgb="FFFFEB84"/>
        <color rgb="FF63BE7B"/>
      </colorScale>
    </cfRule>
  </conditionalFormatting>
  <conditionalFormatting sqref="AR1">
    <cfRule type="colorScale" priority="489">
      <colorScale>
        <cfvo type="min"/>
        <cfvo type="percentile" val="50"/>
        <cfvo type="max"/>
        <color rgb="FFF8696B"/>
        <color rgb="FFFFEB84"/>
        <color rgb="FF63BE7B"/>
      </colorScale>
    </cfRule>
  </conditionalFormatting>
  <conditionalFormatting sqref="AP1">
    <cfRule type="colorScale" priority="483">
      <colorScale>
        <cfvo type="min"/>
        <cfvo type="percentile" val="50"/>
        <cfvo type="max"/>
        <color rgb="FFF8696B"/>
        <color rgb="FFFFEB84"/>
        <color rgb="FF63BE7B"/>
      </colorScale>
    </cfRule>
  </conditionalFormatting>
  <conditionalFormatting sqref="AT1:AT1048576">
    <cfRule type="dataBar" priority="353">
      <dataBar>
        <cfvo type="min"/>
        <cfvo type="max"/>
        <color rgb="FF008AEF"/>
      </dataBar>
      <extLst>
        <ext xmlns:x14="http://schemas.microsoft.com/office/spreadsheetml/2009/9/main" uri="{B025F937-C7B1-47D3-B67F-A62EFF666E3E}">
          <x14:id>{A8559071-2C01-44D9-8EAE-178E70C948D7}</x14:id>
        </ext>
      </extLst>
    </cfRule>
    <cfRule type="colorScale" priority="409">
      <colorScale>
        <cfvo type="min"/>
        <cfvo type="percentile" val="50"/>
        <cfvo type="max"/>
        <color rgb="FFF8696B"/>
        <color theme="4" tint="0.79998168889431442"/>
        <color rgb="FF00B0F0"/>
      </colorScale>
    </cfRule>
    <cfRule type="colorScale" priority="478">
      <colorScale>
        <cfvo type="min"/>
        <cfvo type="percentile" val="50"/>
        <cfvo type="max"/>
        <color rgb="FFF8696B"/>
        <color rgb="FFFFEB84"/>
        <color rgb="FF63BE7B"/>
      </colorScale>
    </cfRule>
  </conditionalFormatting>
  <conditionalFormatting sqref="AS1:AS1048576">
    <cfRule type="dataBar" priority="352">
      <dataBar>
        <cfvo type="min"/>
        <cfvo type="max"/>
        <color rgb="FF008AEF"/>
      </dataBar>
      <extLst>
        <ext xmlns:x14="http://schemas.microsoft.com/office/spreadsheetml/2009/9/main" uri="{B025F937-C7B1-47D3-B67F-A62EFF666E3E}">
          <x14:id>{3B9912E0-EBAC-4EFF-A597-E0617888639F}</x14:id>
        </ext>
      </extLst>
    </cfRule>
    <cfRule type="colorScale" priority="410">
      <colorScale>
        <cfvo type="min"/>
        <cfvo type="percentile" val="50"/>
        <cfvo type="max"/>
        <color rgb="FFF8696B"/>
        <color theme="4" tint="0.79998168889431442"/>
        <color rgb="FF00B0F0"/>
      </colorScale>
    </cfRule>
    <cfRule type="colorScale" priority="477">
      <colorScale>
        <cfvo type="min"/>
        <cfvo type="percentile" val="50"/>
        <cfvo type="max"/>
        <color rgb="FFF8696B"/>
        <color rgb="FFFFEB84"/>
        <color rgb="FF63BE7B"/>
      </colorScale>
    </cfRule>
  </conditionalFormatting>
  <conditionalFormatting sqref="AR1:AR1048576">
    <cfRule type="dataBar" priority="351">
      <dataBar>
        <cfvo type="min"/>
        <cfvo type="max"/>
        <color rgb="FF008AEF"/>
      </dataBar>
      <extLst>
        <ext xmlns:x14="http://schemas.microsoft.com/office/spreadsheetml/2009/9/main" uri="{B025F937-C7B1-47D3-B67F-A62EFF666E3E}">
          <x14:id>{6E4B09BB-34F0-4CE5-B5A0-A172D6E53BBD}</x14:id>
        </ext>
      </extLst>
    </cfRule>
    <cfRule type="colorScale" priority="411">
      <colorScale>
        <cfvo type="min"/>
        <cfvo type="percentile" val="50"/>
        <cfvo type="max"/>
        <color rgb="FFF8696B"/>
        <color theme="4" tint="0.79998168889431442"/>
        <color rgb="FF00B0F0"/>
      </colorScale>
    </cfRule>
    <cfRule type="colorScale" priority="476">
      <colorScale>
        <cfvo type="min"/>
        <cfvo type="percentile" val="50"/>
        <cfvo type="max"/>
        <color rgb="FFF8696B"/>
        <color rgb="FFFFEB84"/>
        <color rgb="FF63BE7B"/>
      </colorScale>
    </cfRule>
  </conditionalFormatting>
  <conditionalFormatting sqref="AQ1:AQ1048576">
    <cfRule type="dataBar" priority="350">
      <dataBar>
        <cfvo type="min"/>
        <cfvo type="max"/>
        <color rgb="FF008AEF"/>
      </dataBar>
      <extLst>
        <ext xmlns:x14="http://schemas.microsoft.com/office/spreadsheetml/2009/9/main" uri="{B025F937-C7B1-47D3-B67F-A62EFF666E3E}">
          <x14:id>{1D2A42BB-2BB3-4629-A922-97A4C8DFC0E2}</x14:id>
        </ext>
      </extLst>
    </cfRule>
    <cfRule type="colorScale" priority="412">
      <colorScale>
        <cfvo type="min"/>
        <cfvo type="percentile" val="50"/>
        <cfvo type="max"/>
        <color rgb="FFF8696B"/>
        <color theme="4" tint="0.79998168889431442"/>
        <color rgb="FF00B0F0"/>
      </colorScale>
    </cfRule>
  </conditionalFormatting>
  <conditionalFormatting sqref="AP1:AP1048576">
    <cfRule type="dataBar" priority="349">
      <dataBar>
        <cfvo type="min"/>
        <cfvo type="max"/>
        <color rgb="FF008AEF"/>
      </dataBar>
      <extLst>
        <ext xmlns:x14="http://schemas.microsoft.com/office/spreadsheetml/2009/9/main" uri="{B025F937-C7B1-47D3-B67F-A62EFF666E3E}">
          <x14:id>{398FC3BC-5496-48CE-9ECD-55E6BB111478}</x14:id>
        </ext>
      </extLst>
    </cfRule>
    <cfRule type="colorScale" priority="413">
      <colorScale>
        <cfvo type="min"/>
        <cfvo type="percentile" val="50"/>
        <cfvo type="max"/>
        <color rgb="FFF8696B"/>
        <color theme="4" tint="0.79998168889431442"/>
        <color rgb="FF00B0F0"/>
      </colorScale>
    </cfRule>
    <cfRule type="colorScale" priority="474">
      <colorScale>
        <cfvo type="min"/>
        <cfvo type="percentile" val="50"/>
        <cfvo type="max"/>
        <color rgb="FFF8696B"/>
        <color rgb="FFFFEB84"/>
        <color rgb="FF63BE7B"/>
      </colorScale>
    </cfRule>
  </conditionalFormatting>
  <conditionalFormatting sqref="BV1:BV1048576">
    <cfRule type="iconSet" priority="143">
      <iconSet iconSet="5Arrows">
        <cfvo type="percent" val="0"/>
        <cfvo type="percent" val="20"/>
        <cfvo type="percent" val="40"/>
        <cfvo type="percent" val="60"/>
        <cfvo type="percent" val="80"/>
      </iconSet>
    </cfRule>
    <cfRule type="colorScale" priority="446">
      <colorScale>
        <cfvo type="num" val="-1.0000000000000001E-5"/>
        <cfvo type="num" val="0"/>
        <cfvo type="max"/>
        <color rgb="FFF8696B"/>
        <color theme="8" tint="0.79998168889431442"/>
        <color rgb="FF00B0F0"/>
      </colorScale>
    </cfRule>
  </conditionalFormatting>
  <conditionalFormatting sqref="BU1:BU1048576">
    <cfRule type="colorScale" priority="627274">
      <colorScale>
        <cfvo type="min"/>
        <cfvo type="percentile" val="50"/>
        <cfvo type="max"/>
        <color rgb="FFF8696B"/>
        <color rgb="FFFFEB84"/>
        <color rgb="FF63BE7B"/>
      </colorScale>
    </cfRule>
  </conditionalFormatting>
  <conditionalFormatting sqref="AY1:AY1048576">
    <cfRule type="iconSet" priority="364">
      <iconSet iconSet="5Arrows">
        <cfvo type="percent" val="0"/>
        <cfvo type="percent" val="20"/>
        <cfvo type="percent" val="40"/>
        <cfvo type="percent" val="60"/>
        <cfvo type="percent" val="80"/>
      </iconSet>
    </cfRule>
    <cfRule type="colorScale" priority="378">
      <colorScale>
        <cfvo type="min"/>
        <cfvo type="percentile" val="50"/>
        <cfvo type="max"/>
        <color rgb="FFF8696B"/>
        <color rgb="FFFCFCFF"/>
        <color rgb="FF5A8AC6"/>
      </colorScale>
    </cfRule>
  </conditionalFormatting>
  <conditionalFormatting sqref="AX1:AX1048576">
    <cfRule type="colorScale" priority="379">
      <colorScale>
        <cfvo type="min"/>
        <cfvo type="percentile" val="50"/>
        <cfvo type="max"/>
        <color rgb="FFF8696B"/>
        <color rgb="FFFCFCFF"/>
        <color rgb="FF5A8AC6"/>
      </colorScale>
    </cfRule>
    <cfRule type="iconSet" priority="399">
      <iconSet iconSet="5Arrows">
        <cfvo type="percent" val="0"/>
        <cfvo type="percent" val="20"/>
        <cfvo type="percent" val="40"/>
        <cfvo type="percent" val="60"/>
        <cfvo type="percent" val="80"/>
      </iconSet>
    </cfRule>
  </conditionalFormatting>
  <conditionalFormatting sqref="I1:I1048576">
    <cfRule type="colorScale" priority="347">
      <colorScale>
        <cfvo type="min"/>
        <cfvo type="percentile" val="50"/>
        <cfvo type="max"/>
        <color rgb="FF63BE7B"/>
        <color rgb="FFFFEB84"/>
        <color rgb="FFF8696B"/>
      </colorScale>
    </cfRule>
  </conditionalFormatting>
  <conditionalFormatting sqref="DA1:DA1048576">
    <cfRule type="iconSet" priority="335">
      <iconSet iconSet="5Arrows">
        <cfvo type="percent" val="0"/>
        <cfvo type="percent" val="20"/>
        <cfvo type="percent" val="40"/>
        <cfvo type="percent" val="60"/>
        <cfvo type="percent" val="80"/>
      </iconSet>
    </cfRule>
    <cfRule type="colorScale" priority="346">
      <colorScale>
        <cfvo type="min"/>
        <cfvo type="percentile" val="50"/>
        <cfvo type="max"/>
        <color rgb="FFF8696B"/>
        <color rgb="FFFFEB84"/>
        <color rgb="FF63BE7B"/>
      </colorScale>
    </cfRule>
  </conditionalFormatting>
  <conditionalFormatting sqref="DB1:DB1048576">
    <cfRule type="iconSet" priority="336">
      <iconSet iconSet="5Arrows">
        <cfvo type="percent" val="0"/>
        <cfvo type="percent" val="20"/>
        <cfvo type="percent" val="40"/>
        <cfvo type="percent" val="60"/>
        <cfvo type="percent" val="80"/>
      </iconSet>
    </cfRule>
    <cfRule type="colorScale" priority="345">
      <colorScale>
        <cfvo type="min"/>
        <cfvo type="percentile" val="50"/>
        <cfvo type="max"/>
        <color rgb="FFF8696B"/>
        <color rgb="FFFFEB84"/>
        <color rgb="FF63BE7B"/>
      </colorScale>
    </cfRule>
  </conditionalFormatting>
  <conditionalFormatting sqref="DC1:DC1048576">
    <cfRule type="iconSet" priority="337">
      <iconSet iconSet="5Arrows">
        <cfvo type="percent" val="0"/>
        <cfvo type="percent" val="20"/>
        <cfvo type="percent" val="40"/>
        <cfvo type="percent" val="60"/>
        <cfvo type="percent" val="80"/>
      </iconSet>
    </cfRule>
    <cfRule type="colorScale" priority="344">
      <colorScale>
        <cfvo type="min"/>
        <cfvo type="percentile" val="50"/>
        <cfvo type="max"/>
        <color rgb="FFF8696B"/>
        <color rgb="FFFFEB84"/>
        <color rgb="FF63BE7B"/>
      </colorScale>
    </cfRule>
  </conditionalFormatting>
  <conditionalFormatting sqref="DD1:DD1048576">
    <cfRule type="iconSet" priority="338">
      <iconSet iconSet="5Arrows">
        <cfvo type="percent" val="0"/>
        <cfvo type="percent" val="20"/>
        <cfvo type="percent" val="40"/>
        <cfvo type="percent" val="60"/>
        <cfvo type="percent" val="80"/>
      </iconSet>
    </cfRule>
    <cfRule type="colorScale" priority="343">
      <colorScale>
        <cfvo type="min"/>
        <cfvo type="percentile" val="50"/>
        <cfvo type="max"/>
        <color rgb="FFF8696B"/>
        <color rgb="FFFFEB84"/>
        <color rgb="FF63BE7B"/>
      </colorScale>
    </cfRule>
  </conditionalFormatting>
  <conditionalFormatting sqref="DE1:DE1048576">
    <cfRule type="iconSet" priority="339">
      <iconSet iconSet="5Arrows">
        <cfvo type="percent" val="0"/>
        <cfvo type="percent" val="20"/>
        <cfvo type="percent" val="40"/>
        <cfvo type="percent" val="60"/>
        <cfvo type="percent" val="80"/>
      </iconSet>
    </cfRule>
    <cfRule type="colorScale" priority="342">
      <colorScale>
        <cfvo type="min"/>
        <cfvo type="percentile" val="50"/>
        <cfvo type="max"/>
        <color rgb="FFF8696B"/>
        <color rgb="FFFFEB84"/>
        <color rgb="FF63BE7B"/>
      </colorScale>
    </cfRule>
  </conditionalFormatting>
  <conditionalFormatting sqref="DF1:DF1048576">
    <cfRule type="iconSet" priority="340">
      <iconSet iconSet="5Arrows">
        <cfvo type="percent" val="0"/>
        <cfvo type="percent" val="20"/>
        <cfvo type="percent" val="40"/>
        <cfvo type="percent" val="60"/>
        <cfvo type="percent" val="80"/>
      </iconSet>
    </cfRule>
    <cfRule type="colorScale" priority="341">
      <colorScale>
        <cfvo type="min"/>
        <cfvo type="percentile" val="50"/>
        <cfvo type="max"/>
        <color rgb="FFF8696B"/>
        <color rgb="FFFFEB84"/>
        <color rgb="FF63BE7B"/>
      </colorScale>
    </cfRule>
  </conditionalFormatting>
  <conditionalFormatting sqref="DG1:DG1048576">
    <cfRule type="iconSet" priority="320">
      <iconSet iconSet="5Arrows" reverse="1">
        <cfvo type="percent" val="0"/>
        <cfvo type="percent" val="20"/>
        <cfvo type="percent" val="40"/>
        <cfvo type="percent" val="60"/>
        <cfvo type="percent" val="80"/>
      </iconSet>
    </cfRule>
    <cfRule type="colorScale" priority="321">
      <colorScale>
        <cfvo type="min"/>
        <cfvo type="max"/>
        <color rgb="FFFCFCFF"/>
        <color rgb="FFF8696B"/>
      </colorScale>
    </cfRule>
  </conditionalFormatting>
  <conditionalFormatting sqref="DH1:DH1048576">
    <cfRule type="iconSet" priority="318">
      <iconSet iconSet="5Arrows" reverse="1">
        <cfvo type="percent" val="0"/>
        <cfvo type="percent" val="20"/>
        <cfvo type="percent" val="40"/>
        <cfvo type="percent" val="60"/>
        <cfvo type="percent" val="80"/>
      </iconSet>
    </cfRule>
    <cfRule type="colorScale" priority="319">
      <colorScale>
        <cfvo type="min"/>
        <cfvo type="max"/>
        <color rgb="FFFCFCFF"/>
        <color rgb="FFF8696B"/>
      </colorScale>
    </cfRule>
  </conditionalFormatting>
  <conditionalFormatting sqref="S1:S1048576">
    <cfRule type="iconSet" priority="303">
      <iconSet iconSet="3ArrowsGray">
        <cfvo type="percent" val="0"/>
        <cfvo type="percent" val="33"/>
        <cfvo type="percent" val="67"/>
      </iconSet>
    </cfRule>
    <cfRule type="colorScale" priority="306">
      <colorScale>
        <cfvo type="min"/>
        <cfvo type="percentile" val="50"/>
        <cfvo type="max"/>
        <color theme="5" tint="0.79998168889431442"/>
        <color theme="5" tint="0.39997558519241921"/>
        <color theme="5" tint="-0.249977111117893"/>
      </colorScale>
    </cfRule>
  </conditionalFormatting>
  <conditionalFormatting sqref="T1:T1048576">
    <cfRule type="iconSet" priority="302">
      <iconSet iconSet="3ArrowsGray" reverse="1">
        <cfvo type="percent" val="0"/>
        <cfvo type="percent" val="33"/>
        <cfvo type="percent" val="67"/>
      </iconSet>
    </cfRule>
    <cfRule type="colorScale" priority="305">
      <colorScale>
        <cfvo type="min"/>
        <cfvo type="percentile" val="50"/>
        <cfvo type="max"/>
        <color theme="5" tint="-0.249977111117893"/>
        <color theme="5" tint="0.39997558519241921"/>
        <color theme="5" tint="0.79998168889431442"/>
      </colorScale>
    </cfRule>
  </conditionalFormatting>
  <conditionalFormatting sqref="U1:U1048576">
    <cfRule type="iconSet" priority="301">
      <iconSet iconSet="3ArrowsGray">
        <cfvo type="percent" val="0"/>
        <cfvo type="percent" val="33"/>
        <cfvo type="percent" val="67"/>
      </iconSet>
    </cfRule>
    <cfRule type="colorScale" priority="304">
      <colorScale>
        <cfvo type="min"/>
        <cfvo type="percentile" val="50"/>
        <cfvo type="max"/>
        <color theme="5" tint="0.79998168889431442"/>
        <color theme="5" tint="0.39997558519241921"/>
        <color theme="5" tint="-0.249977111117893"/>
      </colorScale>
    </cfRule>
  </conditionalFormatting>
  <conditionalFormatting sqref="DJ1:DJ1048576">
    <cfRule type="iconSet" priority="299">
      <iconSet iconSet="5Arrows">
        <cfvo type="percent" val="0"/>
        <cfvo type="percent" val="20"/>
        <cfvo type="percent" val="40"/>
        <cfvo type="percent" val="60"/>
        <cfvo type="percent" val="80"/>
      </iconSet>
    </cfRule>
    <cfRule type="colorScale" priority="300">
      <colorScale>
        <cfvo type="min"/>
        <cfvo type="percentile" val="50"/>
        <cfvo type="max"/>
        <color rgb="FFF8696B"/>
        <color theme="8" tint="0.79998168889431442"/>
        <color rgb="FF00B0F0"/>
      </colorScale>
    </cfRule>
  </conditionalFormatting>
  <conditionalFormatting sqref="DK1:DK1048576">
    <cfRule type="colorScale" priority="297">
      <colorScale>
        <cfvo type="min"/>
        <cfvo type="percentile" val="50"/>
        <cfvo type="max"/>
        <color rgb="FFF8696B"/>
        <color theme="8" tint="0.39997558519241921"/>
        <color rgb="FF00B0F0"/>
      </colorScale>
    </cfRule>
    <cfRule type="iconSet" priority="298">
      <iconSet iconSet="5Arrows">
        <cfvo type="percent" val="0"/>
        <cfvo type="percent" val="20"/>
        <cfvo type="percent" val="40"/>
        <cfvo type="percent" val="60"/>
        <cfvo type="percent" val="80"/>
      </iconSet>
    </cfRule>
  </conditionalFormatting>
  <conditionalFormatting sqref="L1:L1048576">
    <cfRule type="colorScale" priority="281">
      <colorScale>
        <cfvo type="min"/>
        <cfvo type="max"/>
        <color rgb="FFFFEF9C"/>
        <color rgb="FF63BE7B"/>
      </colorScale>
    </cfRule>
  </conditionalFormatting>
  <conditionalFormatting sqref="J1:J1048576">
    <cfRule type="containsText" dxfId="2" priority="279" operator="containsText" text="Desconhecido">
      <formula>NOT(ISERROR(SEARCH("Desconhecido",J1)))</formula>
    </cfRule>
  </conditionalFormatting>
  <conditionalFormatting sqref="DN1:DN1048576">
    <cfRule type="iconSet" priority="151">
      <iconSet iconSet="3Arrows">
        <cfvo type="percent" val="0"/>
        <cfvo type="num" val="6.7"/>
        <cfvo type="num" val="7"/>
      </iconSet>
    </cfRule>
    <cfRule type="colorScale" priority="277">
      <colorScale>
        <cfvo type="num" val="6.6"/>
        <cfvo type="num" val="6.7"/>
        <cfvo type="num" val="7"/>
        <color rgb="FFF8696B"/>
        <color rgb="FFFFEB84"/>
        <color rgb="FF63BE7B"/>
      </colorScale>
    </cfRule>
  </conditionalFormatting>
  <conditionalFormatting sqref="DI1:DI1048576">
    <cfRule type="iconSet" priority="274">
      <iconSet iconSet="3ArrowsGray" reverse="1">
        <cfvo type="percent" val="0"/>
        <cfvo type="percent" val="33"/>
        <cfvo type="percent" val="67"/>
      </iconSet>
    </cfRule>
    <cfRule type="colorScale" priority="275">
      <colorScale>
        <cfvo type="min"/>
        <cfvo type="max"/>
        <color rgb="FFFCFCFF"/>
        <color rgb="FFF8696B"/>
      </colorScale>
    </cfRule>
  </conditionalFormatting>
  <conditionalFormatting sqref="AE1:AE1048576">
    <cfRule type="colorScale" priority="263">
      <colorScale>
        <cfvo type="min"/>
        <cfvo type="percentile" val="50"/>
        <cfvo type="max"/>
        <color rgb="FFF8696B"/>
        <color rgb="FFFFEB84"/>
        <color rgb="FF63BE7B"/>
      </colorScale>
    </cfRule>
  </conditionalFormatting>
  <conditionalFormatting sqref="BN1:BN1048576">
    <cfRule type="iconSet" priority="150">
      <iconSet iconSet="5Arrows">
        <cfvo type="percent" val="0"/>
        <cfvo type="percent" val="20"/>
        <cfvo type="percent" val="40"/>
        <cfvo type="percent" val="60"/>
        <cfvo type="percent" val="80"/>
      </iconSet>
    </cfRule>
    <cfRule type="colorScale" priority="226">
      <colorScale>
        <cfvo type="min"/>
        <cfvo type="percentile" val="50"/>
        <cfvo type="max"/>
        <color rgb="FFF8696B"/>
        <color rgb="FFFFEB84"/>
        <color rgb="FF63BE7B"/>
      </colorScale>
    </cfRule>
  </conditionalFormatting>
  <conditionalFormatting sqref="BO1:BO1048576">
    <cfRule type="iconSet" priority="149">
      <iconSet iconSet="5Arrows">
        <cfvo type="percent" val="0"/>
        <cfvo type="percent" val="20"/>
        <cfvo type="percent" val="40"/>
        <cfvo type="percent" val="60"/>
        <cfvo type="percent" val="80"/>
      </iconSet>
    </cfRule>
    <cfRule type="colorScale" priority="225">
      <colorScale>
        <cfvo type="min"/>
        <cfvo type="percentile" val="50"/>
        <cfvo type="max"/>
        <color rgb="FFF8696B"/>
        <color rgb="FFFFEB84"/>
        <color rgb="FF63BE7B"/>
      </colorScale>
    </cfRule>
  </conditionalFormatting>
  <conditionalFormatting sqref="BX1:BX1048576">
    <cfRule type="colorScale" priority="201">
      <colorScale>
        <cfvo type="min"/>
        <cfvo type="percentile" val="50"/>
        <cfvo type="max"/>
        <color rgb="FFF8696B"/>
        <color rgb="FFFFEB84"/>
        <color rgb="FF63BE7B"/>
      </colorScale>
    </cfRule>
  </conditionalFormatting>
  <conditionalFormatting sqref="BY1:BY1048576">
    <cfRule type="colorScale" priority="200">
      <colorScale>
        <cfvo type="min"/>
        <cfvo type="percentile" val="50"/>
        <cfvo type="max"/>
        <color rgb="FFF8696B"/>
        <color rgb="FFFFEB84"/>
        <color rgb="FF63BE7B"/>
      </colorScale>
    </cfRule>
  </conditionalFormatting>
  <conditionalFormatting sqref="CD1:CD1048576">
    <cfRule type="iconSet" priority="68">
      <iconSet iconSet="5Arrows">
        <cfvo type="percent" val="0"/>
        <cfvo type="percent" val="20"/>
        <cfvo type="percent" val="40"/>
        <cfvo type="percent" val="60"/>
        <cfvo type="percent" val="80"/>
      </iconSet>
    </cfRule>
    <cfRule type="colorScale" priority="199">
      <colorScale>
        <cfvo type="min"/>
        <cfvo type="percentile" val="50"/>
        <cfvo type="max"/>
        <color rgb="FFF8696B"/>
        <color rgb="FFFFEB84"/>
        <color rgb="FF63BE7B"/>
      </colorScale>
    </cfRule>
  </conditionalFormatting>
  <conditionalFormatting sqref="CE1:CE1048576">
    <cfRule type="iconSet" priority="67">
      <iconSet iconSet="5Arrows">
        <cfvo type="percent" val="0"/>
        <cfvo type="percent" val="20"/>
        <cfvo type="percent" val="40"/>
        <cfvo type="percent" val="60"/>
        <cfvo type="percent" val="80"/>
      </iconSet>
    </cfRule>
    <cfRule type="colorScale" priority="198">
      <colorScale>
        <cfvo type="min"/>
        <cfvo type="percentile" val="50"/>
        <cfvo type="max"/>
        <color rgb="FFF8696B"/>
        <color rgb="FFFFEB84"/>
        <color rgb="FF63BE7B"/>
      </colorScale>
    </cfRule>
  </conditionalFormatting>
  <conditionalFormatting sqref="CF1:CF1048576">
    <cfRule type="iconSet" priority="189">
      <iconSet iconSet="3Arrows" reverse="1">
        <cfvo type="percent" val="0"/>
        <cfvo type="percent" val="33"/>
        <cfvo type="percent" val="67"/>
      </iconSet>
    </cfRule>
    <cfRule type="colorScale" priority="192">
      <colorScale>
        <cfvo type="min"/>
        <cfvo type="percentile" val="50"/>
        <cfvo type="max"/>
        <color rgb="FF63BE7B"/>
        <color rgb="FFFFEB84"/>
        <color rgb="FFF8696B"/>
      </colorScale>
    </cfRule>
  </conditionalFormatting>
  <conditionalFormatting sqref="CG1:CG1048576">
    <cfRule type="iconSet" priority="188">
      <iconSet iconSet="3Arrows" reverse="1">
        <cfvo type="percent" val="0"/>
        <cfvo type="percent" val="33"/>
        <cfvo type="percent" val="67"/>
      </iconSet>
    </cfRule>
    <cfRule type="colorScale" priority="191">
      <colorScale>
        <cfvo type="min"/>
        <cfvo type="percentile" val="50"/>
        <cfvo type="max"/>
        <color rgb="FF63BE7B"/>
        <color rgb="FFFFEB84"/>
        <color rgb="FFF8696B"/>
      </colorScale>
    </cfRule>
  </conditionalFormatting>
  <conditionalFormatting sqref="CH1:CH1048576">
    <cfRule type="iconSet" priority="183">
      <iconSet iconSet="5Arrows">
        <cfvo type="percent" val="0"/>
        <cfvo type="percent" val="20"/>
        <cfvo type="percent" val="40"/>
        <cfvo type="percent" val="60"/>
        <cfvo type="percent" val="80"/>
      </iconSet>
    </cfRule>
    <cfRule type="colorScale" priority="184">
      <colorScale>
        <cfvo type="min"/>
        <cfvo type="percentile" val="50"/>
        <cfvo type="max"/>
        <color rgb="FFF8696B"/>
        <color rgb="FFFFEB84"/>
        <color rgb="FF63BE7B"/>
      </colorScale>
    </cfRule>
  </conditionalFormatting>
  <conditionalFormatting sqref="BW1:BW1048576">
    <cfRule type="iconSet" priority="142">
      <iconSet iconSet="5Arrows">
        <cfvo type="percent" val="0"/>
        <cfvo type="percent" val="20"/>
        <cfvo type="percent" val="40"/>
        <cfvo type="percent" val="60"/>
        <cfvo type="percent" val="80"/>
      </iconSet>
    </cfRule>
    <cfRule type="colorScale" priority="171">
      <colorScale>
        <cfvo type="num" val="-1.0000000000000001E-5"/>
        <cfvo type="num" val="0"/>
        <cfvo type="max"/>
        <color rgb="FFF8696B"/>
        <color theme="4" tint="0.79998168889431442"/>
        <color rgb="FF00B0F0"/>
      </colorScale>
    </cfRule>
  </conditionalFormatting>
  <conditionalFormatting sqref="BP1:BP1048576">
    <cfRule type="iconSet" priority="164">
      <iconSet iconSet="5Arrows" reverse="1">
        <cfvo type="percent" val="0"/>
        <cfvo type="percent" val="20"/>
        <cfvo type="percent" val="40"/>
        <cfvo type="percent" val="60"/>
        <cfvo type="percent" val="80"/>
      </iconSet>
    </cfRule>
    <cfRule type="colorScale" priority="170">
      <colorScale>
        <cfvo type="min"/>
        <cfvo type="percentile" val="50"/>
        <cfvo type="max"/>
        <color rgb="FF63BE7B"/>
        <color rgb="FFFFEB84"/>
        <color rgb="FFF8696B"/>
      </colorScale>
    </cfRule>
  </conditionalFormatting>
  <conditionalFormatting sqref="BQ1:BQ1048576">
    <cfRule type="iconSet" priority="144">
      <iconSet iconSet="5Arrows">
        <cfvo type="percent" val="0"/>
        <cfvo type="percent" val="20"/>
        <cfvo type="percent" val="40"/>
        <cfvo type="percent" val="60"/>
        <cfvo type="percent" val="80"/>
      </iconSet>
    </cfRule>
    <cfRule type="colorScale" priority="169">
      <colorScale>
        <cfvo type="min"/>
        <cfvo type="percentile" val="50"/>
        <cfvo type="max"/>
        <color rgb="FFF8696B"/>
        <color rgb="FFFFEB84"/>
        <color rgb="FF63BE7B"/>
      </colorScale>
    </cfRule>
  </conditionalFormatting>
  <conditionalFormatting sqref="BR1:BR1048576">
    <cfRule type="colorScale" priority="163">
      <colorScale>
        <cfvo type="num" val="-1"/>
        <cfvo type="num" val="0"/>
        <cfvo type="max"/>
        <color rgb="FF63BE7B"/>
        <color rgb="FFFFEB84"/>
        <color rgb="FFF8696B"/>
      </colorScale>
    </cfRule>
  </conditionalFormatting>
  <conditionalFormatting sqref="BS1:BS1048576">
    <cfRule type="dataBar" priority="152">
      <dataBar>
        <cfvo type="min"/>
        <cfvo type="max"/>
        <color rgb="FF008AEF"/>
      </dataBar>
      <extLst>
        <ext xmlns:x14="http://schemas.microsoft.com/office/spreadsheetml/2009/9/main" uri="{B025F937-C7B1-47D3-B67F-A62EFF666E3E}">
          <x14:id>{C86BE21A-C584-4370-89B1-6A1535BCF06A}</x14:id>
        </ext>
      </extLst>
    </cfRule>
    <cfRule type="colorScale" priority="153">
      <colorScale>
        <cfvo type="min"/>
        <cfvo type="percentile" val="50"/>
        <cfvo type="max"/>
        <color rgb="FFF8696B"/>
        <color theme="4" tint="0.79998168889431442"/>
        <color rgb="FF00B0F0"/>
      </colorScale>
    </cfRule>
  </conditionalFormatting>
  <conditionalFormatting sqref="CP1:CP1048576">
    <cfRule type="iconSet" priority="124">
      <iconSet iconSet="5Arrows">
        <cfvo type="percent" val="0"/>
        <cfvo type="percent" val="20"/>
        <cfvo type="percent" val="40"/>
        <cfvo type="percent" val="60"/>
        <cfvo type="percent" val="80"/>
      </iconSet>
    </cfRule>
    <cfRule type="colorScale" priority="130">
      <colorScale>
        <cfvo type="min"/>
        <cfvo type="percentile" val="50"/>
        <cfvo type="max"/>
        <color rgb="FFF8696B"/>
        <color rgb="FF9BC2E6"/>
        <color rgb="FF2F75B5"/>
      </colorScale>
    </cfRule>
  </conditionalFormatting>
  <conditionalFormatting sqref="CO1:CO1048576">
    <cfRule type="iconSet" priority="125">
      <iconSet iconSet="5Arrows">
        <cfvo type="percent" val="0"/>
        <cfvo type="percent" val="20"/>
        <cfvo type="percent" val="40"/>
        <cfvo type="percent" val="60"/>
        <cfvo type="percent" val="80"/>
      </iconSet>
    </cfRule>
    <cfRule type="colorScale" priority="129">
      <colorScale>
        <cfvo type="min"/>
        <cfvo type="percentile" val="50"/>
        <cfvo type="max"/>
        <color rgb="FFF8696B"/>
        <color rgb="FF9BC2E6"/>
        <color rgb="FF2F75B5"/>
      </colorScale>
    </cfRule>
  </conditionalFormatting>
  <conditionalFormatting sqref="CQ1:CQ1048576">
    <cfRule type="iconSet" priority="123">
      <iconSet iconSet="5Arrows">
        <cfvo type="percent" val="0"/>
        <cfvo type="percent" val="20"/>
        <cfvo type="percent" val="40"/>
        <cfvo type="percent" val="60"/>
        <cfvo type="percent" val="80"/>
      </iconSet>
    </cfRule>
    <cfRule type="colorScale" priority="128">
      <colorScale>
        <cfvo type="min"/>
        <cfvo type="percentile" val="50"/>
        <cfvo type="max"/>
        <color rgb="FFF8696B"/>
        <color rgb="FF9BC2E6"/>
        <color rgb="FF2F75B5"/>
      </colorScale>
    </cfRule>
  </conditionalFormatting>
  <conditionalFormatting sqref="CR1:CR1048576">
    <cfRule type="iconSet" priority="122">
      <iconSet iconSet="5Arrows">
        <cfvo type="percent" val="0"/>
        <cfvo type="percent" val="20"/>
        <cfvo type="percent" val="40"/>
        <cfvo type="percent" val="60"/>
        <cfvo type="percent" val="80"/>
      </iconSet>
    </cfRule>
    <cfRule type="colorScale" priority="127">
      <colorScale>
        <cfvo type="min"/>
        <cfvo type="percentile" val="50"/>
        <cfvo type="max"/>
        <color rgb="FFF8696B"/>
        <color rgb="FF9BC2E6"/>
        <color rgb="FF2F75B5"/>
      </colorScale>
    </cfRule>
  </conditionalFormatting>
  <conditionalFormatting sqref="CS1:CS1048576">
    <cfRule type="colorScale" priority="126">
      <colorScale>
        <cfvo type="min"/>
        <cfvo type="percentile" val="50"/>
        <cfvo type="max"/>
        <color rgb="FFF8696B"/>
        <color rgb="FFFFEB84"/>
        <color rgb="FF63BE7B"/>
      </colorScale>
    </cfRule>
  </conditionalFormatting>
  <conditionalFormatting sqref="AU1:AU1048576">
    <cfRule type="dataBar" priority="119">
      <dataBar>
        <cfvo type="min"/>
        <cfvo type="max"/>
        <color rgb="FF00B0F0"/>
      </dataBar>
      <extLst>
        <ext xmlns:x14="http://schemas.microsoft.com/office/spreadsheetml/2009/9/main" uri="{B025F937-C7B1-47D3-B67F-A62EFF666E3E}">
          <x14:id>{1493CFCD-0790-4FD3-A8E5-9E185B3F373F}</x14:id>
        </ext>
      </extLst>
    </cfRule>
    <cfRule type="colorScale" priority="121">
      <colorScale>
        <cfvo type="min"/>
        <cfvo type="percentile" val="50"/>
        <cfvo type="max"/>
        <color rgb="FFF8696B"/>
        <color rgb="FFDDEBF7"/>
        <color rgb="FF00B0F0"/>
      </colorScale>
    </cfRule>
  </conditionalFormatting>
  <conditionalFormatting sqref="AV1:AV1048576">
    <cfRule type="dataBar" priority="118">
      <dataBar>
        <cfvo type="min"/>
        <cfvo type="max"/>
        <color rgb="FF00B0F0"/>
      </dataBar>
      <extLst>
        <ext xmlns:x14="http://schemas.microsoft.com/office/spreadsheetml/2009/9/main" uri="{B025F937-C7B1-47D3-B67F-A62EFF666E3E}">
          <x14:id>{E6B6B866-5D6E-4392-B419-E248552EB235}</x14:id>
        </ext>
      </extLst>
    </cfRule>
    <cfRule type="colorScale" priority="120">
      <colorScale>
        <cfvo type="min"/>
        <cfvo type="percentile" val="50"/>
        <cfvo type="max"/>
        <color rgb="FFF8696B"/>
        <color rgb="FFDDEBF7"/>
        <color rgb="FF00B0F0"/>
      </colorScale>
    </cfRule>
  </conditionalFormatting>
  <conditionalFormatting sqref="CN1:CN1048576">
    <cfRule type="colorScale" priority="117">
      <colorScale>
        <cfvo type="min"/>
        <cfvo type="percentile" val="50"/>
        <cfvo type="max"/>
        <color rgb="FFF8696B"/>
        <color rgb="FFFFEB84"/>
        <color rgb="FF63BE7B"/>
      </colorScale>
    </cfRule>
  </conditionalFormatting>
  <conditionalFormatting sqref="DL1:DL1048576">
    <cfRule type="dataBar" priority="108">
      <dataBar>
        <cfvo type="min"/>
        <cfvo type="max"/>
        <color rgb="FF008AEF"/>
      </dataBar>
      <extLst>
        <ext xmlns:x14="http://schemas.microsoft.com/office/spreadsheetml/2009/9/main" uri="{B025F937-C7B1-47D3-B67F-A62EFF666E3E}">
          <x14:id>{500CE4EC-1C96-47A0-A55A-A81E4C4898D6}</x14:id>
        </ext>
      </extLst>
    </cfRule>
  </conditionalFormatting>
  <conditionalFormatting sqref="DM1:DM1048576">
    <cfRule type="dataBar" priority="107">
      <dataBar>
        <cfvo type="min"/>
        <cfvo type="max"/>
        <color rgb="FF008AEF"/>
      </dataBar>
      <extLst>
        <ext xmlns:x14="http://schemas.microsoft.com/office/spreadsheetml/2009/9/main" uri="{B025F937-C7B1-47D3-B67F-A62EFF666E3E}">
          <x14:id>{F63AD596-DA73-4BB7-B99F-9AA81CECC6A1}</x14:id>
        </ext>
      </extLst>
    </cfRule>
  </conditionalFormatting>
  <conditionalFormatting sqref="AN1:AN1048576">
    <cfRule type="dataBar" priority="103">
      <dataBar>
        <cfvo type="min"/>
        <cfvo type="max"/>
        <color rgb="FF008AEF"/>
      </dataBar>
      <extLst>
        <ext xmlns:x14="http://schemas.microsoft.com/office/spreadsheetml/2009/9/main" uri="{B025F937-C7B1-47D3-B67F-A62EFF666E3E}">
          <x14:id>{71062AEF-5024-4FC4-B4A7-62CBE8B5C620}</x14:id>
        </ext>
      </extLst>
    </cfRule>
    <cfRule type="colorScale" priority="104">
      <colorScale>
        <cfvo type="min"/>
        <cfvo type="percentile" val="50"/>
        <cfvo type="max"/>
        <color rgb="FFF8696B"/>
        <color rgb="FFDDEBF7"/>
        <color rgb="FF00B0F0"/>
      </colorScale>
    </cfRule>
  </conditionalFormatting>
  <conditionalFormatting sqref="AO1:AO1048576">
    <cfRule type="colorScale" priority="101">
      <colorScale>
        <cfvo type="min"/>
        <cfvo type="percentile" val="50"/>
        <cfvo type="max"/>
        <color rgb="FFF8696B"/>
        <color rgb="FFDDEBF7"/>
        <color rgb="FF00B0F0"/>
      </colorScale>
    </cfRule>
    <cfRule type="dataBar" priority="102">
      <dataBar>
        <cfvo type="min"/>
        <cfvo type="max"/>
        <color rgb="FF638EC6"/>
      </dataBar>
      <extLst>
        <ext xmlns:x14="http://schemas.microsoft.com/office/spreadsheetml/2009/9/main" uri="{B025F937-C7B1-47D3-B67F-A62EFF666E3E}">
          <x14:id>{53F1178E-73AF-4844-8A71-137EF38EE87E}</x14:id>
        </ext>
      </extLst>
    </cfRule>
  </conditionalFormatting>
  <conditionalFormatting sqref="X1:X1048576">
    <cfRule type="dataBar" priority="100">
      <dataBar>
        <cfvo type="min"/>
        <cfvo type="max"/>
        <color rgb="FFAD1457"/>
      </dataBar>
      <extLst>
        <ext xmlns:x14="http://schemas.microsoft.com/office/spreadsheetml/2009/9/main" uri="{B025F937-C7B1-47D3-B67F-A62EFF666E3E}">
          <x14:id>{616CDD5A-108D-4DA4-B0D0-2E8B1EAD6A25}</x14:id>
        </ext>
      </extLst>
    </cfRule>
  </conditionalFormatting>
  <conditionalFormatting sqref="AB1:AB1048576">
    <cfRule type="dataBar" priority="90">
      <dataBar>
        <cfvo type="min"/>
        <cfvo type="max"/>
        <color rgb="FF638EC6"/>
      </dataBar>
      <extLst>
        <ext xmlns:x14="http://schemas.microsoft.com/office/spreadsheetml/2009/9/main" uri="{B025F937-C7B1-47D3-B67F-A62EFF666E3E}">
          <x14:id>{B074AD81-C359-4C55-A88E-0F8727A25403}</x14:id>
        </ext>
      </extLst>
    </cfRule>
  </conditionalFormatting>
  <conditionalFormatting sqref="AC1:AC1048576">
    <cfRule type="dataBar" priority="89">
      <dataBar>
        <cfvo type="min"/>
        <cfvo type="max"/>
        <color rgb="FF638EC6"/>
      </dataBar>
      <extLst>
        <ext xmlns:x14="http://schemas.microsoft.com/office/spreadsheetml/2009/9/main" uri="{B025F937-C7B1-47D3-B67F-A62EFF666E3E}">
          <x14:id>{27F63595-0215-4BD8-A0DE-C219D91963C3}</x14:id>
        </ext>
      </extLst>
    </cfRule>
  </conditionalFormatting>
  <conditionalFormatting sqref="AD1:AD1048576">
    <cfRule type="dataBar" priority="97">
      <dataBar>
        <cfvo type="min"/>
        <cfvo type="max"/>
        <color rgb="FF9E0000"/>
      </dataBar>
      <extLst>
        <ext xmlns:x14="http://schemas.microsoft.com/office/spreadsheetml/2009/9/main" uri="{B025F937-C7B1-47D3-B67F-A62EFF666E3E}">
          <x14:id>{291E76D7-B0DD-4149-B428-ED4838A99F09}</x14:id>
        </ext>
      </extLst>
    </cfRule>
  </conditionalFormatting>
  <conditionalFormatting sqref="AA1:AA1048576">
    <cfRule type="dataBar" priority="96">
      <dataBar>
        <cfvo type="min"/>
        <cfvo type="max"/>
        <color rgb="FFAD1457"/>
      </dataBar>
      <extLst>
        <ext xmlns:x14="http://schemas.microsoft.com/office/spreadsheetml/2009/9/main" uri="{B025F937-C7B1-47D3-B67F-A62EFF666E3E}">
          <x14:id>{71C64141-8B4B-4B90-9526-9B8A9F88AA13}</x14:id>
        </ext>
      </extLst>
    </cfRule>
  </conditionalFormatting>
  <conditionalFormatting sqref="F1:F1048576">
    <cfRule type="colorScale" priority="94">
      <colorScale>
        <cfvo type="min"/>
        <cfvo type="max"/>
        <color rgb="FFFFEF9C"/>
        <color rgb="FF63BE7B"/>
      </colorScale>
    </cfRule>
  </conditionalFormatting>
  <conditionalFormatting sqref="V1:V1048576">
    <cfRule type="dataBar" priority="93">
      <dataBar>
        <cfvo type="min"/>
        <cfvo type="max"/>
        <color rgb="FFAD1457"/>
      </dataBar>
      <extLst>
        <ext xmlns:x14="http://schemas.microsoft.com/office/spreadsheetml/2009/9/main" uri="{B025F937-C7B1-47D3-B67F-A62EFF666E3E}">
          <x14:id>{59DB5919-548F-4D20-AE1A-A695D3603D38}</x14:id>
        </ext>
      </extLst>
    </cfRule>
  </conditionalFormatting>
  <conditionalFormatting sqref="Z1:Z1048576">
    <cfRule type="dataBar" priority="91">
      <dataBar>
        <cfvo type="min"/>
        <cfvo type="max"/>
        <color rgb="FF007A37"/>
      </dataBar>
      <extLst>
        <ext xmlns:x14="http://schemas.microsoft.com/office/spreadsheetml/2009/9/main" uri="{B025F937-C7B1-47D3-B67F-A62EFF666E3E}">
          <x14:id>{9EDDC49C-E254-42AD-A792-0966907C20D3}</x14:id>
        </ext>
      </extLst>
    </cfRule>
    <cfRule type="iconSet" priority="92">
      <iconSet iconSet="5Arrows">
        <cfvo type="percent" val="0"/>
        <cfvo type="percent" val="20"/>
        <cfvo type="percent" val="40"/>
        <cfvo type="percent" val="60"/>
        <cfvo type="percent" val="80"/>
      </iconSet>
    </cfRule>
  </conditionalFormatting>
  <conditionalFormatting sqref="W1:W1048576">
    <cfRule type="dataBar" priority="88">
      <dataBar>
        <cfvo type="min"/>
        <cfvo type="max"/>
        <color rgb="FFAD1457"/>
      </dataBar>
      <extLst>
        <ext xmlns:x14="http://schemas.microsoft.com/office/spreadsheetml/2009/9/main" uri="{B025F937-C7B1-47D3-B67F-A62EFF666E3E}">
          <x14:id>{08793D9A-8218-429A-AC74-97F285D6F012}</x14:id>
        </ext>
      </extLst>
    </cfRule>
  </conditionalFormatting>
  <conditionalFormatting sqref="Y1:Y1048576">
    <cfRule type="dataBar" priority="87">
      <dataBar>
        <cfvo type="min"/>
        <cfvo type="max"/>
        <color rgb="FFAD1457"/>
      </dataBar>
      <extLst>
        <ext xmlns:x14="http://schemas.microsoft.com/office/spreadsheetml/2009/9/main" uri="{B025F937-C7B1-47D3-B67F-A62EFF666E3E}">
          <x14:id>{DA1AADAF-1ED1-4FC2-849B-BD83A048A890}</x14:id>
        </ext>
      </extLst>
    </cfRule>
  </conditionalFormatting>
  <conditionalFormatting sqref="AZ1:AZ1048576">
    <cfRule type="dataBar" priority="86">
      <dataBar>
        <cfvo type="min"/>
        <cfvo type="max"/>
        <color rgb="FFAD1457"/>
      </dataBar>
      <extLst>
        <ext xmlns:x14="http://schemas.microsoft.com/office/spreadsheetml/2009/9/main" uri="{B025F937-C7B1-47D3-B67F-A62EFF666E3E}">
          <x14:id>{83B4B4EE-05C9-4ACE-82BF-DDDB51D78264}</x14:id>
        </ext>
      </extLst>
    </cfRule>
  </conditionalFormatting>
  <conditionalFormatting sqref="BA1:BA1048576">
    <cfRule type="dataBar" priority="85">
      <dataBar>
        <cfvo type="min"/>
        <cfvo type="max"/>
        <color rgb="FFAD1457"/>
      </dataBar>
      <extLst>
        <ext xmlns:x14="http://schemas.microsoft.com/office/spreadsheetml/2009/9/main" uri="{B025F937-C7B1-47D3-B67F-A62EFF666E3E}">
          <x14:id>{E884251E-F0BF-43DE-9246-DAD033DBCC0A}</x14:id>
        </ext>
      </extLst>
    </cfRule>
  </conditionalFormatting>
  <conditionalFormatting sqref="CL1:CL1048576">
    <cfRule type="iconSet" priority="76">
      <iconSet iconSet="5Arrows">
        <cfvo type="percent" val="0"/>
        <cfvo type="percent" val="20"/>
        <cfvo type="percent" val="40"/>
        <cfvo type="percent" val="60"/>
        <cfvo type="percent" val="80"/>
      </iconSet>
    </cfRule>
    <cfRule type="colorScale" priority="77">
      <colorScale>
        <cfvo type="min"/>
        <cfvo type="percentile" val="50"/>
        <cfvo type="max"/>
        <color rgb="FFF8696B"/>
        <color rgb="FFFFEB84"/>
        <color rgb="FF63BE7B"/>
      </colorScale>
    </cfRule>
  </conditionalFormatting>
  <conditionalFormatting sqref="CI1:CI1048576">
    <cfRule type="dataBar" priority="75">
      <dataBar>
        <cfvo type="min"/>
        <cfvo type="max"/>
        <color rgb="FF2F5281"/>
      </dataBar>
      <extLst>
        <ext xmlns:x14="http://schemas.microsoft.com/office/spreadsheetml/2009/9/main" uri="{B025F937-C7B1-47D3-B67F-A62EFF666E3E}">
          <x14:id>{929970D7-4CA4-408D-9F72-991773F48890}</x14:id>
        </ext>
      </extLst>
    </cfRule>
  </conditionalFormatting>
  <conditionalFormatting sqref="CJ1:CJ1048576">
    <cfRule type="dataBar" priority="74">
      <dataBar>
        <cfvo type="min"/>
        <cfvo type="max"/>
        <color rgb="FF2F5281"/>
      </dataBar>
      <extLst>
        <ext xmlns:x14="http://schemas.microsoft.com/office/spreadsheetml/2009/9/main" uri="{B025F937-C7B1-47D3-B67F-A62EFF666E3E}">
          <x14:id>{F96BA66A-7716-45FA-AC7A-218AA15AFB63}</x14:id>
        </ext>
      </extLst>
    </cfRule>
  </conditionalFormatting>
  <conditionalFormatting sqref="CK1:CK1048576">
    <cfRule type="dataBar" priority="73">
      <dataBar>
        <cfvo type="min"/>
        <cfvo type="max"/>
        <color rgb="FF2F5281"/>
      </dataBar>
      <extLst>
        <ext xmlns:x14="http://schemas.microsoft.com/office/spreadsheetml/2009/9/main" uri="{B025F937-C7B1-47D3-B67F-A62EFF666E3E}">
          <x14:id>{F171C1FE-C031-4961-8008-89926F589704}</x14:id>
        </ext>
      </extLst>
    </cfRule>
  </conditionalFormatting>
  <conditionalFormatting sqref="CB1:CB1048576">
    <cfRule type="iconSet" priority="70">
      <iconSet iconSet="5Arrows">
        <cfvo type="percent" val="0"/>
        <cfvo type="percent" val="20"/>
        <cfvo type="percent" val="40"/>
        <cfvo type="percent" val="60"/>
        <cfvo type="percent" val="80"/>
      </iconSet>
    </cfRule>
    <cfRule type="colorScale" priority="72">
      <colorScale>
        <cfvo type="min"/>
        <cfvo type="percentile" val="50"/>
        <cfvo type="max"/>
        <color rgb="FFF8696B"/>
        <color rgb="FFFFEB84"/>
        <color rgb="FF63BE7B"/>
      </colorScale>
    </cfRule>
  </conditionalFormatting>
  <conditionalFormatting sqref="CC1:CC1048576">
    <cfRule type="iconSet" priority="69">
      <iconSet iconSet="5Arrows">
        <cfvo type="percent" val="0"/>
        <cfvo type="percent" val="20"/>
        <cfvo type="percent" val="40"/>
        <cfvo type="percent" val="60"/>
        <cfvo type="percent" val="80"/>
      </iconSet>
    </cfRule>
    <cfRule type="colorScale" priority="71">
      <colorScale>
        <cfvo type="min"/>
        <cfvo type="percentile" val="50"/>
        <cfvo type="max"/>
        <color rgb="FFF8696B"/>
        <color rgb="FFFFEB84"/>
        <color rgb="FF63BE7B"/>
      </colorScale>
    </cfRule>
  </conditionalFormatting>
  <conditionalFormatting sqref="BZ1:BZ1048576">
    <cfRule type="iconSet" priority="64">
      <iconSet iconSet="5ArrowsGray" reverse="1">
        <cfvo type="percent" val="0"/>
        <cfvo type="percent" val="20"/>
        <cfvo type="percent" val="40"/>
        <cfvo type="percent" val="60"/>
        <cfvo type="percent" val="80"/>
      </iconSet>
    </cfRule>
    <cfRule type="colorScale" priority="66">
      <colorScale>
        <cfvo type="min"/>
        <cfvo type="max"/>
        <color rgb="FFFDD7D8"/>
        <color rgb="FFF8696B"/>
      </colorScale>
    </cfRule>
  </conditionalFormatting>
  <conditionalFormatting sqref="CA1:CA1048576">
    <cfRule type="iconSet" priority="63">
      <iconSet iconSet="5ArrowsGray" reverse="1">
        <cfvo type="percent" val="0"/>
        <cfvo type="percent" val="20"/>
        <cfvo type="percent" val="40"/>
        <cfvo type="percent" val="60"/>
        <cfvo type="percent" val="80"/>
      </iconSet>
    </cfRule>
    <cfRule type="colorScale" priority="65">
      <colorScale>
        <cfvo type="min"/>
        <cfvo type="max"/>
        <color rgb="FFFDD7D8"/>
        <color rgb="FFF8696B"/>
      </colorScale>
    </cfRule>
  </conditionalFormatting>
  <conditionalFormatting sqref="CX1:CX1048576">
    <cfRule type="iconSet" priority="60">
      <iconSet iconSet="5ArrowsGray">
        <cfvo type="percent" val="0"/>
        <cfvo type="percent" val="20"/>
        <cfvo type="percent" val="40"/>
        <cfvo type="percent" val="60"/>
        <cfvo type="percent" val="80"/>
      </iconSet>
    </cfRule>
    <cfRule type="dataBar" priority="61">
      <dataBar>
        <cfvo type="min"/>
        <cfvo type="max"/>
        <color rgb="FF23559B"/>
      </dataBar>
      <extLst>
        <ext xmlns:x14="http://schemas.microsoft.com/office/spreadsheetml/2009/9/main" uri="{B025F937-C7B1-47D3-B67F-A62EFF666E3E}">
          <x14:id>{16A953FE-D9C2-4AB1-83A3-F540DDF74BB6}</x14:id>
        </ext>
      </extLst>
    </cfRule>
  </conditionalFormatting>
  <conditionalFormatting sqref="P1:P1048576">
    <cfRule type="iconSet" priority="53">
      <iconSet iconSet="5Arrows">
        <cfvo type="percent" val="0"/>
        <cfvo type="percent" val="20"/>
        <cfvo type="percent" val="40"/>
        <cfvo type="percent" val="60"/>
        <cfvo type="percent" val="80"/>
      </iconSet>
    </cfRule>
    <cfRule type="dataBar" priority="58">
      <dataBar>
        <cfvo type="min"/>
        <cfvo type="max"/>
        <color rgb="FF23559B"/>
      </dataBar>
      <extLst>
        <ext xmlns:x14="http://schemas.microsoft.com/office/spreadsheetml/2009/9/main" uri="{B025F937-C7B1-47D3-B67F-A62EFF666E3E}">
          <x14:id>{95ECBF18-5AF1-4498-AA83-38E716430AE5}</x14:id>
        </ext>
      </extLst>
    </cfRule>
  </conditionalFormatting>
  <conditionalFormatting sqref="Q1:Q1048576">
    <cfRule type="iconSet" priority="54">
      <iconSet iconSet="5Arrows">
        <cfvo type="percent" val="0"/>
        <cfvo type="percent" val="20"/>
        <cfvo type="percent" val="40"/>
        <cfvo type="percent" val="60"/>
        <cfvo type="percent" val="80"/>
      </iconSet>
    </cfRule>
    <cfRule type="dataBar" priority="57">
      <dataBar>
        <cfvo type="min"/>
        <cfvo type="max"/>
        <color rgb="FF23559B"/>
      </dataBar>
      <extLst>
        <ext xmlns:x14="http://schemas.microsoft.com/office/spreadsheetml/2009/9/main" uri="{B025F937-C7B1-47D3-B67F-A62EFF666E3E}">
          <x14:id>{ED635613-4EF0-4949-8B5C-762D843E6847}</x14:id>
        </ext>
      </extLst>
    </cfRule>
  </conditionalFormatting>
  <conditionalFormatting sqref="R1:R1048576">
    <cfRule type="iconSet" priority="55">
      <iconSet iconSet="5Arrows">
        <cfvo type="percent" val="0"/>
        <cfvo type="percent" val="20"/>
        <cfvo type="percent" val="40"/>
        <cfvo type="percent" val="60"/>
        <cfvo type="percent" val="80"/>
      </iconSet>
    </cfRule>
    <cfRule type="dataBar" priority="56">
      <dataBar>
        <cfvo type="min"/>
        <cfvo type="max"/>
        <color rgb="FF23559B"/>
      </dataBar>
      <extLst>
        <ext xmlns:x14="http://schemas.microsoft.com/office/spreadsheetml/2009/9/main" uri="{B025F937-C7B1-47D3-B67F-A62EFF666E3E}">
          <x14:id>{F776C4AB-4D7B-4C53-BD29-BD37382FC159}</x14:id>
        </ext>
      </extLst>
    </cfRule>
  </conditionalFormatting>
  <conditionalFormatting sqref="BC1:BC1048576">
    <cfRule type="iconSet" priority="1">
      <iconSet iconSet="5Arrows">
        <cfvo type="percent" val="0"/>
        <cfvo type="percent" val="20"/>
        <cfvo type="percent" val="40"/>
        <cfvo type="percent" val="60"/>
        <cfvo type="percent" val="80"/>
      </iconSet>
    </cfRule>
    <cfRule type="dataBar" priority="51">
      <dataBar>
        <cfvo type="min"/>
        <cfvo type="max"/>
        <color rgb="FF23559B"/>
      </dataBar>
      <extLst>
        <ext xmlns:x14="http://schemas.microsoft.com/office/spreadsheetml/2009/9/main" uri="{B025F937-C7B1-47D3-B67F-A62EFF666E3E}">
          <x14:id>{27BF7B82-BEE1-405D-80B4-3DAEDA99E135}</x14:id>
        </ext>
      </extLst>
    </cfRule>
  </conditionalFormatting>
  <conditionalFormatting sqref="BD1:BD1048576">
    <cfRule type="colorScale" priority="35">
      <colorScale>
        <cfvo type="min"/>
        <cfvo type="max"/>
        <color rgb="FFFFEF9C"/>
        <color rgb="FF63BE7B"/>
      </colorScale>
    </cfRule>
  </conditionalFormatting>
  <conditionalFormatting sqref="BE1:BE1048576">
    <cfRule type="iconSet" priority="30">
      <iconSet iconSet="5Arrows">
        <cfvo type="percent" val="0"/>
        <cfvo type="percent" val="20"/>
        <cfvo type="percent" val="40"/>
        <cfvo type="percent" val="60"/>
        <cfvo type="percent" val="80"/>
      </iconSet>
    </cfRule>
    <cfRule type="colorScale" priority="34">
      <colorScale>
        <cfvo type="min"/>
        <cfvo type="max"/>
        <color rgb="FFFFEF9C"/>
        <color rgb="FF63BE7B"/>
      </colorScale>
    </cfRule>
  </conditionalFormatting>
  <conditionalFormatting sqref="BF1:BF1048576">
    <cfRule type="colorScale" priority="33">
      <colorScale>
        <cfvo type="min"/>
        <cfvo type="max"/>
        <color rgb="FFFFEF9C"/>
        <color rgb="FF63BE7B"/>
      </colorScale>
    </cfRule>
  </conditionalFormatting>
  <conditionalFormatting sqref="BG1:BG1048576">
    <cfRule type="iconSet" priority="31">
      <iconSet iconSet="5Arrows">
        <cfvo type="percent" val="0"/>
        <cfvo type="percent" val="20"/>
        <cfvo type="percent" val="40"/>
        <cfvo type="percent" val="60"/>
        <cfvo type="percent" val="80"/>
      </iconSet>
    </cfRule>
    <cfRule type="colorScale" priority="32">
      <colorScale>
        <cfvo type="min"/>
        <cfvo type="max"/>
        <color rgb="FFFFEF9C"/>
        <color rgb="FF63BE7B"/>
      </colorScale>
    </cfRule>
  </conditionalFormatting>
  <conditionalFormatting sqref="BH1:BH1048576">
    <cfRule type="colorScale" priority="28">
      <colorScale>
        <cfvo type="min"/>
        <cfvo type="percentile" val="50"/>
        <cfvo type="max"/>
        <color rgb="FFF8696B"/>
        <color rgb="FFFFEB84"/>
        <color rgb="FF63BE7B"/>
      </colorScale>
    </cfRule>
  </conditionalFormatting>
  <conditionalFormatting sqref="BI1:BI1048576">
    <cfRule type="dataBar" priority="27">
      <dataBar>
        <cfvo type="min"/>
        <cfvo type="max"/>
        <color rgb="FFC00000"/>
      </dataBar>
      <extLst>
        <ext xmlns:x14="http://schemas.microsoft.com/office/spreadsheetml/2009/9/main" uri="{B025F937-C7B1-47D3-B67F-A62EFF666E3E}">
          <x14:id>{BF93DF0E-E6DA-40B2-A218-0D088789EF7B}</x14:id>
        </ext>
      </extLst>
    </cfRule>
  </conditionalFormatting>
  <conditionalFormatting sqref="BJ1:BJ1048576">
    <cfRule type="dataBar" priority="26">
      <dataBar>
        <cfvo type="min"/>
        <cfvo type="max"/>
        <color rgb="FFC00000"/>
      </dataBar>
      <extLst>
        <ext xmlns:x14="http://schemas.microsoft.com/office/spreadsheetml/2009/9/main" uri="{B025F937-C7B1-47D3-B67F-A62EFF666E3E}">
          <x14:id>{D186A4AE-E5DE-4777-ABB2-3875D58B4A37}</x14:id>
        </ext>
      </extLst>
    </cfRule>
  </conditionalFormatting>
  <conditionalFormatting sqref="BK1:BK1048576">
    <cfRule type="colorScale" priority="22">
      <colorScale>
        <cfvo type="min"/>
        <cfvo type="percentile" val="50"/>
        <cfvo type="max"/>
        <color rgb="FFF8696B"/>
        <color theme="4" tint="0.79998168889431442"/>
        <color rgb="FF00B0F0"/>
      </colorScale>
    </cfRule>
    <cfRule type="dataBar" priority="25">
      <dataBar>
        <cfvo type="min"/>
        <cfvo type="max"/>
        <color rgb="FF008AEF"/>
      </dataBar>
      <extLst>
        <ext xmlns:x14="http://schemas.microsoft.com/office/spreadsheetml/2009/9/main" uri="{B025F937-C7B1-47D3-B67F-A62EFF666E3E}">
          <x14:id>{01A172A5-4F63-4464-838D-ABA863330D42}</x14:id>
        </ext>
      </extLst>
    </cfRule>
  </conditionalFormatting>
  <conditionalFormatting sqref="BL1:BL1048576">
    <cfRule type="colorScale" priority="21">
      <colorScale>
        <cfvo type="min"/>
        <cfvo type="percentile" val="50"/>
        <cfvo type="max"/>
        <color rgb="FFF8696B"/>
        <color theme="4" tint="0.79998168889431442"/>
        <color rgb="FF00B0F0"/>
      </colorScale>
    </cfRule>
    <cfRule type="dataBar" priority="24">
      <dataBar>
        <cfvo type="min"/>
        <cfvo type="max"/>
        <color rgb="FF008AEF"/>
      </dataBar>
      <extLst>
        <ext xmlns:x14="http://schemas.microsoft.com/office/spreadsheetml/2009/9/main" uri="{B025F937-C7B1-47D3-B67F-A62EFF666E3E}">
          <x14:id>{3C45D27D-C7B3-454E-83AF-41A2849FB11D}</x14:id>
        </ext>
      </extLst>
    </cfRule>
  </conditionalFormatting>
  <conditionalFormatting sqref="BM1:BM1048576">
    <cfRule type="colorScale" priority="20">
      <colorScale>
        <cfvo type="min"/>
        <cfvo type="percentile" val="50"/>
        <cfvo type="max"/>
        <color rgb="FFF8696B"/>
        <color theme="4" tint="0.79998168889431442"/>
        <color rgb="FF00B0F0"/>
      </colorScale>
    </cfRule>
    <cfRule type="dataBar" priority="23">
      <dataBar>
        <cfvo type="min"/>
        <cfvo type="max"/>
        <color rgb="FF008AEF"/>
      </dataBar>
      <extLst>
        <ext xmlns:x14="http://schemas.microsoft.com/office/spreadsheetml/2009/9/main" uri="{B025F937-C7B1-47D3-B67F-A62EFF666E3E}">
          <x14:id>{093A04F0-EEF4-4942-9044-511C85B03027}</x14:id>
        </ext>
      </extLst>
    </cfRule>
  </conditionalFormatting>
  <conditionalFormatting sqref="AF1:AF1048576">
    <cfRule type="iconSet" priority="9">
      <iconSet iconSet="5Arrows">
        <cfvo type="percent" val="0"/>
        <cfvo type="percent" val="20"/>
        <cfvo type="percent" val="40"/>
        <cfvo type="percent" val="60"/>
        <cfvo type="percent" val="80"/>
      </iconSet>
    </cfRule>
    <cfRule type="dataBar" priority="19">
      <dataBar>
        <cfvo type="min"/>
        <cfvo type="max"/>
        <color rgb="FF23559B"/>
      </dataBar>
      <extLst>
        <ext xmlns:x14="http://schemas.microsoft.com/office/spreadsheetml/2009/9/main" uri="{B025F937-C7B1-47D3-B67F-A62EFF666E3E}">
          <x14:id>{38EA1070-408B-4BA6-AEDF-FDA3A818B92B}</x14:id>
        </ext>
      </extLst>
    </cfRule>
  </conditionalFormatting>
  <conditionalFormatting sqref="AG1:AG1048576">
    <cfRule type="iconSet" priority="10">
      <iconSet iconSet="5Arrows">
        <cfvo type="percent" val="0"/>
        <cfvo type="percent" val="20"/>
        <cfvo type="percent" val="40"/>
        <cfvo type="percent" val="60"/>
        <cfvo type="percent" val="80"/>
      </iconSet>
    </cfRule>
    <cfRule type="dataBar" priority="18">
      <dataBar>
        <cfvo type="min"/>
        <cfvo type="max"/>
        <color rgb="FF23559B"/>
      </dataBar>
      <extLst>
        <ext xmlns:x14="http://schemas.microsoft.com/office/spreadsheetml/2009/9/main" uri="{B025F937-C7B1-47D3-B67F-A62EFF666E3E}">
          <x14:id>{F1D101FC-03A6-4583-B920-AF6EF6E75D67}</x14:id>
        </ext>
      </extLst>
    </cfRule>
  </conditionalFormatting>
  <conditionalFormatting sqref="AH1:AH1048576">
    <cfRule type="iconSet" priority="11">
      <iconSet iconSet="5Arrows">
        <cfvo type="percent" val="0"/>
        <cfvo type="percent" val="20"/>
        <cfvo type="percent" val="40"/>
        <cfvo type="percent" val="60"/>
        <cfvo type="percent" val="80"/>
      </iconSet>
    </cfRule>
    <cfRule type="dataBar" priority="17">
      <dataBar>
        <cfvo type="min"/>
        <cfvo type="max"/>
        <color rgb="FF23559B"/>
      </dataBar>
      <extLst>
        <ext xmlns:x14="http://schemas.microsoft.com/office/spreadsheetml/2009/9/main" uri="{B025F937-C7B1-47D3-B67F-A62EFF666E3E}">
          <x14:id>{0FD96E6B-7827-4366-81EC-BDF1C994FCD2}</x14:id>
        </ext>
      </extLst>
    </cfRule>
  </conditionalFormatting>
  <conditionalFormatting sqref="AI1:AI1048576">
    <cfRule type="iconSet" priority="8">
      <iconSet iconSet="5Arrows">
        <cfvo type="percent" val="0"/>
        <cfvo type="percent" val="20"/>
        <cfvo type="percent" val="40"/>
        <cfvo type="percent" val="60"/>
        <cfvo type="percent" val="80"/>
      </iconSet>
    </cfRule>
    <cfRule type="dataBar" priority="16">
      <dataBar>
        <cfvo type="min"/>
        <cfvo type="max"/>
        <color rgb="FF29693E"/>
      </dataBar>
      <extLst>
        <ext xmlns:x14="http://schemas.microsoft.com/office/spreadsheetml/2009/9/main" uri="{B025F937-C7B1-47D3-B67F-A62EFF666E3E}">
          <x14:id>{DC560910-4817-4FFF-A7BC-5FE3DC075319}</x14:id>
        </ext>
      </extLst>
    </cfRule>
  </conditionalFormatting>
  <conditionalFormatting sqref="AJ1:AJ1048576">
    <cfRule type="iconSet" priority="7">
      <iconSet iconSet="5Arrows">
        <cfvo type="percent" val="0"/>
        <cfvo type="percent" val="20"/>
        <cfvo type="percent" val="40"/>
        <cfvo type="percent" val="60"/>
        <cfvo type="percent" val="80"/>
      </iconSet>
    </cfRule>
    <cfRule type="dataBar" priority="15">
      <dataBar>
        <cfvo type="min"/>
        <cfvo type="max"/>
        <color rgb="FF23559B"/>
      </dataBar>
      <extLst>
        <ext xmlns:x14="http://schemas.microsoft.com/office/spreadsheetml/2009/9/main" uri="{B025F937-C7B1-47D3-B67F-A62EFF666E3E}">
          <x14:id>{8E6022D3-DE4B-4B12-A419-8E682CCF5E53}</x14:id>
        </ext>
      </extLst>
    </cfRule>
  </conditionalFormatting>
  <conditionalFormatting sqref="AK1:AK1048576">
    <cfRule type="iconSet" priority="6">
      <iconSet iconSet="5Arrows">
        <cfvo type="percent" val="0"/>
        <cfvo type="percent" val="20"/>
        <cfvo type="percent" val="40"/>
        <cfvo type="percent" val="60"/>
        <cfvo type="percent" val="80"/>
      </iconSet>
    </cfRule>
    <cfRule type="dataBar" priority="14">
      <dataBar>
        <cfvo type="min"/>
        <cfvo type="max"/>
        <color rgb="FF23559B"/>
      </dataBar>
      <extLst>
        <ext xmlns:x14="http://schemas.microsoft.com/office/spreadsheetml/2009/9/main" uri="{B025F937-C7B1-47D3-B67F-A62EFF666E3E}">
          <x14:id>{1BD93C90-6C5B-4CAC-AD9C-ECD3371C0A39}</x14:id>
        </ext>
      </extLst>
    </cfRule>
  </conditionalFormatting>
  <conditionalFormatting sqref="AL1:AL1048576">
    <cfRule type="iconSet" priority="5">
      <iconSet iconSet="5Arrows">
        <cfvo type="percent" val="0"/>
        <cfvo type="percent" val="20"/>
        <cfvo type="percent" val="40"/>
        <cfvo type="percent" val="60"/>
        <cfvo type="percent" val="80"/>
      </iconSet>
    </cfRule>
    <cfRule type="dataBar" priority="13">
      <dataBar>
        <cfvo type="min"/>
        <cfvo type="max"/>
        <color rgb="FF23559B"/>
      </dataBar>
      <extLst>
        <ext xmlns:x14="http://schemas.microsoft.com/office/spreadsheetml/2009/9/main" uri="{B025F937-C7B1-47D3-B67F-A62EFF666E3E}">
          <x14:id>{9516ECD5-6915-464D-A7E2-03BEB3A656A7}</x14:id>
        </ext>
      </extLst>
    </cfRule>
  </conditionalFormatting>
  <conditionalFormatting sqref="AM1:AM1048576">
    <cfRule type="iconSet" priority="4">
      <iconSet iconSet="5Arrows">
        <cfvo type="percent" val="0"/>
        <cfvo type="percent" val="20"/>
        <cfvo type="percent" val="40"/>
        <cfvo type="percent" val="60"/>
        <cfvo type="percent" val="80"/>
      </iconSet>
    </cfRule>
    <cfRule type="dataBar" priority="12">
      <dataBar>
        <cfvo type="min"/>
        <cfvo type="max"/>
        <color rgb="FF23559B"/>
      </dataBar>
      <extLst>
        <ext xmlns:x14="http://schemas.microsoft.com/office/spreadsheetml/2009/9/main" uri="{B025F937-C7B1-47D3-B67F-A62EFF666E3E}">
          <x14:id>{29AC9BAB-9685-4632-9B2E-06E05043EC9B}</x14:id>
        </ext>
      </extLst>
    </cfRule>
  </conditionalFormatting>
  <conditionalFormatting sqref="BB1:BB1048576">
    <cfRule type="iconSet" priority="2">
      <iconSet iconSet="5Arrows">
        <cfvo type="percent" val="0"/>
        <cfvo type="percent" val="20"/>
        <cfvo type="percent" val="40"/>
        <cfvo type="percent" val="60"/>
        <cfvo type="percent" val="80"/>
      </iconSet>
    </cfRule>
    <cfRule type="dataBar" priority="3">
      <dataBar>
        <cfvo type="min"/>
        <cfvo type="max"/>
        <color rgb="FF23559B"/>
      </dataBar>
      <extLst>
        <ext xmlns:x14="http://schemas.microsoft.com/office/spreadsheetml/2009/9/main" uri="{B025F937-C7B1-47D3-B67F-A62EFF666E3E}">
          <x14:id>{1D4F35D8-D597-4665-9F75-8FADB62FE32C}</x14:id>
        </ext>
      </extLst>
    </cfRule>
  </conditionalFormatting>
  <conditionalFormatting sqref="CM2:CM92">
    <cfRule type="colorScale" priority="2846905">
      <colorScale>
        <cfvo type="min"/>
        <cfvo type="max"/>
        <color rgb="FFFFEF9C"/>
        <color rgb="FF63BE7B"/>
      </colorScale>
    </cfRule>
  </conditionalFormatting>
  <conditionalFormatting sqref="G2:G92">
    <cfRule type="colorScale" priority="2846906">
      <colorScale>
        <cfvo type="min"/>
        <cfvo type="percentile" val="50"/>
        <cfvo type="max"/>
        <color rgb="FF63BE7B"/>
        <color rgb="FFFFEB84"/>
        <color rgb="FFF8696B"/>
      </colorScale>
    </cfRule>
  </conditionalFormatting>
  <conditionalFormatting sqref="CT2:CT92">
    <cfRule type="colorScale" priority="2846907">
      <colorScale>
        <cfvo type="min"/>
        <cfvo type="percentile" val="50"/>
        <cfvo type="max"/>
        <color rgb="FFF8696B"/>
        <color rgb="FFFFEB84"/>
        <color rgb="FF63BE7B"/>
      </colorScale>
    </cfRule>
  </conditionalFormatting>
  <conditionalFormatting sqref="CU2:CU92">
    <cfRule type="colorScale" priority="2846908">
      <colorScale>
        <cfvo type="min"/>
        <cfvo type="percentile" val="50"/>
        <cfvo type="max"/>
        <color rgb="FFF8696B"/>
        <color rgb="FFFFEB84"/>
        <color rgb="FF63BE7B"/>
      </colorScale>
    </cfRule>
  </conditionalFormatting>
  <conditionalFormatting sqref="N2:N92">
    <cfRule type="iconSet" priority="2846909">
      <iconSet iconSet="5Arrows">
        <cfvo type="percent" val="0"/>
        <cfvo type="percent" val="20"/>
        <cfvo type="percent" val="40"/>
        <cfvo type="percent" val="60"/>
        <cfvo type="percent" val="80"/>
      </iconSet>
    </cfRule>
    <cfRule type="colorScale" priority="2846910">
      <colorScale>
        <cfvo type="min"/>
        <cfvo type="num" val="75"/>
        <cfvo type="num" val="90"/>
        <color rgb="FFF8696B"/>
        <color rgb="FFFFEB84"/>
        <color rgb="FF63BE7B"/>
      </colorScale>
    </cfRule>
  </conditionalFormatting>
  <conditionalFormatting sqref="O2:O92">
    <cfRule type="dataBar" priority="2846911">
      <dataBar>
        <cfvo type="min"/>
        <cfvo type="max"/>
        <color rgb="FF008AEF"/>
      </dataBar>
      <extLst>
        <ext xmlns:x14="http://schemas.microsoft.com/office/spreadsheetml/2009/9/main" uri="{B025F937-C7B1-47D3-B67F-A62EFF666E3E}">
          <x14:id>{F365465D-6539-4357-B48D-9E53260D4998}</x14:id>
        </ext>
      </extLst>
    </cfRule>
    <cfRule type="colorScale" priority="2846912">
      <colorScale>
        <cfvo type="min"/>
        <cfvo type="percentile" val="50"/>
        <cfvo type="max"/>
        <color rgb="FFF8696B"/>
        <color rgb="FFFFEB84"/>
        <color rgb="FF63BE7B"/>
      </colorScale>
    </cfRule>
  </conditionalFormatting>
  <conditionalFormatting sqref="M2:M92">
    <cfRule type="colorScale" priority="2846913">
      <colorScale>
        <cfvo type="min"/>
        <cfvo type="percentile" val="50"/>
        <cfvo type="max"/>
        <color rgb="FFF8696B"/>
        <color rgb="FFFFEB84"/>
        <color rgb="FF63BE7B"/>
      </colorScale>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A8559071-2C01-44D9-8EAE-178E70C948D7}">
            <x14:dataBar minLength="0" maxLength="100" border="1" negativeBarBorderColorSameAsPositive="0">
              <x14:cfvo type="autoMin"/>
              <x14:cfvo type="autoMax"/>
              <x14:borderColor rgb="FF008AEF"/>
              <x14:negativeFillColor rgb="FFFF0000"/>
              <x14:negativeBorderColor rgb="FFFF0000"/>
              <x14:axisColor rgb="FF000000"/>
            </x14:dataBar>
          </x14:cfRule>
          <xm:sqref>AT1:AT1048576</xm:sqref>
        </x14:conditionalFormatting>
        <x14:conditionalFormatting xmlns:xm="http://schemas.microsoft.com/office/excel/2006/main">
          <x14:cfRule type="dataBar" id="{3B9912E0-EBAC-4EFF-A597-E0617888639F}">
            <x14:dataBar minLength="0" maxLength="100" border="1" negativeBarBorderColorSameAsPositive="0">
              <x14:cfvo type="autoMin"/>
              <x14:cfvo type="autoMax"/>
              <x14:borderColor rgb="FF008AEF"/>
              <x14:negativeFillColor rgb="FFFF0000"/>
              <x14:negativeBorderColor rgb="FFFF0000"/>
              <x14:axisColor rgb="FF000000"/>
            </x14:dataBar>
          </x14:cfRule>
          <xm:sqref>AS1:AS1048576</xm:sqref>
        </x14:conditionalFormatting>
        <x14:conditionalFormatting xmlns:xm="http://schemas.microsoft.com/office/excel/2006/main">
          <x14:cfRule type="dataBar" id="{6E4B09BB-34F0-4CE5-B5A0-A172D6E53BBD}">
            <x14:dataBar minLength="0" maxLength="100" border="1" negativeBarBorderColorSameAsPositive="0">
              <x14:cfvo type="autoMin"/>
              <x14:cfvo type="autoMax"/>
              <x14:borderColor rgb="FF008AEF"/>
              <x14:negativeFillColor rgb="FFFF0000"/>
              <x14:negativeBorderColor rgb="FFFF0000"/>
              <x14:axisColor rgb="FF000000"/>
            </x14:dataBar>
          </x14:cfRule>
          <xm:sqref>AR1:AR1048576</xm:sqref>
        </x14:conditionalFormatting>
        <x14:conditionalFormatting xmlns:xm="http://schemas.microsoft.com/office/excel/2006/main">
          <x14:cfRule type="dataBar" id="{1D2A42BB-2BB3-4629-A922-97A4C8DFC0E2}">
            <x14:dataBar minLength="0" maxLength="100" border="1" negativeBarBorderColorSameAsPositive="0">
              <x14:cfvo type="autoMin"/>
              <x14:cfvo type="autoMax"/>
              <x14:borderColor rgb="FF008AEF"/>
              <x14:negativeFillColor rgb="FFFF0000"/>
              <x14:negativeBorderColor rgb="FFFF0000"/>
              <x14:axisColor rgb="FF000000"/>
            </x14:dataBar>
          </x14:cfRule>
          <xm:sqref>AQ1:AQ1048576</xm:sqref>
        </x14:conditionalFormatting>
        <x14:conditionalFormatting xmlns:xm="http://schemas.microsoft.com/office/excel/2006/main">
          <x14:cfRule type="dataBar" id="{398FC3BC-5496-48CE-9ECD-55E6BB111478}">
            <x14:dataBar minLength="0" maxLength="100" border="1" negativeBarBorderColorSameAsPositive="0">
              <x14:cfvo type="autoMin"/>
              <x14:cfvo type="autoMax"/>
              <x14:borderColor rgb="FF008AEF"/>
              <x14:negativeFillColor rgb="FFFF0000"/>
              <x14:negativeBorderColor rgb="FFFF0000"/>
              <x14:axisColor rgb="FF000000"/>
            </x14:dataBar>
          </x14:cfRule>
          <xm:sqref>AP1:AP1048576</xm:sqref>
        </x14:conditionalFormatting>
        <x14:conditionalFormatting xmlns:xm="http://schemas.microsoft.com/office/excel/2006/main">
          <x14:cfRule type="dataBar" id="{C86BE21A-C584-4370-89B1-6A1535BCF06A}">
            <x14:dataBar minLength="0" maxLength="100" border="1" negativeBarBorderColorSameAsPositive="0">
              <x14:cfvo type="autoMin"/>
              <x14:cfvo type="autoMax"/>
              <x14:borderColor rgb="FF008AEF"/>
              <x14:negativeFillColor rgb="FFFF0000"/>
              <x14:negativeBorderColor rgb="FFFF0000"/>
              <x14:axisColor rgb="FF000000"/>
            </x14:dataBar>
          </x14:cfRule>
          <xm:sqref>BS1:BS1048576</xm:sqref>
        </x14:conditionalFormatting>
        <x14:conditionalFormatting xmlns:xm="http://schemas.microsoft.com/office/excel/2006/main">
          <x14:cfRule type="dataBar" id="{1493CFCD-0790-4FD3-A8E5-9E185B3F373F}">
            <x14:dataBar minLength="0" maxLength="100" border="1" negativeBarBorderColorSameAsPositive="0">
              <x14:cfvo type="autoMin"/>
              <x14:cfvo type="autoMax"/>
              <x14:borderColor rgb="FF638EC6"/>
              <x14:negativeFillColor rgb="FFFF0000"/>
              <x14:negativeBorderColor rgb="FFFF0000"/>
              <x14:axisColor rgb="FF000000"/>
            </x14:dataBar>
          </x14:cfRule>
          <xm:sqref>AU1:AU1048576</xm:sqref>
        </x14:conditionalFormatting>
        <x14:conditionalFormatting xmlns:xm="http://schemas.microsoft.com/office/excel/2006/main">
          <x14:cfRule type="dataBar" id="{E6B6B866-5D6E-4392-B419-E248552EB235}">
            <x14:dataBar minLength="0" maxLength="100" border="1" negativeBarBorderColorSameAsPositive="0">
              <x14:cfvo type="autoMin"/>
              <x14:cfvo type="autoMax"/>
              <x14:borderColor rgb="FF638EC6"/>
              <x14:negativeFillColor rgb="FFFF0000"/>
              <x14:negativeBorderColor rgb="FFFF0000"/>
              <x14:axisColor rgb="FF000000"/>
            </x14:dataBar>
          </x14:cfRule>
          <xm:sqref>AV1:AV1048576</xm:sqref>
        </x14:conditionalFormatting>
        <x14:conditionalFormatting xmlns:xm="http://schemas.microsoft.com/office/excel/2006/main">
          <x14:cfRule type="dataBar" id="{500CE4EC-1C96-47A0-A55A-A81E4C4898D6}">
            <x14:dataBar minLength="0" maxLength="100" gradient="0">
              <x14:cfvo type="autoMin"/>
              <x14:cfvo type="autoMax"/>
              <x14:negativeFillColor rgb="FFFF0000"/>
              <x14:axisColor rgb="FF000000"/>
            </x14:dataBar>
          </x14:cfRule>
          <xm:sqref>DL1:DL1048576</xm:sqref>
        </x14:conditionalFormatting>
        <x14:conditionalFormatting xmlns:xm="http://schemas.microsoft.com/office/excel/2006/main">
          <x14:cfRule type="dataBar" id="{F63AD596-DA73-4BB7-B99F-9AA81CECC6A1}">
            <x14:dataBar minLength="0" maxLength="100" gradient="0">
              <x14:cfvo type="autoMin"/>
              <x14:cfvo type="autoMax"/>
              <x14:negativeFillColor rgb="FFFF0000"/>
              <x14:axisColor rgb="FF000000"/>
            </x14:dataBar>
          </x14:cfRule>
          <xm:sqref>DM1:DM1048576</xm:sqref>
        </x14:conditionalFormatting>
        <x14:conditionalFormatting xmlns:xm="http://schemas.microsoft.com/office/excel/2006/main">
          <x14:cfRule type="dataBar" id="{71062AEF-5024-4FC4-B4A7-62CBE8B5C620}">
            <x14:dataBar minLength="0" maxLength="100" border="1" negativeBarBorderColorSameAsPositive="0">
              <x14:cfvo type="autoMin"/>
              <x14:cfvo type="autoMax"/>
              <x14:borderColor rgb="FF638EC6"/>
              <x14:negativeFillColor rgb="FFFF0000"/>
              <x14:negativeBorderColor rgb="FFFF0000"/>
              <x14:axisColor rgb="FF000000"/>
            </x14:dataBar>
          </x14:cfRule>
          <xm:sqref>AN1:AN1048576</xm:sqref>
        </x14:conditionalFormatting>
        <x14:conditionalFormatting xmlns:xm="http://schemas.microsoft.com/office/excel/2006/main">
          <x14:cfRule type="dataBar" id="{53F1178E-73AF-4844-8A71-137EF38EE87E}">
            <x14:dataBar minLength="0" maxLength="100" border="1" negativeBarBorderColorSameAsPositive="0">
              <x14:cfvo type="autoMin"/>
              <x14:cfvo type="autoMax"/>
              <x14:borderColor rgb="FF638EC6"/>
              <x14:negativeFillColor rgb="FFFF0000"/>
              <x14:negativeBorderColor rgb="FFFF0000"/>
              <x14:axisColor rgb="FF000000"/>
            </x14:dataBar>
          </x14:cfRule>
          <xm:sqref>AO1:AO1048576</xm:sqref>
        </x14:conditionalFormatting>
        <x14:conditionalFormatting xmlns:xm="http://schemas.microsoft.com/office/excel/2006/main">
          <x14:cfRule type="dataBar" id="{616CDD5A-108D-4DA4-B0D0-2E8B1EAD6A25}">
            <x14:dataBar minLength="0" maxLength="100" gradient="0">
              <x14:cfvo type="autoMin"/>
              <x14:cfvo type="autoMax"/>
              <x14:negativeFillColor rgb="FFFF0000"/>
              <x14:axisColor rgb="FF000000"/>
            </x14:dataBar>
          </x14:cfRule>
          <xm:sqref>X1:X1048576</xm:sqref>
        </x14:conditionalFormatting>
        <x14:conditionalFormatting xmlns:xm="http://schemas.microsoft.com/office/excel/2006/main">
          <x14:cfRule type="dataBar" id="{B074AD81-C359-4C55-A88E-0F8727A25403}">
            <x14:dataBar minLength="0" maxLength="100" gradient="0">
              <x14:cfvo type="autoMin"/>
              <x14:cfvo type="autoMax"/>
              <x14:negativeFillColor rgb="FFFF0000"/>
              <x14:axisColor rgb="FF000000"/>
            </x14:dataBar>
          </x14:cfRule>
          <xm:sqref>AB1:AB1048576</xm:sqref>
        </x14:conditionalFormatting>
        <x14:conditionalFormatting xmlns:xm="http://schemas.microsoft.com/office/excel/2006/main">
          <x14:cfRule type="dataBar" id="{27F63595-0215-4BD8-A0DE-C219D91963C3}">
            <x14:dataBar minLength="0" maxLength="100" gradient="0">
              <x14:cfvo type="autoMin"/>
              <x14:cfvo type="autoMax"/>
              <x14:negativeFillColor rgb="FFFF0000"/>
              <x14:axisColor rgb="FF000000"/>
            </x14:dataBar>
          </x14:cfRule>
          <xm:sqref>AC1:AC1048576</xm:sqref>
        </x14:conditionalFormatting>
        <x14:conditionalFormatting xmlns:xm="http://schemas.microsoft.com/office/excel/2006/main">
          <x14:cfRule type="dataBar" id="{291E76D7-B0DD-4149-B428-ED4838A99F09}">
            <x14:dataBar minLength="0" maxLength="100" gradient="0">
              <x14:cfvo type="autoMin"/>
              <x14:cfvo type="autoMax"/>
              <x14:negativeFillColor rgb="FFFF0000"/>
              <x14:axisColor rgb="FF000000"/>
            </x14:dataBar>
          </x14:cfRule>
          <xm:sqref>AD1:AD1048576</xm:sqref>
        </x14:conditionalFormatting>
        <x14:conditionalFormatting xmlns:xm="http://schemas.microsoft.com/office/excel/2006/main">
          <x14:cfRule type="dataBar" id="{71C64141-8B4B-4B90-9526-9B8A9F88AA13}">
            <x14:dataBar minLength="0" maxLength="100" gradient="0">
              <x14:cfvo type="autoMin"/>
              <x14:cfvo type="autoMax"/>
              <x14:negativeFillColor rgb="FFFF0000"/>
              <x14:axisColor rgb="FF000000"/>
            </x14:dataBar>
          </x14:cfRule>
          <xm:sqref>AA1:AA1048576</xm:sqref>
        </x14:conditionalFormatting>
        <x14:conditionalFormatting xmlns:xm="http://schemas.microsoft.com/office/excel/2006/main">
          <x14:cfRule type="dataBar" id="{59DB5919-548F-4D20-AE1A-A695D3603D38}">
            <x14:dataBar minLength="0" maxLength="100" gradient="0">
              <x14:cfvo type="autoMin"/>
              <x14:cfvo type="autoMax"/>
              <x14:negativeFillColor rgb="FFFF0000"/>
              <x14:axisColor rgb="FF000000"/>
            </x14:dataBar>
          </x14:cfRule>
          <xm:sqref>V1:V1048576</xm:sqref>
        </x14:conditionalFormatting>
        <x14:conditionalFormatting xmlns:xm="http://schemas.microsoft.com/office/excel/2006/main">
          <x14:cfRule type="dataBar" id="{9EDDC49C-E254-42AD-A792-0966907C20D3}">
            <x14:dataBar minLength="0" maxLength="100" gradient="0">
              <x14:cfvo type="autoMin"/>
              <x14:cfvo type="autoMax"/>
              <x14:negativeFillColor rgb="FFFF0000"/>
              <x14:axisColor rgb="FF000000"/>
            </x14:dataBar>
          </x14:cfRule>
          <xm:sqref>Z1:Z1048576</xm:sqref>
        </x14:conditionalFormatting>
        <x14:conditionalFormatting xmlns:xm="http://schemas.microsoft.com/office/excel/2006/main">
          <x14:cfRule type="dataBar" id="{08793D9A-8218-429A-AC74-97F285D6F012}">
            <x14:dataBar minLength="0" maxLength="100" gradient="0">
              <x14:cfvo type="autoMin"/>
              <x14:cfvo type="autoMax"/>
              <x14:negativeFillColor rgb="FFFF0000"/>
              <x14:axisColor rgb="FF000000"/>
            </x14:dataBar>
          </x14:cfRule>
          <xm:sqref>W1:W1048576</xm:sqref>
        </x14:conditionalFormatting>
        <x14:conditionalFormatting xmlns:xm="http://schemas.microsoft.com/office/excel/2006/main">
          <x14:cfRule type="dataBar" id="{DA1AADAF-1ED1-4FC2-849B-BD83A048A890}">
            <x14:dataBar minLength="0" maxLength="100" gradient="0">
              <x14:cfvo type="autoMin"/>
              <x14:cfvo type="autoMax"/>
              <x14:negativeFillColor rgb="FFFF0000"/>
              <x14:axisColor rgb="FF000000"/>
            </x14:dataBar>
          </x14:cfRule>
          <xm:sqref>Y1:Y1048576</xm:sqref>
        </x14:conditionalFormatting>
        <x14:conditionalFormatting xmlns:xm="http://schemas.microsoft.com/office/excel/2006/main">
          <x14:cfRule type="dataBar" id="{83B4B4EE-05C9-4ACE-82BF-DDDB51D78264}">
            <x14:dataBar minLength="0" maxLength="100" gradient="0">
              <x14:cfvo type="autoMin"/>
              <x14:cfvo type="autoMax"/>
              <x14:negativeFillColor rgb="FFFF0000"/>
              <x14:axisColor rgb="FF000000"/>
            </x14:dataBar>
          </x14:cfRule>
          <xm:sqref>AZ1:AZ1048576</xm:sqref>
        </x14:conditionalFormatting>
        <x14:conditionalFormatting xmlns:xm="http://schemas.microsoft.com/office/excel/2006/main">
          <x14:cfRule type="dataBar" id="{E884251E-F0BF-43DE-9246-DAD033DBCC0A}">
            <x14:dataBar minLength="0" maxLength="100" gradient="0">
              <x14:cfvo type="autoMin"/>
              <x14:cfvo type="autoMax"/>
              <x14:negativeFillColor rgb="FFFF0000"/>
              <x14:axisColor rgb="FF000000"/>
            </x14:dataBar>
          </x14:cfRule>
          <xm:sqref>BA1:BA1048576</xm:sqref>
        </x14:conditionalFormatting>
        <x14:conditionalFormatting xmlns:xm="http://schemas.microsoft.com/office/excel/2006/main">
          <x14:cfRule type="dataBar" id="{929970D7-4CA4-408D-9F72-991773F48890}">
            <x14:dataBar minLength="0" maxLength="100" gradient="0">
              <x14:cfvo type="autoMin"/>
              <x14:cfvo type="autoMax"/>
              <x14:negativeFillColor rgb="FFFF0000"/>
              <x14:axisColor rgb="FF000000"/>
            </x14:dataBar>
          </x14:cfRule>
          <xm:sqref>CI1:CI1048576</xm:sqref>
        </x14:conditionalFormatting>
        <x14:conditionalFormatting xmlns:xm="http://schemas.microsoft.com/office/excel/2006/main">
          <x14:cfRule type="dataBar" id="{F96BA66A-7716-45FA-AC7A-218AA15AFB63}">
            <x14:dataBar minLength="0" maxLength="100" gradient="0">
              <x14:cfvo type="autoMin"/>
              <x14:cfvo type="autoMax"/>
              <x14:negativeFillColor rgb="FFFF0000"/>
              <x14:axisColor rgb="FF000000"/>
            </x14:dataBar>
          </x14:cfRule>
          <xm:sqref>CJ1:CJ1048576</xm:sqref>
        </x14:conditionalFormatting>
        <x14:conditionalFormatting xmlns:xm="http://schemas.microsoft.com/office/excel/2006/main">
          <x14:cfRule type="dataBar" id="{F171C1FE-C031-4961-8008-89926F589704}">
            <x14:dataBar minLength="0" maxLength="100" gradient="0">
              <x14:cfvo type="autoMin"/>
              <x14:cfvo type="autoMax"/>
              <x14:negativeFillColor rgb="FFFF0000"/>
              <x14:axisColor rgb="FF000000"/>
            </x14:dataBar>
          </x14:cfRule>
          <xm:sqref>CK1:CK1048576</xm:sqref>
        </x14:conditionalFormatting>
        <x14:conditionalFormatting xmlns:xm="http://schemas.microsoft.com/office/excel/2006/main">
          <x14:cfRule type="dataBar" id="{16A953FE-D9C2-4AB1-83A3-F540DDF74BB6}">
            <x14:dataBar minLength="0" maxLength="100" gradient="0">
              <x14:cfvo type="autoMin"/>
              <x14:cfvo type="autoMax"/>
              <x14:negativeFillColor rgb="FFFF0000"/>
              <x14:axisColor rgb="FF000000"/>
            </x14:dataBar>
          </x14:cfRule>
          <xm:sqref>CX1:CX1048576</xm:sqref>
        </x14:conditionalFormatting>
        <x14:conditionalFormatting xmlns:xm="http://schemas.microsoft.com/office/excel/2006/main">
          <x14:cfRule type="dataBar" id="{95ECBF18-5AF1-4498-AA83-38E716430AE5}">
            <x14:dataBar minLength="0" maxLength="100" gradient="0">
              <x14:cfvo type="autoMin"/>
              <x14:cfvo type="autoMax"/>
              <x14:negativeFillColor rgb="FFFF0000"/>
              <x14:axisColor rgb="FF000000"/>
            </x14:dataBar>
          </x14:cfRule>
          <xm:sqref>P1:P1048576</xm:sqref>
        </x14:conditionalFormatting>
        <x14:conditionalFormatting xmlns:xm="http://schemas.microsoft.com/office/excel/2006/main">
          <x14:cfRule type="dataBar" id="{ED635613-4EF0-4949-8B5C-762D843E6847}">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F776C4AB-4D7B-4C53-BD29-BD37382FC159}">
            <x14:dataBar minLength="0" maxLength="100" gradient="0">
              <x14:cfvo type="autoMin"/>
              <x14:cfvo type="autoMax"/>
              <x14:negativeFillColor rgb="FFFF0000"/>
              <x14:axisColor rgb="FF000000"/>
            </x14:dataBar>
          </x14:cfRule>
          <xm:sqref>R1:R1048576</xm:sqref>
        </x14:conditionalFormatting>
        <x14:conditionalFormatting xmlns:xm="http://schemas.microsoft.com/office/excel/2006/main">
          <x14:cfRule type="dataBar" id="{27BF7B82-BEE1-405D-80B4-3DAEDA99E135}">
            <x14:dataBar minLength="0" maxLength="100" gradient="0">
              <x14:cfvo type="autoMin"/>
              <x14:cfvo type="autoMax"/>
              <x14:negativeFillColor rgb="FFFF0000"/>
              <x14:axisColor rgb="FF000000"/>
            </x14:dataBar>
          </x14:cfRule>
          <xm:sqref>BC1:BC1048576</xm:sqref>
        </x14:conditionalFormatting>
        <x14:conditionalFormatting xmlns:xm="http://schemas.microsoft.com/office/excel/2006/main">
          <x14:cfRule type="dataBar" id="{BF93DF0E-E6DA-40B2-A218-0D088789EF7B}">
            <x14:dataBar minLength="0" maxLength="100" gradient="0">
              <x14:cfvo type="autoMin"/>
              <x14:cfvo type="autoMax"/>
              <x14:negativeFillColor rgb="FFFF0000"/>
              <x14:axisColor rgb="FF000000"/>
            </x14:dataBar>
          </x14:cfRule>
          <xm:sqref>BI1:BI1048576</xm:sqref>
        </x14:conditionalFormatting>
        <x14:conditionalFormatting xmlns:xm="http://schemas.microsoft.com/office/excel/2006/main">
          <x14:cfRule type="dataBar" id="{D186A4AE-E5DE-4777-ABB2-3875D58B4A37}">
            <x14:dataBar minLength="0" maxLength="100" gradient="0">
              <x14:cfvo type="autoMin"/>
              <x14:cfvo type="autoMax"/>
              <x14:negativeFillColor rgb="FFFF0000"/>
              <x14:axisColor rgb="FF000000"/>
            </x14:dataBar>
          </x14:cfRule>
          <xm:sqref>BJ1:BJ1048576</xm:sqref>
        </x14:conditionalFormatting>
        <x14:conditionalFormatting xmlns:xm="http://schemas.microsoft.com/office/excel/2006/main">
          <x14:cfRule type="dataBar" id="{01A172A5-4F63-4464-838D-ABA863330D42}">
            <x14:dataBar minLength="0" maxLength="100" border="1" negativeBarBorderColorSameAsPositive="0">
              <x14:cfvo type="autoMin"/>
              <x14:cfvo type="autoMax"/>
              <x14:borderColor rgb="FF008AEF"/>
              <x14:negativeFillColor rgb="FFFF0000"/>
              <x14:negativeBorderColor rgb="FFFF0000"/>
              <x14:axisColor rgb="FF000000"/>
            </x14:dataBar>
          </x14:cfRule>
          <xm:sqref>BK1:BK1048576</xm:sqref>
        </x14:conditionalFormatting>
        <x14:conditionalFormatting xmlns:xm="http://schemas.microsoft.com/office/excel/2006/main">
          <x14:cfRule type="dataBar" id="{3C45D27D-C7B3-454E-83AF-41A2849FB11D}">
            <x14:dataBar minLength="0" maxLength="100" border="1" negativeBarBorderColorSameAsPositive="0">
              <x14:cfvo type="autoMin"/>
              <x14:cfvo type="autoMax"/>
              <x14:borderColor rgb="FF008AEF"/>
              <x14:negativeFillColor rgb="FFFF0000"/>
              <x14:negativeBorderColor rgb="FFFF0000"/>
              <x14:axisColor rgb="FF000000"/>
            </x14:dataBar>
          </x14:cfRule>
          <xm:sqref>BL1:BL1048576</xm:sqref>
        </x14:conditionalFormatting>
        <x14:conditionalFormatting xmlns:xm="http://schemas.microsoft.com/office/excel/2006/main">
          <x14:cfRule type="dataBar" id="{093A04F0-EEF4-4942-9044-511C85B03027}">
            <x14:dataBar minLength="0" maxLength="100" border="1" negativeBarBorderColorSameAsPositive="0">
              <x14:cfvo type="autoMin"/>
              <x14:cfvo type="autoMax"/>
              <x14:borderColor rgb="FF008AEF"/>
              <x14:negativeFillColor rgb="FFFF0000"/>
              <x14:negativeBorderColor rgb="FFFF0000"/>
              <x14:axisColor rgb="FF000000"/>
            </x14:dataBar>
          </x14:cfRule>
          <xm:sqref>BM1:BM1048576</xm:sqref>
        </x14:conditionalFormatting>
        <x14:conditionalFormatting xmlns:xm="http://schemas.microsoft.com/office/excel/2006/main">
          <x14:cfRule type="dataBar" id="{38EA1070-408B-4BA6-AEDF-FDA3A818B92B}">
            <x14:dataBar minLength="0" maxLength="100" gradient="0">
              <x14:cfvo type="autoMin"/>
              <x14:cfvo type="autoMax"/>
              <x14:negativeFillColor rgb="FFFF0000"/>
              <x14:axisColor rgb="FF000000"/>
            </x14:dataBar>
          </x14:cfRule>
          <xm:sqref>AF1:AF1048576</xm:sqref>
        </x14:conditionalFormatting>
        <x14:conditionalFormatting xmlns:xm="http://schemas.microsoft.com/office/excel/2006/main">
          <x14:cfRule type="dataBar" id="{F1D101FC-03A6-4583-B920-AF6EF6E75D67}">
            <x14:dataBar minLength="0" maxLength="100" gradient="0">
              <x14:cfvo type="autoMin"/>
              <x14:cfvo type="autoMax"/>
              <x14:negativeFillColor rgb="FFFF0000"/>
              <x14:axisColor rgb="FF000000"/>
            </x14:dataBar>
          </x14:cfRule>
          <xm:sqref>AG1:AG1048576</xm:sqref>
        </x14:conditionalFormatting>
        <x14:conditionalFormatting xmlns:xm="http://schemas.microsoft.com/office/excel/2006/main">
          <x14:cfRule type="dataBar" id="{0FD96E6B-7827-4366-81EC-BDF1C994FCD2}">
            <x14:dataBar minLength="0" maxLength="100" gradient="0">
              <x14:cfvo type="autoMin"/>
              <x14:cfvo type="autoMax"/>
              <x14:negativeFillColor rgb="FFFF0000"/>
              <x14:axisColor rgb="FF000000"/>
            </x14:dataBar>
          </x14:cfRule>
          <xm:sqref>AH1:AH1048576</xm:sqref>
        </x14:conditionalFormatting>
        <x14:conditionalFormatting xmlns:xm="http://schemas.microsoft.com/office/excel/2006/main">
          <x14:cfRule type="dataBar" id="{DC560910-4817-4FFF-A7BC-5FE3DC075319}">
            <x14:dataBar minLength="0" maxLength="100" gradient="0">
              <x14:cfvo type="autoMin"/>
              <x14:cfvo type="autoMax"/>
              <x14:negativeFillColor rgb="FFFF0000"/>
              <x14:axisColor rgb="FF000000"/>
            </x14:dataBar>
          </x14:cfRule>
          <xm:sqref>AI1:AI1048576</xm:sqref>
        </x14:conditionalFormatting>
        <x14:conditionalFormatting xmlns:xm="http://schemas.microsoft.com/office/excel/2006/main">
          <x14:cfRule type="dataBar" id="{8E6022D3-DE4B-4B12-A419-8E682CCF5E53}">
            <x14:dataBar minLength="0" maxLength="100" gradient="0">
              <x14:cfvo type="autoMin"/>
              <x14:cfvo type="autoMax"/>
              <x14:negativeFillColor rgb="FFFF0000"/>
              <x14:axisColor rgb="FF000000"/>
            </x14:dataBar>
          </x14:cfRule>
          <xm:sqref>AJ1:AJ1048576</xm:sqref>
        </x14:conditionalFormatting>
        <x14:conditionalFormatting xmlns:xm="http://schemas.microsoft.com/office/excel/2006/main">
          <x14:cfRule type="dataBar" id="{1BD93C90-6C5B-4CAC-AD9C-ECD3371C0A39}">
            <x14:dataBar minLength="0" maxLength="100" gradient="0">
              <x14:cfvo type="autoMin"/>
              <x14:cfvo type="autoMax"/>
              <x14:negativeFillColor rgb="FFFF0000"/>
              <x14:axisColor rgb="FF000000"/>
            </x14:dataBar>
          </x14:cfRule>
          <xm:sqref>AK1:AK1048576</xm:sqref>
        </x14:conditionalFormatting>
        <x14:conditionalFormatting xmlns:xm="http://schemas.microsoft.com/office/excel/2006/main">
          <x14:cfRule type="dataBar" id="{9516ECD5-6915-464D-A7E2-03BEB3A656A7}">
            <x14:dataBar minLength="0" maxLength="100" gradient="0">
              <x14:cfvo type="autoMin"/>
              <x14:cfvo type="autoMax"/>
              <x14:negativeFillColor rgb="FFFF0000"/>
              <x14:axisColor rgb="FF000000"/>
            </x14:dataBar>
          </x14:cfRule>
          <xm:sqref>AL1:AL1048576</xm:sqref>
        </x14:conditionalFormatting>
        <x14:conditionalFormatting xmlns:xm="http://schemas.microsoft.com/office/excel/2006/main">
          <x14:cfRule type="dataBar" id="{29AC9BAB-9685-4632-9B2E-06E05043EC9B}">
            <x14:dataBar minLength="0" maxLength="100" gradient="0">
              <x14:cfvo type="autoMin"/>
              <x14:cfvo type="autoMax"/>
              <x14:negativeFillColor rgb="FFFF0000"/>
              <x14:axisColor rgb="FF000000"/>
            </x14:dataBar>
          </x14:cfRule>
          <xm:sqref>AM1:AM1048576</xm:sqref>
        </x14:conditionalFormatting>
        <x14:conditionalFormatting xmlns:xm="http://schemas.microsoft.com/office/excel/2006/main">
          <x14:cfRule type="dataBar" id="{1D4F35D8-D597-4665-9F75-8FADB62FE32C}">
            <x14:dataBar minLength="0" maxLength="100" gradient="0">
              <x14:cfvo type="autoMin"/>
              <x14:cfvo type="autoMax"/>
              <x14:negativeFillColor rgb="FFFF0000"/>
              <x14:axisColor rgb="FF000000"/>
            </x14:dataBar>
          </x14:cfRule>
          <xm:sqref>BB1:BB1048576</xm:sqref>
        </x14:conditionalFormatting>
        <x14:conditionalFormatting xmlns:xm="http://schemas.microsoft.com/office/excel/2006/main">
          <x14:cfRule type="dataBar" id="{F365465D-6539-4357-B48D-9E53260D4998}">
            <x14:dataBar minLength="0" maxLength="100" border="1" negativeBarBorderColorSameAsPositive="0">
              <x14:cfvo type="autoMin"/>
              <x14:cfvo type="autoMax"/>
              <x14:borderColor rgb="FF008AEF"/>
              <x14:negativeFillColor rgb="FFFF0000"/>
              <x14:negativeBorderColor rgb="FFFF0000"/>
              <x14:axisColor rgb="FF000000"/>
            </x14:dataBar>
          </x14:cfRule>
          <xm:sqref>O2:O92</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rgb="FFFF9393"/>
  </sheetPr>
  <dimension ref="A1:GO912"/>
  <sheetViews>
    <sheetView zoomScale="90" zoomScaleNormal="90" workbookViewId="0">
      <pane xSplit="4" ySplit="1" topLeftCell="GC2" activePane="bottomRight" state="frozen"/>
      <selection pane="topRight" activeCell="E1" sqref="E1"/>
      <selection pane="bottomLeft" activeCell="A2" sqref="A2"/>
      <selection pane="bottomRight" activeCell="GQ18" sqref="GQ18"/>
    </sheetView>
  </sheetViews>
  <sheetFormatPr defaultRowHeight="15" x14ac:dyDescent="0.25"/>
  <cols>
    <col min="2" max="2" width="30.7109375" customWidth="1"/>
    <col min="3" max="3" width="12.5703125" customWidth="1"/>
    <col min="4" max="4" width="23.5703125" customWidth="1"/>
    <col min="5" max="5" width="19.28515625" customWidth="1"/>
    <col min="6" max="6" width="16.28515625" customWidth="1"/>
    <col min="7" max="7" width="18.28515625" customWidth="1"/>
    <col min="8" max="8" width="15.7109375" style="13" customWidth="1"/>
    <col min="9" max="9" width="19.85546875" style="13" customWidth="1"/>
    <col min="10" max="10" width="22.140625" style="176" customWidth="1"/>
    <col min="11" max="11" width="11.140625" customWidth="1"/>
    <col min="12" max="17" width="18.7109375" customWidth="1"/>
    <col min="18" max="23" width="18.7109375" style="13" customWidth="1"/>
    <col min="24" max="28" width="18.7109375" customWidth="1"/>
    <col min="29" max="29" width="18.7109375" style="13" customWidth="1"/>
    <col min="30" max="36" width="18.7109375" customWidth="1"/>
    <col min="37" max="42" width="18.7109375" style="13" customWidth="1"/>
    <col min="43" max="43" width="18.7109375" style="303" customWidth="1"/>
    <col min="44" max="44" width="18.7109375" style="13" customWidth="1"/>
    <col min="45" max="45" width="18.7109375" style="303" customWidth="1"/>
    <col min="46" max="47" width="20.5703125" style="13" customWidth="1"/>
    <col min="48" max="51" width="18.7109375" style="13" customWidth="1"/>
    <col min="52" max="52" width="18.85546875" style="13" customWidth="1"/>
    <col min="53" max="76" width="18.7109375" customWidth="1"/>
    <col min="77" max="77" width="18.7109375" style="13" customWidth="1"/>
    <col min="78" max="87" width="18.7109375" customWidth="1"/>
    <col min="88" max="97" width="18.7109375" style="13" customWidth="1"/>
    <col min="98" max="147" width="18.7109375" customWidth="1"/>
    <col min="148" max="148" width="8.7109375" customWidth="1"/>
    <col min="149" max="154" width="11.7109375" customWidth="1"/>
    <col min="155" max="155" width="11.7109375" style="1" customWidth="1"/>
    <col min="156" max="156" width="11.7109375" style="140" customWidth="1"/>
    <col min="157" max="157" width="11.7109375" customWidth="1"/>
    <col min="158" max="158" width="11.7109375" style="1" customWidth="1"/>
    <col min="159" max="159" width="11.7109375" style="140" customWidth="1"/>
    <col min="160" max="197" width="11.7109375" style="1" customWidth="1"/>
    <col min="203" max="203" width="10.42578125" bestFit="1" customWidth="1"/>
  </cols>
  <sheetData>
    <row r="1" spans="1:197" ht="50.1" customHeight="1" thickBot="1" x14ac:dyDescent="0.3">
      <c r="A1" s="103"/>
      <c r="B1" s="4" t="s">
        <v>20</v>
      </c>
      <c r="C1" s="4" t="s">
        <v>201</v>
      </c>
      <c r="D1" s="4" t="s">
        <v>28</v>
      </c>
      <c r="E1" s="87" t="s">
        <v>217</v>
      </c>
      <c r="F1" s="4" t="s">
        <v>29</v>
      </c>
      <c r="G1" s="4" t="s">
        <v>80</v>
      </c>
      <c r="H1" s="4" t="s">
        <v>1</v>
      </c>
      <c r="I1" s="82" t="s">
        <v>3</v>
      </c>
      <c r="J1" s="4" t="s">
        <v>2</v>
      </c>
      <c r="K1" s="4" t="s">
        <v>216</v>
      </c>
      <c r="L1" s="30" t="s">
        <v>111</v>
      </c>
      <c r="M1" s="30" t="s">
        <v>401</v>
      </c>
      <c r="N1" s="30" t="s">
        <v>402</v>
      </c>
      <c r="O1" s="30" t="s">
        <v>405</v>
      </c>
      <c r="P1" s="30" t="s">
        <v>113</v>
      </c>
      <c r="Q1" s="30" t="s">
        <v>109</v>
      </c>
      <c r="R1" s="31" t="s">
        <v>51</v>
      </c>
      <c r="S1" s="31" t="s">
        <v>117</v>
      </c>
      <c r="T1" s="31" t="s">
        <v>118</v>
      </c>
      <c r="U1" s="90" t="s">
        <v>35</v>
      </c>
      <c r="V1" s="90" t="s">
        <v>398</v>
      </c>
      <c r="W1" s="90" t="s">
        <v>397</v>
      </c>
      <c r="X1" s="419" t="s">
        <v>22</v>
      </c>
      <c r="Y1" s="207" t="s">
        <v>24</v>
      </c>
      <c r="Z1" s="207" t="s">
        <v>60</v>
      </c>
      <c r="AA1" s="207" t="s">
        <v>604</v>
      </c>
      <c r="AB1" s="207" t="s">
        <v>303</v>
      </c>
      <c r="AC1" s="207" t="s">
        <v>227</v>
      </c>
      <c r="AD1" s="207" t="s">
        <v>536</v>
      </c>
      <c r="AE1" s="202" t="s">
        <v>114</v>
      </c>
      <c r="AF1" s="202" t="s">
        <v>115</v>
      </c>
      <c r="AG1" s="202" t="s">
        <v>116</v>
      </c>
      <c r="AH1" s="202" t="s">
        <v>301</v>
      </c>
      <c r="AI1" s="202" t="s">
        <v>302</v>
      </c>
      <c r="AJ1" s="202" t="s">
        <v>547</v>
      </c>
      <c r="AK1" s="203" t="s">
        <v>537</v>
      </c>
      <c r="AL1" s="130" t="s">
        <v>420</v>
      </c>
      <c r="AM1" s="130" t="s">
        <v>418</v>
      </c>
      <c r="AN1" s="130" t="s">
        <v>419</v>
      </c>
      <c r="AO1" s="130" t="s">
        <v>304</v>
      </c>
      <c r="AP1" s="96" t="s">
        <v>594</v>
      </c>
      <c r="AQ1" s="302" t="s">
        <v>596</v>
      </c>
      <c r="AR1" s="96" t="s">
        <v>592</v>
      </c>
      <c r="AS1" s="302" t="s">
        <v>597</v>
      </c>
      <c r="AT1" s="96" t="s">
        <v>595</v>
      </c>
      <c r="AU1" s="96" t="s">
        <v>593</v>
      </c>
      <c r="AV1" s="96" t="s">
        <v>226</v>
      </c>
      <c r="AW1" s="96" t="s">
        <v>223</v>
      </c>
      <c r="AX1" s="97" t="s">
        <v>224</v>
      </c>
      <c r="AY1" s="96" t="s">
        <v>305</v>
      </c>
      <c r="AZ1" s="96" t="s">
        <v>225</v>
      </c>
      <c r="BA1" s="409" t="s">
        <v>52</v>
      </c>
      <c r="BB1" s="409" t="s">
        <v>147</v>
      </c>
      <c r="BC1" s="409" t="s">
        <v>53</v>
      </c>
      <c r="BD1" s="409" t="s">
        <v>137</v>
      </c>
      <c r="BE1" s="408" t="s">
        <v>805</v>
      </c>
      <c r="BF1" s="408" t="s">
        <v>806</v>
      </c>
      <c r="BG1" s="411" t="s">
        <v>54</v>
      </c>
      <c r="BH1" s="411" t="s">
        <v>807</v>
      </c>
      <c r="BI1" s="406" t="s">
        <v>804</v>
      </c>
      <c r="BJ1" s="324" t="s">
        <v>602</v>
      </c>
      <c r="BK1" s="324" t="s">
        <v>603</v>
      </c>
      <c r="BL1" s="41" t="s">
        <v>690</v>
      </c>
      <c r="BM1" s="41" t="s">
        <v>314</v>
      </c>
      <c r="BN1" s="351" t="s">
        <v>689</v>
      </c>
      <c r="BO1" s="351" t="s">
        <v>688</v>
      </c>
      <c r="BP1" s="41" t="s">
        <v>313</v>
      </c>
      <c r="BQ1" s="41" t="s">
        <v>417</v>
      </c>
      <c r="BR1" s="355" t="s">
        <v>692</v>
      </c>
      <c r="BS1" s="355" t="s">
        <v>693</v>
      </c>
      <c r="BT1" s="371" t="s">
        <v>694</v>
      </c>
      <c r="BU1" s="40" t="s">
        <v>55</v>
      </c>
      <c r="BV1" s="40" t="s">
        <v>79</v>
      </c>
      <c r="BW1" s="40" t="s">
        <v>204</v>
      </c>
      <c r="BX1" s="369" t="s">
        <v>380</v>
      </c>
      <c r="BY1" s="412" t="s">
        <v>451</v>
      </c>
      <c r="BZ1" s="33" t="s">
        <v>108</v>
      </c>
      <c r="CA1" s="33" t="s">
        <v>336</v>
      </c>
      <c r="CB1" s="33" t="s">
        <v>337</v>
      </c>
      <c r="CC1" s="33" t="s">
        <v>107</v>
      </c>
      <c r="CD1" s="4" t="s">
        <v>352</v>
      </c>
      <c r="CE1" s="4" t="s">
        <v>370</v>
      </c>
      <c r="CF1" s="260" t="s">
        <v>462</v>
      </c>
      <c r="CG1" s="260" t="s">
        <v>461</v>
      </c>
      <c r="CH1" s="141" t="s">
        <v>56</v>
      </c>
      <c r="CI1" s="141" t="s">
        <v>457</v>
      </c>
      <c r="CJ1" s="46" t="s">
        <v>315</v>
      </c>
      <c r="CK1" s="46" t="s">
        <v>316</v>
      </c>
      <c r="CL1" s="46" t="s">
        <v>317</v>
      </c>
      <c r="CM1" s="46" t="s">
        <v>318</v>
      </c>
      <c r="CN1" s="46" t="s">
        <v>319</v>
      </c>
      <c r="CO1" s="46" t="s">
        <v>320</v>
      </c>
      <c r="CP1" s="46" t="s">
        <v>339</v>
      </c>
      <c r="CQ1" s="46" t="s">
        <v>312</v>
      </c>
      <c r="CR1" s="46" t="s">
        <v>517</v>
      </c>
      <c r="CS1" s="32" t="s">
        <v>414</v>
      </c>
      <c r="CT1" s="32" t="s">
        <v>99</v>
      </c>
      <c r="CU1" s="32" t="s">
        <v>311</v>
      </c>
      <c r="CV1" s="32" t="s">
        <v>101</v>
      </c>
      <c r="CW1" s="4" t="s">
        <v>371</v>
      </c>
      <c r="CX1" s="4" t="s">
        <v>463</v>
      </c>
      <c r="CY1" s="4" t="s">
        <v>128</v>
      </c>
      <c r="CZ1" s="4" t="s">
        <v>464</v>
      </c>
      <c r="DA1" s="4" t="s">
        <v>44</v>
      </c>
      <c r="DB1" s="314" t="s">
        <v>84</v>
      </c>
      <c r="DC1" s="314" t="s">
        <v>158</v>
      </c>
      <c r="DD1" s="294" t="s">
        <v>411</v>
      </c>
      <c r="DE1" s="4" t="s">
        <v>355</v>
      </c>
      <c r="DF1" s="4" t="s">
        <v>357</v>
      </c>
      <c r="DG1" s="4" t="s">
        <v>356</v>
      </c>
      <c r="DH1" s="4" t="s">
        <v>359</v>
      </c>
      <c r="DI1" s="4" t="s">
        <v>358</v>
      </c>
      <c r="DJ1" s="87" t="s">
        <v>321</v>
      </c>
      <c r="DK1" s="150" t="s">
        <v>39</v>
      </c>
      <c r="DL1" s="37" t="s">
        <v>308</v>
      </c>
      <c r="DM1" s="37" t="s">
        <v>309</v>
      </c>
      <c r="DN1" s="40" t="s">
        <v>18</v>
      </c>
      <c r="DO1" s="40" t="s">
        <v>74</v>
      </c>
      <c r="DP1" s="40" t="s">
        <v>412</v>
      </c>
      <c r="DQ1" s="40" t="s">
        <v>164</v>
      </c>
      <c r="DR1" s="110" t="s">
        <v>438</v>
      </c>
      <c r="DS1" s="109" t="s">
        <v>474</v>
      </c>
      <c r="DT1" s="109" t="s">
        <v>439</v>
      </c>
      <c r="DU1" s="109" t="s">
        <v>475</v>
      </c>
      <c r="DV1" s="198" t="s">
        <v>441</v>
      </c>
      <c r="DW1" s="198" t="s">
        <v>440</v>
      </c>
      <c r="DX1" s="48" t="s">
        <v>442</v>
      </c>
      <c r="DY1" s="22" t="s">
        <v>233</v>
      </c>
      <c r="DZ1" s="22" t="s">
        <v>234</v>
      </c>
      <c r="EA1" s="46" t="s">
        <v>124</v>
      </c>
      <c r="EB1" s="186" t="s">
        <v>466</v>
      </c>
      <c r="EC1" s="186" t="s">
        <v>467</v>
      </c>
      <c r="ED1" s="186" t="s">
        <v>465</v>
      </c>
      <c r="EE1" s="186" t="s">
        <v>468</v>
      </c>
      <c r="EF1" s="186" t="s">
        <v>469</v>
      </c>
      <c r="EG1" s="46" t="s">
        <v>473</v>
      </c>
      <c r="EH1" s="46" t="s">
        <v>195</v>
      </c>
      <c r="EI1" s="69" t="s">
        <v>703</v>
      </c>
      <c r="EJ1" s="46" t="s">
        <v>354</v>
      </c>
      <c r="EK1" s="366" t="s">
        <v>705</v>
      </c>
      <c r="EL1" s="366" t="s">
        <v>706</v>
      </c>
      <c r="EM1" s="366" t="s">
        <v>704</v>
      </c>
      <c r="EN1" s="43" t="s">
        <v>395</v>
      </c>
      <c r="EO1" s="43" t="s">
        <v>396</v>
      </c>
      <c r="EP1" s="43" t="s">
        <v>167</v>
      </c>
      <c r="EQ1" s="101" t="s">
        <v>25</v>
      </c>
      <c r="ER1" t="s">
        <v>14</v>
      </c>
      <c r="ES1" t="s">
        <v>566</v>
      </c>
      <c r="ET1" t="s">
        <v>20</v>
      </c>
      <c r="EU1" t="s">
        <v>1</v>
      </c>
      <c r="EV1" t="s">
        <v>0</v>
      </c>
      <c r="EW1" t="s">
        <v>29</v>
      </c>
      <c r="EX1" t="s">
        <v>37</v>
      </c>
      <c r="EY1" t="s">
        <v>2</v>
      </c>
      <c r="EZ1" t="s">
        <v>3</v>
      </c>
      <c r="FA1" t="s">
        <v>81</v>
      </c>
      <c r="FB1" t="s">
        <v>567</v>
      </c>
      <c r="FC1" t="s">
        <v>580</v>
      </c>
      <c r="FD1" t="s">
        <v>30</v>
      </c>
      <c r="FE1" t="s">
        <v>581</v>
      </c>
      <c r="FF1" t="s">
        <v>582</v>
      </c>
      <c r="FG1" t="s">
        <v>4</v>
      </c>
      <c r="FH1" t="s">
        <v>6</v>
      </c>
      <c r="FI1" t="s">
        <v>702</v>
      </c>
      <c r="FJ1" t="s">
        <v>166</v>
      </c>
      <c r="FK1" t="s">
        <v>7</v>
      </c>
      <c r="FL1" t="s">
        <v>153</v>
      </c>
      <c r="FM1" t="s">
        <v>575</v>
      </c>
      <c r="FN1" t="s">
        <v>576</v>
      </c>
      <c r="FO1" t="s">
        <v>15</v>
      </c>
      <c r="FP1" t="s">
        <v>16</v>
      </c>
      <c r="FQ1" t="s">
        <v>578</v>
      </c>
      <c r="FR1" t="s">
        <v>577</v>
      </c>
      <c r="FS1" t="s">
        <v>10</v>
      </c>
      <c r="FT1" t="s">
        <v>8</v>
      </c>
      <c r="FU1" t="s">
        <v>9</v>
      </c>
      <c r="FV1" t="s">
        <v>11</v>
      </c>
      <c r="FW1" t="s">
        <v>17</v>
      </c>
      <c r="FX1" t="s">
        <v>176</v>
      </c>
      <c r="FY1" t="s">
        <v>177</v>
      </c>
      <c r="FZ1" t="s">
        <v>96</v>
      </c>
      <c r="GA1" t="s">
        <v>569</v>
      </c>
      <c r="GB1" t="s">
        <v>38</v>
      </c>
      <c r="GC1" t="s">
        <v>534</v>
      </c>
      <c r="GD1" t="s">
        <v>535</v>
      </c>
      <c r="GE1" t="s">
        <v>85</v>
      </c>
      <c r="GF1" t="s">
        <v>86</v>
      </c>
      <c r="GG1" t="s">
        <v>591</v>
      </c>
      <c r="GH1" t="s">
        <v>588</v>
      </c>
      <c r="GI1" t="s">
        <v>583</v>
      </c>
      <c r="GJ1" t="s">
        <v>12</v>
      </c>
      <c r="GK1" t="s">
        <v>5</v>
      </c>
      <c r="GL1" t="s">
        <v>95</v>
      </c>
      <c r="GM1" t="s">
        <v>154</v>
      </c>
      <c r="GN1" t="s">
        <v>18</v>
      </c>
      <c r="GO1" t="s">
        <v>572</v>
      </c>
    </row>
    <row r="2" spans="1:197" ht="24.95" customHeight="1" thickBot="1" x14ac:dyDescent="0.3">
      <c r="A2" s="29" t="str">
        <f t="shared" ref="A2:A65" si="0">ROW()-1 &amp; "º"</f>
        <v>1º</v>
      </c>
      <c r="B2" s="67" t="str">
        <f t="shared" ref="B2:B4" si="1">ET2</f>
        <v>Kaio Jorge</v>
      </c>
      <c r="C2" s="83" t="str">
        <f t="shared" ref="C2:C4" si="2">ES2</f>
        <v>BRA</v>
      </c>
      <c r="D2" s="28" t="str">
        <f t="shared" ref="D2:D4" si="3">EV2</f>
        <v>Cruzeiro</v>
      </c>
      <c r="E2" s="91" t="str">
        <f t="shared" ref="E2:E4" si="4">EX2</f>
        <v>Pé Direito</v>
      </c>
      <c r="F2" s="154">
        <f t="shared" ref="F2:F4" si="5">IFERROR(SUBSTITUTE(EW2," cm","")/100,0)</f>
        <v>1.82</v>
      </c>
      <c r="G2" s="138">
        <f t="shared" ref="G2:G4" si="6">IF(FA2="-", "Sem Data Final", FA2)</f>
        <v>47848</v>
      </c>
      <c r="H2" s="156">
        <f t="shared" ref="H2:H4" si="7">EU2</f>
        <v>24</v>
      </c>
      <c r="I2" s="189" t="str">
        <f t="shared" ref="I2:I4" si="8">EZ2</f>
        <v>59m € - 68m € p/m</v>
      </c>
      <c r="J2" s="175" t="str">
        <f t="shared" ref="J2:J4" si="9">EY2</f>
        <v>12M € - 20M €</v>
      </c>
      <c r="K2" s="89">
        <f>IFERROR(AVERAGE(L:L),0)</f>
        <v>35.459259259259262</v>
      </c>
      <c r="L2" s="134">
        <f t="shared" ref="L2:L4" si="10">IFERROR(FB2/90,0)</f>
        <v>42.277777777777779</v>
      </c>
      <c r="M2" s="134">
        <f t="shared" ref="M2:M4" si="11">IFERROR(IF(ISERROR(FIND("(",FC2)), VALUE(FC2), VALUE(LEFT(FC2,FIND("(",FC2)-2)) + VALUE(MID(FC2,FIND("(",FC2)+1,FIND(")",FC2)-FIND("(",FC2)-1))),0)</f>
        <v>48</v>
      </c>
      <c r="N2" s="134">
        <f t="shared" ref="N2:N4" si="12">IFERROR(FB2/M2,0)</f>
        <v>79.270833333333329</v>
      </c>
      <c r="O2" s="173">
        <f t="shared" ref="O2:O4" si="13">IFERROR(IF(ISERROR(FIND("(",FC2)), "100%", TEXT(VALUE(LEFT(FC2,FIND("(",FC2)-2)) / (VALUE(LEFT(FC2,FIND("(",FC2)-2)) + VALUE(MID(FC2,FIND("(",FC2)+1,FIND(")",FC2)-FIND("(",FC2)-1))),"0%")),0)*1</f>
        <v>0.9</v>
      </c>
      <c r="P2" s="2">
        <f t="shared" ref="P2:P4" si="14">FH2</f>
        <v>53</v>
      </c>
      <c r="Q2" s="5">
        <f t="shared" ref="Q2:Q4" si="15">IFERROR(FH2/FI2,0)</f>
        <v>0.31176470588235294</v>
      </c>
      <c r="R2" s="5">
        <f t="shared" ref="R2:R4" si="16">IFERROR(FE2/L2,0)</f>
        <v>0.49671484888304862</v>
      </c>
      <c r="S2" s="5">
        <f t="shared" ref="S2:S4" si="17">IFERROR((X2+Y2)/L2,0)</f>
        <v>0.59132720105124836</v>
      </c>
      <c r="T2" s="5">
        <f t="shared" ref="T2:T4" si="18">IFERROR((Y2)/L2,0)</f>
        <v>9.4612352168199729E-2</v>
      </c>
      <c r="U2" s="6">
        <f t="shared" ref="U2:U4" si="19">FD2</f>
        <v>4</v>
      </c>
      <c r="V2" s="24">
        <f t="shared" ref="V2:V4" si="20">IFERROR(FB2/U2,5000)</f>
        <v>951.25</v>
      </c>
      <c r="W2" s="21">
        <f t="shared" ref="W2:W4" si="21">IFERROR(U2/L2,0)</f>
        <v>9.4612352168199729E-2</v>
      </c>
      <c r="X2" s="420">
        <f t="shared" ref="X2:X4" si="22">FE2</f>
        <v>21</v>
      </c>
      <c r="Y2" s="402">
        <f t="shared" ref="Y2:Y4" si="23">FF2</f>
        <v>4</v>
      </c>
      <c r="Z2" s="402">
        <f t="shared" ref="Z2:Z4" si="24">IFERROR(X2+Y2,0)</f>
        <v>25</v>
      </c>
      <c r="AA2" s="325">
        <f t="shared" ref="AA2:AA4" si="25">FE2-GL2-GG2</f>
        <v>15</v>
      </c>
      <c r="AB2" s="325">
        <f t="shared" ref="AB2:AB4" si="26">GG2</f>
        <v>5</v>
      </c>
      <c r="AC2" s="326">
        <f t="shared" ref="AC2:AC4" si="27">AW2</f>
        <v>1</v>
      </c>
      <c r="AD2" s="403">
        <f t="shared" ref="AD2:AD4" si="28">IFERROR(FE2-GL2,0)</f>
        <v>20</v>
      </c>
      <c r="AE2" s="20">
        <f t="shared" ref="AE2:AE4" si="29">IFERROR((X2-AC2)/X2,0)</f>
        <v>0.95238095238095233</v>
      </c>
      <c r="AF2" s="20">
        <f t="shared" ref="AF2:AF4" si="30">IFERROR(Y2/Z2,0)</f>
        <v>0.16</v>
      </c>
      <c r="AG2" s="20">
        <f t="shared" ref="AG2:AG4" si="31">IFERROR((AW2*1)/Z2,0)</f>
        <v>0.04</v>
      </c>
      <c r="AH2" s="5">
        <f t="shared" ref="AH2:AH4" si="32">IFERROR(X2/L2,0)</f>
        <v>0.49671484888304862</v>
      </c>
      <c r="AI2" s="5">
        <f t="shared" ref="AI2:AI4" si="33">IFERROR(Y2/L2,0)</f>
        <v>9.4612352168199729E-2</v>
      </c>
      <c r="AJ2" s="5">
        <f t="shared" ref="AJ2:AJ4" si="34">IFERROR((FE2+FF2)/L2,0)</f>
        <v>0.59132720105124836</v>
      </c>
      <c r="AK2" s="5">
        <f t="shared" ref="AK2:AK4" si="35">IFERROR(AD2/L2,0)</f>
        <v>0.47306176084099866</v>
      </c>
      <c r="AL2" s="287">
        <f t="shared" ref="AL2:AL4" si="36">IFERROR(AA2/L2,0)</f>
        <v>0.35479632063074901</v>
      </c>
      <c r="AM2" s="287">
        <f t="shared" ref="AM2:AM4" si="37">IFERROR(AB2/L2,0)</f>
        <v>0.11826544021024966</v>
      </c>
      <c r="AN2" s="287">
        <f t="shared" ref="AN2:AN4" si="38">GH2</f>
        <v>1.1000000000000001</v>
      </c>
      <c r="AO2" s="21">
        <f t="shared" ref="AO2:AO4" si="39">IFERROR((AM2*1)/AN2,0)</f>
        <v>0.10751403655477242</v>
      </c>
      <c r="AP2" s="286">
        <f t="shared" ref="AP2:AP4" si="40">GE2-GC2</f>
        <v>0</v>
      </c>
      <c r="AQ2" s="287">
        <f t="shared" ref="AQ2:AQ4" si="41">AP2/L2</f>
        <v>0</v>
      </c>
      <c r="AR2" s="286">
        <f t="shared" ref="AR2:AR4" si="42">GF2-GD2</f>
        <v>0</v>
      </c>
      <c r="AS2" s="287">
        <f t="shared" ref="AS2:AS4" si="43">AR2/L2</f>
        <v>0</v>
      </c>
      <c r="AT2" s="290">
        <f t="shared" ref="AT2:AT4" si="44">IFERROR(AR2/AP2,)</f>
        <v>0</v>
      </c>
      <c r="AU2" s="298">
        <f t="shared" ref="AU2:AU4" si="45">GI2</f>
        <v>0</v>
      </c>
      <c r="AV2" s="286">
        <f t="shared" ref="AV2:AV4" si="46">GK2</f>
        <v>1</v>
      </c>
      <c r="AW2" s="286">
        <f t="shared" ref="AW2:AW4" si="47">GL2</f>
        <v>1</v>
      </c>
      <c r="AX2" s="301">
        <f t="shared" ref="AX2:AX4" si="48">IFERROR(GK2-GL2,0)</f>
        <v>0</v>
      </c>
      <c r="AY2" s="287">
        <f t="shared" ref="AY2:AY4" si="49">IFERROR(AW2/L2,0)</f>
        <v>2.3653088042049932E-2</v>
      </c>
      <c r="AZ2" s="20">
        <f t="shared" ref="AZ2:AZ4" si="50">IFERROR((AW2*1)/GK2,0.00001)</f>
        <v>1</v>
      </c>
      <c r="BA2" s="2">
        <f t="shared" ref="BA2:BA4" si="51">FV2</f>
        <v>262</v>
      </c>
      <c r="BB2" s="5">
        <f t="shared" ref="BB2:BB4" si="52">IFERROR(BA2/L2,0)</f>
        <v>6.1971090670170828</v>
      </c>
      <c r="BC2" s="2">
        <f t="shared" ref="BC2:BC4" si="53">FW2</f>
        <v>71</v>
      </c>
      <c r="BD2" s="5">
        <f t="shared" ref="BD2:BD4" si="54">IFERROR(BC2/L2,0)</f>
        <v>1.6793692509855453</v>
      </c>
      <c r="BE2" s="2">
        <f t="shared" ref="BE2:BE4" si="55">IFERROR(FV2-FW2,0)</f>
        <v>191</v>
      </c>
      <c r="BF2" s="5">
        <f t="shared" ref="BF2:BF4" si="56">IFERROR(BE2/L2,0)</f>
        <v>4.5177398160315372</v>
      </c>
      <c r="BG2" s="99">
        <f t="shared" ref="BG2:BG4" si="57">IFERROR(BC2/BA2,0)</f>
        <v>0.27099236641221375</v>
      </c>
      <c r="BH2" s="99">
        <f t="shared" ref="BH2:BH4" si="58">IFERROR(BE2/BA2,0)</f>
        <v>0.72900763358778631</v>
      </c>
      <c r="BI2" s="413">
        <f t="shared" ref="BI2:BI4" si="59">(BC2/BA2)*SQRT(BC2)</f>
        <v>2.2834222667767996</v>
      </c>
      <c r="BJ2" s="310">
        <f t="shared" ref="BJ2:BJ4" si="60">GJ2</f>
        <v>55</v>
      </c>
      <c r="BK2" s="287">
        <f t="shared" ref="BK2:BK4" si="61">IFERROR(GJ2/L2,0)</f>
        <v>1.3009198423127464</v>
      </c>
      <c r="BL2" s="6">
        <f t="shared" ref="BL2:BL4" si="62">FT2</f>
        <v>145</v>
      </c>
      <c r="BM2" s="5">
        <f t="shared" ref="BM2:BM4" si="63">IFERROR(BL2/L2,0)</f>
        <v>3.4296977660972403</v>
      </c>
      <c r="BN2" s="6">
        <f t="shared" ref="BN2:BN4" si="64">FT2-FU2</f>
        <v>70</v>
      </c>
      <c r="BO2" s="5">
        <f t="shared" ref="BO2:BO4" si="65">BN2/L2</f>
        <v>1.6557161629434953</v>
      </c>
      <c r="BP2" s="6">
        <f t="shared" ref="BP2:BP4" si="66">FU2</f>
        <v>75</v>
      </c>
      <c r="BQ2" s="5">
        <f t="shared" ref="BQ2:BQ4" si="67">IFERROR(BP2/L2,0)</f>
        <v>1.773981603153745</v>
      </c>
      <c r="BR2" s="6">
        <f t="shared" ref="BR2:BR4" si="68">FU2-FE2</f>
        <v>54</v>
      </c>
      <c r="BS2" s="5">
        <f t="shared" ref="BS2:BS4" si="69">IFERROR(BR2/L2,0)</f>
        <v>1.2772667542706964</v>
      </c>
      <c r="BT2" s="21">
        <f t="shared" ref="BT2:BT4" si="70">IFERROR((FU2*1)/FT2,0)</f>
        <v>0.51724137931034486</v>
      </c>
      <c r="BU2" s="364">
        <f t="shared" ref="BU2:BU4" si="71">IFERROR((FT2-GK2)/(FE2-GL2),100)</f>
        <v>7.2</v>
      </c>
      <c r="BV2" s="5">
        <f t="shared" ref="BV2:BV4" si="72">IFERROR((FU2-GK2)/(FE2-GL2),0)</f>
        <v>3.7</v>
      </c>
      <c r="BW2" s="5">
        <f t="shared" ref="BW2:BW4" si="73">IFERROR((FT2+FV2-GK2)/(FE2-GL2),0)</f>
        <v>20.3</v>
      </c>
      <c r="BX2" s="99">
        <f t="shared" ref="BX2:BX4" si="74">IFERROR((FE2-GL2)/(FT2-GK2),0)</f>
        <v>0.1388888888888889</v>
      </c>
      <c r="BY2" s="367">
        <f t="shared" ref="BY2:BY4" si="75">IFERROR(((AD2/CL2)*(CK2+CO2))*(AJ2+CQ2),0)</f>
        <v>0.69615643945541616</v>
      </c>
      <c r="BZ2" s="5">
        <f t="shared" ref="BZ2:BZ4" si="76">IFERROR(CJ2/(L2),0)</f>
        <v>0.4077792378449408</v>
      </c>
      <c r="CA2" s="5">
        <f t="shared" ref="CA2:CA4" si="77">IFERROR(FE2/L2,0)</f>
        <v>0.49671484888304862</v>
      </c>
      <c r="CB2" s="259">
        <f t="shared" ref="CB2:CB4" si="78">IFERROR(CA2-BZ2,0)</f>
        <v>8.893561103810782E-2</v>
      </c>
      <c r="CC2" s="258">
        <f t="shared" ref="CC2:CC4" si="79">IFERROR(CL2/(FT2-GK2),0)</f>
        <v>0.11423611111111111</v>
      </c>
      <c r="CD2" s="5">
        <f t="shared" ref="CD2:CD4" si="80">IFERROR(FB2/FT2,0)</f>
        <v>26.241379310344829</v>
      </c>
      <c r="CE2" s="5">
        <f t="shared" ref="CE2:CE4" si="81">IFERROR(FB2/FU2,0)</f>
        <v>50.733333333333334</v>
      </c>
      <c r="CF2" s="5">
        <f t="shared" ref="CF2:CF4" si="82">IFERROR(FB2/FE2,L2*90)</f>
        <v>181.1904761904762</v>
      </c>
      <c r="CG2" s="5">
        <f t="shared" ref="CG2:CG4" si="83">IFERROR(FB2/Z2,300)</f>
        <v>152.19999999999999</v>
      </c>
      <c r="CH2" s="5">
        <f t="shared" ref="CH2:CH4" si="84">IFERROR(FE2-CJ2,0)</f>
        <v>3.7600000000000016</v>
      </c>
      <c r="CI2" s="5">
        <f t="shared" ref="CI2:CI4" si="85">IFERROR((FE2-GL2)-CL2,0)</f>
        <v>3.5500000000000007</v>
      </c>
      <c r="CJ2" s="5">
        <f t="shared" ref="CJ2:CJ4" si="86">SUBSTITUTE(FK2,".","," )*1</f>
        <v>17.239999999999998</v>
      </c>
      <c r="CK2" s="5">
        <f t="shared" ref="CK2:CK4" si="87">IFERROR(CJ2/L2,0)</f>
        <v>0.4077792378449408</v>
      </c>
      <c r="CL2" s="5">
        <f t="shared" ref="CL2:CL4" si="88">IFERROR(CJ2-(GK2*0.79),0)</f>
        <v>16.45</v>
      </c>
      <c r="CM2" s="5">
        <f t="shared" ref="CM2:CM4" si="89">IFERROR((CL2/L2),0)</f>
        <v>0.3890932982917214</v>
      </c>
      <c r="CN2" s="5">
        <f t="shared" ref="CN2:CN4" si="90">SUBSTITUTE(FL2,".","," )*1</f>
        <v>4.8600000000000003</v>
      </c>
      <c r="CO2" s="5">
        <f t="shared" ref="CO2:CO4" si="91">IFERROR(CN2/L2,0)</f>
        <v>0.11495400788436269</v>
      </c>
      <c r="CP2" s="5">
        <f t="shared" ref="CP2:CP4" si="92">IFERROR(CN2+CL2,0)</f>
        <v>21.31</v>
      </c>
      <c r="CQ2" s="5">
        <f t="shared" ref="CQ2:CQ4" si="93">IFERROR(CP2/L2,0)</f>
        <v>0.50404730617608406</v>
      </c>
      <c r="CR2" s="21">
        <f t="shared" ref="CR2:CR4" si="94">FE2/(FE2+CJ2)</f>
        <v>0.54916317991631802</v>
      </c>
      <c r="CS2" s="6">
        <f t="shared" ref="CS2:CS4" si="95">FQ2</f>
        <v>57</v>
      </c>
      <c r="CT2" s="5">
        <f t="shared" ref="CT2:CT4" si="96">IFERROR(CS2/L2,0)</f>
        <v>1.3482260183968462</v>
      </c>
      <c r="CU2" s="5">
        <f t="shared" ref="CU2:CU4" si="97">CN2</f>
        <v>4.8600000000000003</v>
      </c>
      <c r="CV2" s="5">
        <f t="shared" ref="CV2:CV4" si="98">IFERROR(CN2-FF2,0)</f>
        <v>0.86000000000000032</v>
      </c>
      <c r="CW2" s="6">
        <f t="shared" ref="CW2:CW4" si="99">GC2</f>
        <v>18</v>
      </c>
      <c r="CX2" s="5">
        <f t="shared" ref="CX2:CX4" si="100">CW2/L2</f>
        <v>0.42575558475689879</v>
      </c>
      <c r="CY2" s="6">
        <f t="shared" ref="CY2:CY4" si="101">GD2</f>
        <v>7</v>
      </c>
      <c r="CZ2" s="5">
        <f t="shared" ref="CZ2:CZ4" si="102">CY2/L2</f>
        <v>0.16557161629434955</v>
      </c>
      <c r="DA2" s="21">
        <f t="shared" ref="DA2:DA4" si="103">IFERROR(CY2/CW2,0)</f>
        <v>0.3888888888888889</v>
      </c>
      <c r="DB2" s="312">
        <f t="shared" ref="DB2:DB4" si="104">FS2</f>
        <v>29</v>
      </c>
      <c r="DC2" s="313">
        <f t="shared" ref="DC2:DC4" si="105">IFERROR(FS2/L2,0)</f>
        <v>0.68593955321944811</v>
      </c>
      <c r="DD2" s="194">
        <f t="shared" ref="DD2:DD4" si="106">IFERROR(DN2/(FB2/60),0)</f>
        <v>7.1716162943495405</v>
      </c>
      <c r="DE2" s="2">
        <f t="shared" ref="DE2:DE4" si="107">FX2+FZ2+FM2</f>
        <v>121</v>
      </c>
      <c r="DF2" s="5">
        <f t="shared" ref="DF2:DF4" si="108">IFERROR(DE2/L2,0)</f>
        <v>2.8620236530880421</v>
      </c>
      <c r="DG2" s="2">
        <f t="shared" ref="DG2:DG4" si="109">IFERROR(GA2+FY2,0)</f>
        <v>21</v>
      </c>
      <c r="DH2" s="5">
        <f t="shared" ref="DH2:DH4" si="110">IFERROR(DG2/L2,0)</f>
        <v>0.49671484888304862</v>
      </c>
      <c r="DI2" s="99">
        <f t="shared" ref="DI2:DI4" si="111">IFERROR((DG2*1)/DE2,)</f>
        <v>0.17355371900826447</v>
      </c>
      <c r="DJ2" s="6">
        <f t="shared" ref="DJ2:DJ4" si="112">GB2</f>
        <v>30</v>
      </c>
      <c r="DK2" s="5">
        <f t="shared" ref="DK2:DK4" si="113">IFERROR(DJ2/L2,0)</f>
        <v>0.70959264126149801</v>
      </c>
      <c r="DL2" s="6">
        <f t="shared" ref="DL2:DL4" si="114">FN2</f>
        <v>63</v>
      </c>
      <c r="DM2" s="5">
        <f t="shared" ref="DM2:DM4" si="115">IFERROR(DL2/L2,0)</f>
        <v>1.4901445466491459</v>
      </c>
      <c r="DN2" s="5">
        <f t="shared" ref="DN2:DN4" si="116">VALUE(SUBSTITUTE(GN2, " km", ""))</f>
        <v>454.8</v>
      </c>
      <c r="DO2" s="5">
        <f t="shared" ref="DO2:DO4" si="117">IFERROR(DN2/L2,0)</f>
        <v>10.757424441524311</v>
      </c>
      <c r="DP2" s="286">
        <f t="shared" ref="DP2:DP4" si="118">IFERROR((GM2*L2),0)</f>
        <v>266.35000000000002</v>
      </c>
      <c r="DQ2" s="311">
        <f t="shared" ref="DQ2:DQ4" si="119">GM2</f>
        <v>6.3</v>
      </c>
      <c r="DR2" s="6">
        <f t="shared" ref="DR2:DR4" si="120">(FV2+FT2+GJ2+FM2+FN2+FS2+FQ2+GK2+CJ2)</f>
        <v>684.24</v>
      </c>
      <c r="DS2" s="5">
        <f t="shared" ref="DS2:DS4" si="121">IFERROR(DR2/L2,0)</f>
        <v>16.184388961892246</v>
      </c>
      <c r="DT2" s="6">
        <f t="shared" ref="DT2:DT4" si="122">(FU2+FN2+FS2+FQ2+GL2+(FE2*2)+(FF2*2))</f>
        <v>275</v>
      </c>
      <c r="DU2" s="5">
        <f t="shared" ref="DU2:DU4" si="123">IFERROR(DT2/L2,0)</f>
        <v>6.5045992115637317</v>
      </c>
      <c r="DV2" s="195">
        <f t="shared" ref="DV2:DV4" si="124">DW2*L2</f>
        <v>460.82777777777778</v>
      </c>
      <c r="DW2" s="5">
        <f t="shared" ref="DW2:DW4" si="125">FJ2</f>
        <v>10.9</v>
      </c>
      <c r="DX2" s="21">
        <f t="shared" ref="DX2:DX4" si="126">IFERROR(DT2/DR2,0)</f>
        <v>0.40190576405939438</v>
      </c>
      <c r="DY2" s="6">
        <f t="shared" ref="DY2:DY4" si="127">IFERROR(FU2+CN2+FG2+FQ2+GG2+GD2+(FE2*0.5)+(FF2*0.5),0)</f>
        <v>175.36</v>
      </c>
      <c r="DZ2" s="5">
        <f t="shared" ref="DZ2:DZ4" si="128">IFERROR(DY2/L2,0)</f>
        <v>4.1478055190538763</v>
      </c>
      <c r="EA2" s="5">
        <f t="shared" ref="EA2:EA4" si="129">IFERROR((GK2+FV2+FT2+FS2+FO2+GA2)/L2,0)</f>
        <v>39.216819973718792</v>
      </c>
      <c r="EB2" s="167">
        <f t="shared" ref="EB2:EB4" si="130">IFERROR(GC2+FT2+FS2+FQ2,0)</f>
        <v>249</v>
      </c>
      <c r="EC2" s="5">
        <f t="shared" ref="EC2:EC4" si="131">EB2/L2</f>
        <v>5.8896189224704338</v>
      </c>
      <c r="ED2" s="6">
        <f t="shared" ref="ED2:ED4" si="132">IFERROR(GD2+FU2+FS2+FQ2,0)</f>
        <v>168</v>
      </c>
      <c r="EE2" s="5">
        <f t="shared" ref="EE2:EE4" si="133">IFERROR(ED2/L2,0)</f>
        <v>3.973718791064389</v>
      </c>
      <c r="EF2" s="21">
        <f t="shared" ref="EF2:EF4" si="134">IFERROR(ED2/EB2,0)</f>
        <v>0.67469879518072284</v>
      </c>
      <c r="EG2" s="6">
        <f t="shared" ref="EG2:EG4" si="135">IFERROR((FS2+FT2+(FG2-GK2)+FQ2+DE2+GD2),0)</f>
        <v>372</v>
      </c>
      <c r="EH2" s="5">
        <f t="shared" ref="EH2:EH4" si="136">IFERROR(EG2/L2,0)</f>
        <v>8.7989487516425751</v>
      </c>
      <c r="EI2" s="6">
        <f t="shared" ref="EI2:EI4" si="137">IFERROR((FT2+FG2+FQ2),0)</f>
        <v>216</v>
      </c>
      <c r="EJ2" s="5">
        <f t="shared" ref="EJ2:EJ4" si="138">IFERROR(EI2/L2,0)</f>
        <v>5.1090670170827854</v>
      </c>
      <c r="EK2" s="367">
        <f t="shared" ref="EK2:EK4" si="139">((((FE2-GL2)*10)+(FU2*5)+(DO2*6)+(CL2*8)+(CN2*6))/(L2))*SQRT(FB2/900)</f>
        <v>38.922363867874815</v>
      </c>
      <c r="EL2" s="367">
        <f t="shared" ref="EL2:EL4" si="140">(((FT2*2.5)+(FU2*6)+((FU2/FT2)*12)+(CJ2*3)+((FE2-GL2)*2)+(FG2*8))/(L2))*SQRT(FB2/900)</f>
        <v>49.725160081259034</v>
      </c>
      <c r="EM2" s="368">
        <f t="shared" ref="EM2:EM4" si="141">(EK2*0.4)+(EL2*0.6)</f>
        <v>45.404041595905341</v>
      </c>
      <c r="EN2" s="6">
        <f t="shared" ref="EN2:EN4" si="142">IFERROR((FT2-FU2)+(FO2-FP2),0)</f>
        <v>194</v>
      </c>
      <c r="EO2" s="5">
        <f t="shared" ref="EO2:EO4" si="143">IFERROR(EN2/L2,0)</f>
        <v>4.5886990801576868</v>
      </c>
      <c r="EP2" s="5">
        <f t="shared" ref="EP2:EP4" si="144">FJ2</f>
        <v>10.9</v>
      </c>
      <c r="EQ2" s="5">
        <f t="shared" ref="EQ2:EQ4" si="145">IFERROR(VALUE(SUBSTITUTE(GO2, ".", ",")),0)</f>
        <v>7.03</v>
      </c>
      <c r="ER2" t="s">
        <v>19</v>
      </c>
      <c r="ES2" t="s">
        <v>13</v>
      </c>
      <c r="ET2" t="s">
        <v>1079</v>
      </c>
      <c r="EU2">
        <v>24</v>
      </c>
      <c r="EV2" t="s">
        <v>1080</v>
      </c>
      <c r="EW2" t="s">
        <v>963</v>
      </c>
      <c r="EX2" t="s">
        <v>573</v>
      </c>
      <c r="EY2" t="s">
        <v>1081</v>
      </c>
      <c r="EZ2" t="s">
        <v>1082</v>
      </c>
      <c r="FA2" s="430">
        <v>47848</v>
      </c>
      <c r="FB2">
        <v>3805</v>
      </c>
      <c r="FC2" t="s">
        <v>1083</v>
      </c>
      <c r="FD2">
        <v>4</v>
      </c>
      <c r="FE2">
        <v>21</v>
      </c>
      <c r="FF2">
        <v>4</v>
      </c>
      <c r="FG2">
        <v>14</v>
      </c>
      <c r="FH2">
        <v>53</v>
      </c>
      <c r="FI2">
        <v>170</v>
      </c>
      <c r="FJ2">
        <v>10.9</v>
      </c>
      <c r="FK2" t="s">
        <v>1084</v>
      </c>
      <c r="FL2" t="s">
        <v>1085</v>
      </c>
      <c r="FM2">
        <v>55</v>
      </c>
      <c r="FN2">
        <v>63</v>
      </c>
      <c r="FO2">
        <v>1214</v>
      </c>
      <c r="FP2">
        <v>1090</v>
      </c>
      <c r="FQ2">
        <v>57</v>
      </c>
      <c r="FR2">
        <v>37</v>
      </c>
      <c r="FS2">
        <v>29</v>
      </c>
      <c r="FT2">
        <v>145</v>
      </c>
      <c r="FU2">
        <v>75</v>
      </c>
      <c r="FV2">
        <v>262</v>
      </c>
      <c r="FW2">
        <v>71</v>
      </c>
      <c r="FX2">
        <v>59</v>
      </c>
      <c r="FY2">
        <v>14</v>
      </c>
      <c r="FZ2">
        <v>7</v>
      </c>
      <c r="GA2">
        <v>7</v>
      </c>
      <c r="GB2">
        <v>30</v>
      </c>
      <c r="GC2">
        <v>18</v>
      </c>
      <c r="GD2">
        <v>7</v>
      </c>
      <c r="GE2">
        <v>18</v>
      </c>
      <c r="GF2">
        <v>7</v>
      </c>
      <c r="GG2">
        <v>5</v>
      </c>
      <c r="GH2">
        <v>1.1000000000000001</v>
      </c>
      <c r="GI2">
        <v>0</v>
      </c>
      <c r="GJ2">
        <v>55</v>
      </c>
      <c r="GK2">
        <v>1</v>
      </c>
      <c r="GL2">
        <v>1</v>
      </c>
      <c r="GM2">
        <v>6.3</v>
      </c>
      <c r="GN2" t="s">
        <v>1086</v>
      </c>
      <c r="GO2">
        <v>7.03</v>
      </c>
    </row>
    <row r="3" spans="1:197" ht="24.95" customHeight="1" thickBot="1" x14ac:dyDescent="0.3">
      <c r="A3" s="29" t="str">
        <f t="shared" si="0"/>
        <v>2º</v>
      </c>
      <c r="B3" s="67" t="str">
        <f t="shared" si="1"/>
        <v>Arthur Cabral</v>
      </c>
      <c r="C3" s="83" t="str">
        <f t="shared" si="2"/>
        <v>BRA</v>
      </c>
      <c r="D3" s="28" t="str">
        <f t="shared" si="3"/>
        <v>Botafogo</v>
      </c>
      <c r="E3" s="91" t="str">
        <f t="shared" si="4"/>
        <v>Pé Direito</v>
      </c>
      <c r="F3" s="154">
        <f t="shared" si="5"/>
        <v>1.86</v>
      </c>
      <c r="G3" s="138">
        <f t="shared" si="6"/>
        <v>47118</v>
      </c>
      <c r="H3" s="156">
        <f t="shared" si="7"/>
        <v>28</v>
      </c>
      <c r="I3" s="189" t="str">
        <f t="shared" si="8"/>
        <v>282m € - 325m € p/m</v>
      </c>
      <c r="J3" s="175" t="str">
        <f t="shared" si="9"/>
        <v>18M €</v>
      </c>
      <c r="K3" s="89">
        <f>IFERROR(AVERAGE(L:L),0)</f>
        <v>35.459259259259262</v>
      </c>
      <c r="L3" s="134">
        <f t="shared" si="10"/>
        <v>37.222222222222221</v>
      </c>
      <c r="M3" s="134">
        <f t="shared" si="11"/>
        <v>59</v>
      </c>
      <c r="N3" s="134">
        <f t="shared" si="12"/>
        <v>56.779661016949156</v>
      </c>
      <c r="O3" s="173">
        <f t="shared" si="13"/>
        <v>0.75</v>
      </c>
      <c r="P3" s="2">
        <f t="shared" si="14"/>
        <v>96</v>
      </c>
      <c r="Q3" s="5">
        <f t="shared" si="15"/>
        <v>0.32323232323232326</v>
      </c>
      <c r="R3" s="5">
        <f t="shared" si="16"/>
        <v>0.45671641791044776</v>
      </c>
      <c r="S3" s="5">
        <f t="shared" si="17"/>
        <v>0.53731343283582089</v>
      </c>
      <c r="T3" s="5">
        <f t="shared" si="18"/>
        <v>8.0597014925373134E-2</v>
      </c>
      <c r="U3" s="6">
        <f t="shared" si="19"/>
        <v>1</v>
      </c>
      <c r="V3" s="24">
        <f t="shared" si="20"/>
        <v>3350</v>
      </c>
      <c r="W3" s="21">
        <f t="shared" si="21"/>
        <v>2.6865671641791045E-2</v>
      </c>
      <c r="X3" s="420">
        <f t="shared" si="22"/>
        <v>17</v>
      </c>
      <c r="Y3" s="402">
        <f t="shared" si="23"/>
        <v>3</v>
      </c>
      <c r="Z3" s="402">
        <f t="shared" si="24"/>
        <v>20</v>
      </c>
      <c r="AA3" s="325">
        <f t="shared" si="25"/>
        <v>16</v>
      </c>
      <c r="AB3" s="325">
        <f t="shared" si="26"/>
        <v>1</v>
      </c>
      <c r="AC3" s="326">
        <f t="shared" si="27"/>
        <v>0</v>
      </c>
      <c r="AD3" s="403">
        <f t="shared" si="28"/>
        <v>17</v>
      </c>
      <c r="AE3" s="20">
        <f t="shared" si="29"/>
        <v>1</v>
      </c>
      <c r="AF3" s="20">
        <f t="shared" si="30"/>
        <v>0.15</v>
      </c>
      <c r="AG3" s="20">
        <f t="shared" si="31"/>
        <v>0</v>
      </c>
      <c r="AH3" s="5">
        <f t="shared" si="32"/>
        <v>0.45671641791044776</v>
      </c>
      <c r="AI3" s="5">
        <f t="shared" si="33"/>
        <v>8.0597014925373134E-2</v>
      </c>
      <c r="AJ3" s="5">
        <f t="shared" si="34"/>
        <v>0.53731343283582089</v>
      </c>
      <c r="AK3" s="5">
        <f t="shared" si="35"/>
        <v>0.45671641791044776</v>
      </c>
      <c r="AL3" s="287">
        <f t="shared" si="36"/>
        <v>0.42985074626865671</v>
      </c>
      <c r="AM3" s="287">
        <f t="shared" si="37"/>
        <v>2.6865671641791045E-2</v>
      </c>
      <c r="AN3" s="287">
        <f t="shared" si="38"/>
        <v>0.8</v>
      </c>
      <c r="AO3" s="21">
        <f t="shared" si="39"/>
        <v>3.3582089552238806E-2</v>
      </c>
      <c r="AP3" s="286">
        <f t="shared" si="40"/>
        <v>0</v>
      </c>
      <c r="AQ3" s="287">
        <f t="shared" si="41"/>
        <v>0</v>
      </c>
      <c r="AR3" s="286">
        <f t="shared" si="42"/>
        <v>0</v>
      </c>
      <c r="AS3" s="287">
        <f t="shared" si="43"/>
        <v>0</v>
      </c>
      <c r="AT3" s="290">
        <f t="shared" si="44"/>
        <v>0</v>
      </c>
      <c r="AU3" s="298">
        <f t="shared" si="45"/>
        <v>0</v>
      </c>
      <c r="AV3" s="286">
        <f t="shared" si="46"/>
        <v>0</v>
      </c>
      <c r="AW3" s="286">
        <f t="shared" si="47"/>
        <v>0</v>
      </c>
      <c r="AX3" s="301">
        <f t="shared" si="48"/>
        <v>0</v>
      </c>
      <c r="AY3" s="287">
        <f t="shared" si="49"/>
        <v>0</v>
      </c>
      <c r="AZ3" s="20">
        <f t="shared" si="50"/>
        <v>1.0000000000000001E-5</v>
      </c>
      <c r="BA3" s="2">
        <f t="shared" si="51"/>
        <v>301</v>
      </c>
      <c r="BB3" s="5">
        <f t="shared" si="52"/>
        <v>8.0865671641791046</v>
      </c>
      <c r="BC3" s="2">
        <f t="shared" si="53"/>
        <v>129</v>
      </c>
      <c r="BD3" s="5">
        <f t="shared" si="54"/>
        <v>3.4656716417910447</v>
      </c>
      <c r="BE3" s="2">
        <f t="shared" si="55"/>
        <v>172</v>
      </c>
      <c r="BF3" s="5">
        <f t="shared" si="56"/>
        <v>4.6208955223880599</v>
      </c>
      <c r="BG3" s="99">
        <f t="shared" si="57"/>
        <v>0.42857142857142855</v>
      </c>
      <c r="BH3" s="99">
        <f t="shared" si="58"/>
        <v>0.5714285714285714</v>
      </c>
      <c r="BI3" s="413">
        <f t="shared" si="59"/>
        <v>4.8676357249716631</v>
      </c>
      <c r="BJ3" s="310">
        <f t="shared" si="60"/>
        <v>21</v>
      </c>
      <c r="BK3" s="287">
        <f t="shared" si="61"/>
        <v>0.56417910447761199</v>
      </c>
      <c r="BL3" s="6">
        <f t="shared" si="62"/>
        <v>87</v>
      </c>
      <c r="BM3" s="5">
        <f t="shared" si="63"/>
        <v>2.3373134328358209</v>
      </c>
      <c r="BN3" s="6">
        <f t="shared" si="64"/>
        <v>44</v>
      </c>
      <c r="BO3" s="5">
        <f t="shared" si="65"/>
        <v>1.182089552238806</v>
      </c>
      <c r="BP3" s="6">
        <f t="shared" si="66"/>
        <v>43</v>
      </c>
      <c r="BQ3" s="5">
        <f t="shared" si="67"/>
        <v>1.155223880597015</v>
      </c>
      <c r="BR3" s="6">
        <f t="shared" si="68"/>
        <v>26</v>
      </c>
      <c r="BS3" s="5">
        <f t="shared" si="69"/>
        <v>0.69850746268656716</v>
      </c>
      <c r="BT3" s="21">
        <f t="shared" si="70"/>
        <v>0.4942528735632184</v>
      </c>
      <c r="BU3" s="364">
        <f t="shared" si="71"/>
        <v>5.117647058823529</v>
      </c>
      <c r="BV3" s="5">
        <f t="shared" si="72"/>
        <v>2.5294117647058822</v>
      </c>
      <c r="BW3" s="5">
        <f t="shared" si="73"/>
        <v>22.823529411764707</v>
      </c>
      <c r="BX3" s="99">
        <f t="shared" si="74"/>
        <v>0.19540229885057472</v>
      </c>
      <c r="BY3" s="367">
        <f t="shared" si="75"/>
        <v>0.57399682247426076</v>
      </c>
      <c r="BZ3" s="5">
        <f t="shared" si="76"/>
        <v>0.2471641791044776</v>
      </c>
      <c r="CA3" s="5">
        <f t="shared" si="77"/>
        <v>0.45671641791044776</v>
      </c>
      <c r="CB3" s="259">
        <f t="shared" si="78"/>
        <v>0.20955223880597015</v>
      </c>
      <c r="CC3" s="258">
        <f t="shared" si="79"/>
        <v>0.10574712643678161</v>
      </c>
      <c r="CD3" s="5">
        <f t="shared" si="80"/>
        <v>38.505747126436781</v>
      </c>
      <c r="CE3" s="5">
        <f t="shared" si="81"/>
        <v>77.906976744186053</v>
      </c>
      <c r="CF3" s="5">
        <f t="shared" si="82"/>
        <v>197.05882352941177</v>
      </c>
      <c r="CG3" s="5">
        <f t="shared" si="83"/>
        <v>167.5</v>
      </c>
      <c r="CH3" s="5">
        <f t="shared" si="84"/>
        <v>7.8000000000000007</v>
      </c>
      <c r="CI3" s="5">
        <f t="shared" si="85"/>
        <v>7.8000000000000007</v>
      </c>
      <c r="CJ3" s="5">
        <f t="shared" si="86"/>
        <v>9.1999999999999993</v>
      </c>
      <c r="CK3" s="5">
        <f t="shared" si="87"/>
        <v>0.2471641791044776</v>
      </c>
      <c r="CL3" s="5">
        <f t="shared" si="88"/>
        <v>9.1999999999999993</v>
      </c>
      <c r="CM3" s="5">
        <f t="shared" si="89"/>
        <v>0.2471641791044776</v>
      </c>
      <c r="CN3" s="5">
        <f t="shared" si="90"/>
        <v>3.83</v>
      </c>
      <c r="CO3" s="5">
        <f t="shared" si="91"/>
        <v>0.10289552238805971</v>
      </c>
      <c r="CP3" s="5">
        <f t="shared" si="92"/>
        <v>13.03</v>
      </c>
      <c r="CQ3" s="5">
        <f t="shared" si="93"/>
        <v>0.35005970149253729</v>
      </c>
      <c r="CR3" s="21">
        <f t="shared" si="94"/>
        <v>0.64885496183206104</v>
      </c>
      <c r="CS3" s="6">
        <f t="shared" si="95"/>
        <v>44</v>
      </c>
      <c r="CT3" s="5">
        <f t="shared" si="96"/>
        <v>1.182089552238806</v>
      </c>
      <c r="CU3" s="5">
        <f t="shared" si="97"/>
        <v>3.83</v>
      </c>
      <c r="CV3" s="5">
        <f t="shared" si="98"/>
        <v>0.83000000000000007</v>
      </c>
      <c r="CW3" s="6">
        <f t="shared" si="99"/>
        <v>22</v>
      </c>
      <c r="CX3" s="5">
        <f t="shared" si="100"/>
        <v>0.59104477611940298</v>
      </c>
      <c r="CY3" s="6">
        <f t="shared" si="101"/>
        <v>6</v>
      </c>
      <c r="CZ3" s="5">
        <f t="shared" si="102"/>
        <v>0.16119402985074627</v>
      </c>
      <c r="DA3" s="21">
        <f t="shared" si="103"/>
        <v>0.27272727272727271</v>
      </c>
      <c r="DB3" s="312">
        <f t="shared" si="104"/>
        <v>18</v>
      </c>
      <c r="DC3" s="313">
        <f t="shared" si="105"/>
        <v>0.4835820895522388</v>
      </c>
      <c r="DD3" s="194">
        <f t="shared" si="106"/>
        <v>6.9743283582089548</v>
      </c>
      <c r="DE3" s="2">
        <f t="shared" si="107"/>
        <v>148</v>
      </c>
      <c r="DF3" s="5">
        <f t="shared" si="108"/>
        <v>3.9761194029850748</v>
      </c>
      <c r="DG3" s="2">
        <f t="shared" si="109"/>
        <v>35</v>
      </c>
      <c r="DH3" s="5">
        <f t="shared" si="110"/>
        <v>0.94029850746268662</v>
      </c>
      <c r="DI3" s="99">
        <f t="shared" si="111"/>
        <v>0.23648648648648649</v>
      </c>
      <c r="DJ3" s="6">
        <f t="shared" si="112"/>
        <v>28</v>
      </c>
      <c r="DK3" s="5">
        <f t="shared" si="113"/>
        <v>0.75223880597014925</v>
      </c>
      <c r="DL3" s="6">
        <f t="shared" si="114"/>
        <v>65</v>
      </c>
      <c r="DM3" s="5">
        <f t="shared" si="115"/>
        <v>1.7462686567164178</v>
      </c>
      <c r="DN3" s="5">
        <f t="shared" si="116"/>
        <v>389.4</v>
      </c>
      <c r="DO3" s="5">
        <f t="shared" si="117"/>
        <v>10.461492537313433</v>
      </c>
      <c r="DP3" s="286">
        <f t="shared" si="118"/>
        <v>249.38888888888889</v>
      </c>
      <c r="DQ3" s="311">
        <f t="shared" si="119"/>
        <v>6.7</v>
      </c>
      <c r="DR3" s="6">
        <f t="shared" si="120"/>
        <v>574.20000000000005</v>
      </c>
      <c r="DS3" s="5">
        <f t="shared" si="121"/>
        <v>15.42626865671642</v>
      </c>
      <c r="DT3" s="6">
        <f t="shared" si="122"/>
        <v>210</v>
      </c>
      <c r="DU3" s="5">
        <f t="shared" si="123"/>
        <v>5.6417910447761193</v>
      </c>
      <c r="DV3" s="195">
        <f t="shared" si="124"/>
        <v>480.16666666666669</v>
      </c>
      <c r="DW3" s="5">
        <f t="shared" si="125"/>
        <v>12.9</v>
      </c>
      <c r="DX3" s="21">
        <f t="shared" si="126"/>
        <v>0.36572622779519326</v>
      </c>
      <c r="DY3" s="6">
        <f t="shared" si="127"/>
        <v>113.83</v>
      </c>
      <c r="DZ3" s="5">
        <f t="shared" si="128"/>
        <v>3.0581194029850747</v>
      </c>
      <c r="EA3" s="5">
        <f t="shared" si="129"/>
        <v>39.170149253731346</v>
      </c>
      <c r="EB3" s="167">
        <f t="shared" si="130"/>
        <v>171</v>
      </c>
      <c r="EC3" s="5">
        <f t="shared" si="131"/>
        <v>4.5940298507462689</v>
      </c>
      <c r="ED3" s="6">
        <f t="shared" si="132"/>
        <v>111</v>
      </c>
      <c r="EE3" s="5">
        <f t="shared" si="133"/>
        <v>2.982089552238806</v>
      </c>
      <c r="EF3" s="21">
        <f t="shared" si="134"/>
        <v>0.64912280701754388</v>
      </c>
      <c r="EG3" s="6">
        <f t="shared" si="135"/>
        <v>309</v>
      </c>
      <c r="EH3" s="5">
        <f t="shared" si="136"/>
        <v>8.3014925373134325</v>
      </c>
      <c r="EI3" s="6">
        <f t="shared" si="137"/>
        <v>137</v>
      </c>
      <c r="EJ3" s="5">
        <f t="shared" si="138"/>
        <v>3.6805970149253731</v>
      </c>
      <c r="EK3" s="367">
        <f t="shared" si="139"/>
        <v>28.214752494966721</v>
      </c>
      <c r="EL3" s="367">
        <f t="shared" si="140"/>
        <v>30.634382953700594</v>
      </c>
      <c r="EM3" s="368">
        <f t="shared" si="141"/>
        <v>29.666530770207046</v>
      </c>
      <c r="EN3" s="6">
        <f t="shared" si="142"/>
        <v>173</v>
      </c>
      <c r="EO3" s="5">
        <f t="shared" si="143"/>
        <v>4.6477611940298509</v>
      </c>
      <c r="EP3" s="5">
        <f t="shared" si="144"/>
        <v>12.9</v>
      </c>
      <c r="EQ3" s="5">
        <f t="shared" si="145"/>
        <v>6.84</v>
      </c>
      <c r="ES3" t="s">
        <v>13</v>
      </c>
      <c r="ET3" t="s">
        <v>1087</v>
      </c>
      <c r="EU3">
        <v>28</v>
      </c>
      <c r="EV3" t="s">
        <v>1088</v>
      </c>
      <c r="EW3" t="s">
        <v>541</v>
      </c>
      <c r="EX3" t="s">
        <v>573</v>
      </c>
      <c r="EY3" t="s">
        <v>1089</v>
      </c>
      <c r="EZ3" t="s">
        <v>1090</v>
      </c>
      <c r="FA3" s="430">
        <v>47118</v>
      </c>
      <c r="FB3">
        <v>3350</v>
      </c>
      <c r="FC3" t="s">
        <v>1091</v>
      </c>
      <c r="FD3">
        <v>1</v>
      </c>
      <c r="FE3">
        <v>17</v>
      </c>
      <c r="FF3">
        <v>3</v>
      </c>
      <c r="FG3">
        <v>6</v>
      </c>
      <c r="FH3">
        <v>96</v>
      </c>
      <c r="FI3">
        <v>297</v>
      </c>
      <c r="FJ3">
        <v>12.9</v>
      </c>
      <c r="FK3" t="s">
        <v>1092</v>
      </c>
      <c r="FL3" t="s">
        <v>1093</v>
      </c>
      <c r="FM3">
        <v>29</v>
      </c>
      <c r="FN3">
        <v>65</v>
      </c>
      <c r="FO3">
        <v>1040</v>
      </c>
      <c r="FP3">
        <v>911</v>
      </c>
      <c r="FQ3">
        <v>44</v>
      </c>
      <c r="FR3">
        <v>36</v>
      </c>
      <c r="FS3">
        <v>18</v>
      </c>
      <c r="FT3">
        <v>87</v>
      </c>
      <c r="FU3">
        <v>43</v>
      </c>
      <c r="FV3">
        <v>301</v>
      </c>
      <c r="FW3">
        <v>129</v>
      </c>
      <c r="FX3">
        <v>98</v>
      </c>
      <c r="FY3">
        <v>23</v>
      </c>
      <c r="FZ3">
        <v>21</v>
      </c>
      <c r="GA3">
        <v>12</v>
      </c>
      <c r="GB3">
        <v>28</v>
      </c>
      <c r="GC3">
        <v>22</v>
      </c>
      <c r="GD3">
        <v>6</v>
      </c>
      <c r="GE3">
        <v>22</v>
      </c>
      <c r="GF3">
        <v>6</v>
      </c>
      <c r="GG3">
        <v>1</v>
      </c>
      <c r="GH3">
        <v>0.8</v>
      </c>
      <c r="GI3">
        <v>0</v>
      </c>
      <c r="GJ3">
        <v>21</v>
      </c>
      <c r="GK3">
        <v>0</v>
      </c>
      <c r="GL3">
        <v>0</v>
      </c>
      <c r="GM3">
        <v>6.7</v>
      </c>
      <c r="GN3" t="s">
        <v>1094</v>
      </c>
      <c r="GO3">
        <v>6.84</v>
      </c>
    </row>
    <row r="4" spans="1:197" ht="24.95" customHeight="1" thickBot="1" x14ac:dyDescent="0.3">
      <c r="A4" s="29" t="str">
        <f t="shared" si="0"/>
        <v>3º</v>
      </c>
      <c r="B4" s="67" t="str">
        <f t="shared" si="1"/>
        <v>Isidro Pitta</v>
      </c>
      <c r="C4" s="83" t="str">
        <f t="shared" si="2"/>
        <v>PAR</v>
      </c>
      <c r="D4" s="28" t="str">
        <f t="shared" si="3"/>
        <v>RB Bragantino</v>
      </c>
      <c r="E4" s="91" t="str">
        <f t="shared" si="4"/>
        <v>Pé Direito</v>
      </c>
      <c r="F4" s="154">
        <f t="shared" si="5"/>
        <v>1.83</v>
      </c>
      <c r="G4" s="138">
        <f t="shared" si="6"/>
        <v>47848</v>
      </c>
      <c r="H4" s="156">
        <f t="shared" si="7"/>
        <v>27</v>
      </c>
      <c r="I4" s="189" t="str">
        <f t="shared" si="8"/>
        <v>60m € - 71,5m € p/m</v>
      </c>
      <c r="J4" s="175" t="str">
        <f t="shared" si="9"/>
        <v>11M € - 16M €</v>
      </c>
      <c r="K4" s="89">
        <f>IFERROR(AVERAGE(L:L),0)</f>
        <v>35.459259259259262</v>
      </c>
      <c r="L4" s="134">
        <f t="shared" si="10"/>
        <v>26.877777777777776</v>
      </c>
      <c r="M4" s="134">
        <f t="shared" si="11"/>
        <v>44</v>
      </c>
      <c r="N4" s="134">
        <f t="shared" si="12"/>
        <v>54.977272727272727</v>
      </c>
      <c r="O4" s="173">
        <f t="shared" si="13"/>
        <v>0.52</v>
      </c>
      <c r="P4" s="2">
        <f t="shared" si="14"/>
        <v>54</v>
      </c>
      <c r="Q4" s="5">
        <f t="shared" si="15"/>
        <v>0.24</v>
      </c>
      <c r="R4" s="5">
        <f t="shared" si="16"/>
        <v>0.48367093840429931</v>
      </c>
      <c r="S4" s="5">
        <f t="shared" si="17"/>
        <v>0.55808185200496074</v>
      </c>
      <c r="T4" s="5">
        <f t="shared" si="18"/>
        <v>7.4410913600661432E-2</v>
      </c>
      <c r="U4" s="6">
        <f t="shared" si="19"/>
        <v>1</v>
      </c>
      <c r="V4" s="24">
        <f t="shared" si="20"/>
        <v>2419</v>
      </c>
      <c r="W4" s="21">
        <f t="shared" si="21"/>
        <v>3.7205456800330716E-2</v>
      </c>
      <c r="X4" s="420">
        <f t="shared" si="22"/>
        <v>13</v>
      </c>
      <c r="Y4" s="402">
        <f t="shared" si="23"/>
        <v>2</v>
      </c>
      <c r="Z4" s="402">
        <f t="shared" si="24"/>
        <v>15</v>
      </c>
      <c r="AA4" s="325">
        <f t="shared" si="25"/>
        <v>8</v>
      </c>
      <c r="AB4" s="325">
        <f t="shared" si="26"/>
        <v>4</v>
      </c>
      <c r="AC4" s="326">
        <f t="shared" si="27"/>
        <v>1</v>
      </c>
      <c r="AD4" s="403">
        <f t="shared" si="28"/>
        <v>12</v>
      </c>
      <c r="AE4" s="20">
        <f t="shared" si="29"/>
        <v>0.92307692307692313</v>
      </c>
      <c r="AF4" s="20">
        <f t="shared" si="30"/>
        <v>0.13333333333333333</v>
      </c>
      <c r="AG4" s="20">
        <f t="shared" si="31"/>
        <v>6.6666666666666666E-2</v>
      </c>
      <c r="AH4" s="5">
        <f t="shared" si="32"/>
        <v>0.48367093840429931</v>
      </c>
      <c r="AI4" s="5">
        <f t="shared" si="33"/>
        <v>7.4410913600661432E-2</v>
      </c>
      <c r="AJ4" s="5">
        <f t="shared" si="34"/>
        <v>0.55808185200496074</v>
      </c>
      <c r="AK4" s="5">
        <f t="shared" si="35"/>
        <v>0.44646548160396859</v>
      </c>
      <c r="AL4" s="287">
        <f t="shared" si="36"/>
        <v>0.29764365440264573</v>
      </c>
      <c r="AM4" s="287">
        <f t="shared" si="37"/>
        <v>0.14882182720132286</v>
      </c>
      <c r="AN4" s="287">
        <f t="shared" si="38"/>
        <v>1</v>
      </c>
      <c r="AO4" s="21">
        <f t="shared" si="39"/>
        <v>0.14882182720132286</v>
      </c>
      <c r="AP4" s="286">
        <f t="shared" si="40"/>
        <v>0</v>
      </c>
      <c r="AQ4" s="287">
        <f t="shared" si="41"/>
        <v>0</v>
      </c>
      <c r="AR4" s="286">
        <f t="shared" si="42"/>
        <v>0</v>
      </c>
      <c r="AS4" s="287">
        <f t="shared" si="43"/>
        <v>0</v>
      </c>
      <c r="AT4" s="290">
        <f t="shared" si="44"/>
        <v>0</v>
      </c>
      <c r="AU4" s="298">
        <f t="shared" si="45"/>
        <v>0</v>
      </c>
      <c r="AV4" s="286">
        <f t="shared" si="46"/>
        <v>2</v>
      </c>
      <c r="AW4" s="286">
        <f t="shared" si="47"/>
        <v>1</v>
      </c>
      <c r="AX4" s="301">
        <f t="shared" si="48"/>
        <v>1</v>
      </c>
      <c r="AY4" s="287">
        <f t="shared" si="49"/>
        <v>3.7205456800330716E-2</v>
      </c>
      <c r="AZ4" s="20">
        <f t="shared" si="50"/>
        <v>0.5</v>
      </c>
      <c r="BA4" s="2">
        <f t="shared" si="51"/>
        <v>202</v>
      </c>
      <c r="BB4" s="5">
        <f t="shared" si="52"/>
        <v>7.5155022736668045</v>
      </c>
      <c r="BC4" s="2">
        <f t="shared" si="53"/>
        <v>65</v>
      </c>
      <c r="BD4" s="5">
        <f t="shared" si="54"/>
        <v>2.4183546920214964</v>
      </c>
      <c r="BE4" s="2">
        <f t="shared" si="55"/>
        <v>137</v>
      </c>
      <c r="BF4" s="5">
        <f t="shared" si="56"/>
        <v>5.0971475816453085</v>
      </c>
      <c r="BG4" s="99">
        <f t="shared" si="57"/>
        <v>0.32178217821782179</v>
      </c>
      <c r="BH4" s="99">
        <f t="shared" si="58"/>
        <v>0.67821782178217827</v>
      </c>
      <c r="BI4" s="413">
        <f t="shared" si="59"/>
        <v>2.5942908596010184</v>
      </c>
      <c r="BJ4" s="310">
        <f t="shared" si="60"/>
        <v>19</v>
      </c>
      <c r="BK4" s="287">
        <f t="shared" si="61"/>
        <v>0.70690367920628361</v>
      </c>
      <c r="BL4" s="6">
        <f t="shared" si="62"/>
        <v>96</v>
      </c>
      <c r="BM4" s="5">
        <f t="shared" si="63"/>
        <v>3.5717238528317488</v>
      </c>
      <c r="BN4" s="6">
        <f t="shared" si="64"/>
        <v>45</v>
      </c>
      <c r="BO4" s="5">
        <f t="shared" si="65"/>
        <v>1.6742455560148823</v>
      </c>
      <c r="BP4" s="6">
        <f t="shared" si="66"/>
        <v>51</v>
      </c>
      <c r="BQ4" s="5">
        <f t="shared" si="67"/>
        <v>1.8974782968168666</v>
      </c>
      <c r="BR4" s="6">
        <f t="shared" si="68"/>
        <v>38</v>
      </c>
      <c r="BS4" s="5">
        <f t="shared" si="69"/>
        <v>1.4138073584125672</v>
      </c>
      <c r="BT4" s="21">
        <f t="shared" si="70"/>
        <v>0.53125</v>
      </c>
      <c r="BU4" s="364">
        <f t="shared" si="71"/>
        <v>7.833333333333333</v>
      </c>
      <c r="BV4" s="5">
        <f t="shared" si="72"/>
        <v>4.083333333333333</v>
      </c>
      <c r="BW4" s="5">
        <f t="shared" si="73"/>
        <v>24.666666666666668</v>
      </c>
      <c r="BX4" s="99">
        <f t="shared" si="74"/>
        <v>0.1276595744680851</v>
      </c>
      <c r="BY4" s="367">
        <f t="shared" si="75"/>
        <v>0.66339774763405057</v>
      </c>
      <c r="BZ4" s="5">
        <f t="shared" si="76"/>
        <v>0.48887970235634565</v>
      </c>
      <c r="CA4" s="5">
        <f t="shared" si="77"/>
        <v>0.48367093840429931</v>
      </c>
      <c r="CB4" s="259">
        <f t="shared" si="78"/>
        <v>-5.2087639520463358E-3</v>
      </c>
      <c r="CC4" s="258">
        <f t="shared" si="79"/>
        <v>0.12297872340425532</v>
      </c>
      <c r="CD4" s="5">
        <f t="shared" si="80"/>
        <v>25.197916666666668</v>
      </c>
      <c r="CE4" s="5">
        <f t="shared" si="81"/>
        <v>47.431372549019606</v>
      </c>
      <c r="CF4" s="5">
        <f t="shared" si="82"/>
        <v>186.07692307692307</v>
      </c>
      <c r="CG4" s="5">
        <f t="shared" si="83"/>
        <v>161.26666666666668</v>
      </c>
      <c r="CH4" s="5">
        <f t="shared" si="84"/>
        <v>-0.14000000000000057</v>
      </c>
      <c r="CI4" s="5">
        <f t="shared" si="85"/>
        <v>0.4399999999999995</v>
      </c>
      <c r="CJ4" s="5">
        <f t="shared" si="86"/>
        <v>13.14</v>
      </c>
      <c r="CK4" s="5">
        <f t="shared" si="87"/>
        <v>0.48887970235634565</v>
      </c>
      <c r="CL4" s="5">
        <f t="shared" si="88"/>
        <v>11.56</v>
      </c>
      <c r="CM4" s="5">
        <f t="shared" si="89"/>
        <v>0.43009508061182311</v>
      </c>
      <c r="CN4" s="5">
        <f t="shared" si="90"/>
        <v>2.66</v>
      </c>
      <c r="CO4" s="5">
        <f t="shared" si="91"/>
        <v>9.8966515088879714E-2</v>
      </c>
      <c r="CP4" s="5">
        <f t="shared" si="92"/>
        <v>14.22</v>
      </c>
      <c r="CQ4" s="5">
        <f t="shared" si="93"/>
        <v>0.52906159570070277</v>
      </c>
      <c r="CR4" s="21">
        <f t="shared" si="94"/>
        <v>0.49732211170619739</v>
      </c>
      <c r="CS4" s="6">
        <f t="shared" si="95"/>
        <v>30</v>
      </c>
      <c r="CT4" s="5">
        <f t="shared" si="96"/>
        <v>1.1161637040099215</v>
      </c>
      <c r="CU4" s="5">
        <f t="shared" si="97"/>
        <v>2.66</v>
      </c>
      <c r="CV4" s="5">
        <f t="shared" si="98"/>
        <v>0.66000000000000014</v>
      </c>
      <c r="CW4" s="6">
        <f t="shared" si="99"/>
        <v>3</v>
      </c>
      <c r="CX4" s="5">
        <f t="shared" si="100"/>
        <v>0.11161637040099215</v>
      </c>
      <c r="CY4" s="6">
        <f t="shared" si="101"/>
        <v>0</v>
      </c>
      <c r="CZ4" s="5">
        <f t="shared" si="102"/>
        <v>0</v>
      </c>
      <c r="DA4" s="21">
        <f t="shared" si="103"/>
        <v>0</v>
      </c>
      <c r="DB4" s="312">
        <f t="shared" si="104"/>
        <v>22</v>
      </c>
      <c r="DC4" s="313">
        <f t="shared" si="105"/>
        <v>0.81852004960727576</v>
      </c>
      <c r="DD4" s="194">
        <f t="shared" si="106"/>
        <v>6.6002480363786686</v>
      </c>
      <c r="DE4" s="2">
        <f t="shared" si="107"/>
        <v>73</v>
      </c>
      <c r="DF4" s="5">
        <f t="shared" si="108"/>
        <v>2.7159983464241422</v>
      </c>
      <c r="DG4" s="2">
        <f t="shared" si="109"/>
        <v>18</v>
      </c>
      <c r="DH4" s="5">
        <f t="shared" si="110"/>
        <v>0.66969822240595289</v>
      </c>
      <c r="DI4" s="99">
        <f t="shared" si="111"/>
        <v>0.24657534246575341</v>
      </c>
      <c r="DJ4" s="6">
        <f t="shared" si="112"/>
        <v>22</v>
      </c>
      <c r="DK4" s="5">
        <f t="shared" si="113"/>
        <v>0.81852004960727576</v>
      </c>
      <c r="DL4" s="6">
        <f t="shared" si="114"/>
        <v>38</v>
      </c>
      <c r="DM4" s="5">
        <f t="shared" si="115"/>
        <v>1.4138073584125672</v>
      </c>
      <c r="DN4" s="5">
        <f t="shared" si="116"/>
        <v>266.10000000000002</v>
      </c>
      <c r="DO4" s="5">
        <f t="shared" si="117"/>
        <v>9.9003720545680043</v>
      </c>
      <c r="DP4" s="286">
        <f t="shared" si="118"/>
        <v>182.76888888888888</v>
      </c>
      <c r="DQ4" s="311">
        <f t="shared" si="119"/>
        <v>6.8</v>
      </c>
      <c r="DR4" s="6">
        <f t="shared" si="120"/>
        <v>445.14</v>
      </c>
      <c r="DS4" s="5">
        <f t="shared" si="121"/>
        <v>16.561637040099214</v>
      </c>
      <c r="DT4" s="6">
        <f t="shared" si="122"/>
        <v>172</v>
      </c>
      <c r="DU4" s="5">
        <f t="shared" si="123"/>
        <v>6.3993385696568836</v>
      </c>
      <c r="DV4" s="195">
        <f t="shared" si="124"/>
        <v>360.16222222222223</v>
      </c>
      <c r="DW4" s="5">
        <f t="shared" si="125"/>
        <v>13.4</v>
      </c>
      <c r="DX4" s="21">
        <f t="shared" si="126"/>
        <v>0.38639529136900752</v>
      </c>
      <c r="DY4" s="6">
        <f t="shared" si="127"/>
        <v>101.16</v>
      </c>
      <c r="DZ4" s="5">
        <f t="shared" si="128"/>
        <v>3.7637040099214554</v>
      </c>
      <c r="EA4" s="5">
        <f t="shared" si="129"/>
        <v>44.758164530797849</v>
      </c>
      <c r="EB4" s="167">
        <f t="shared" si="130"/>
        <v>151</v>
      </c>
      <c r="EC4" s="5">
        <f t="shared" si="131"/>
        <v>5.6180239768499387</v>
      </c>
      <c r="ED4" s="6">
        <f t="shared" si="132"/>
        <v>103</v>
      </c>
      <c r="EE4" s="5">
        <f t="shared" si="133"/>
        <v>3.8321620504340639</v>
      </c>
      <c r="EF4" s="21">
        <f t="shared" si="134"/>
        <v>0.68211920529801329</v>
      </c>
      <c r="EG4" s="6">
        <f t="shared" si="135"/>
        <v>225</v>
      </c>
      <c r="EH4" s="5">
        <f t="shared" si="136"/>
        <v>8.3712277800744115</v>
      </c>
      <c r="EI4" s="6">
        <f t="shared" si="137"/>
        <v>132</v>
      </c>
      <c r="EJ4" s="5">
        <f t="shared" si="138"/>
        <v>4.911120297643655</v>
      </c>
      <c r="EK4" s="367">
        <f t="shared" si="139"/>
        <v>33.111354601533669</v>
      </c>
      <c r="EL4" s="367">
        <f t="shared" si="140"/>
        <v>40.489022995669593</v>
      </c>
      <c r="EM4" s="368">
        <f t="shared" si="141"/>
        <v>37.53795563801522</v>
      </c>
      <c r="EN4" s="6">
        <f t="shared" si="142"/>
        <v>129</v>
      </c>
      <c r="EO4" s="5">
        <f t="shared" si="143"/>
        <v>4.7995039272426627</v>
      </c>
      <c r="EP4" s="5">
        <f t="shared" si="144"/>
        <v>13.4</v>
      </c>
      <c r="EQ4" s="5">
        <f t="shared" si="145"/>
        <v>6.92</v>
      </c>
      <c r="ES4" t="s">
        <v>1095</v>
      </c>
      <c r="ET4" t="s">
        <v>1096</v>
      </c>
      <c r="EU4">
        <v>27</v>
      </c>
      <c r="EV4" t="s">
        <v>1097</v>
      </c>
      <c r="EW4" t="s">
        <v>696</v>
      </c>
      <c r="EX4" t="s">
        <v>573</v>
      </c>
      <c r="EY4" t="s">
        <v>1098</v>
      </c>
      <c r="EZ4" t="s">
        <v>1099</v>
      </c>
      <c r="FA4" s="430">
        <v>47848</v>
      </c>
      <c r="FB4">
        <v>2419</v>
      </c>
      <c r="FC4" t="s">
        <v>1100</v>
      </c>
      <c r="FD4">
        <v>1</v>
      </c>
      <c r="FE4">
        <v>13</v>
      </c>
      <c r="FF4">
        <v>2</v>
      </c>
      <c r="FG4">
        <v>6</v>
      </c>
      <c r="FH4">
        <v>54</v>
      </c>
      <c r="FI4">
        <v>225</v>
      </c>
      <c r="FJ4">
        <v>13.4</v>
      </c>
      <c r="FK4" t="s">
        <v>1101</v>
      </c>
      <c r="FL4" t="s">
        <v>1102</v>
      </c>
      <c r="FM4">
        <v>23</v>
      </c>
      <c r="FN4">
        <v>38</v>
      </c>
      <c r="FO4">
        <v>877</v>
      </c>
      <c r="FP4">
        <v>793</v>
      </c>
      <c r="FQ4">
        <v>30</v>
      </c>
      <c r="FR4">
        <v>16</v>
      </c>
      <c r="FS4">
        <v>22</v>
      </c>
      <c r="FT4">
        <v>96</v>
      </c>
      <c r="FU4">
        <v>51</v>
      </c>
      <c r="FV4">
        <v>202</v>
      </c>
      <c r="FW4">
        <v>65</v>
      </c>
      <c r="FX4">
        <v>42</v>
      </c>
      <c r="FY4">
        <v>14</v>
      </c>
      <c r="FZ4">
        <v>8</v>
      </c>
      <c r="GA4">
        <v>4</v>
      </c>
      <c r="GB4">
        <v>22</v>
      </c>
      <c r="GC4">
        <v>3</v>
      </c>
      <c r="GD4">
        <v>0</v>
      </c>
      <c r="GE4">
        <v>3</v>
      </c>
      <c r="GF4">
        <v>0</v>
      </c>
      <c r="GG4">
        <v>4</v>
      </c>
      <c r="GH4">
        <v>1</v>
      </c>
      <c r="GI4">
        <v>0</v>
      </c>
      <c r="GJ4">
        <v>19</v>
      </c>
      <c r="GK4">
        <v>2</v>
      </c>
      <c r="GL4">
        <v>1</v>
      </c>
      <c r="GM4">
        <v>6.8</v>
      </c>
      <c r="GN4" t="s">
        <v>1103</v>
      </c>
      <c r="GO4">
        <v>6.92</v>
      </c>
    </row>
    <row r="5" spans="1:197" ht="24.95" customHeight="1" x14ac:dyDescent="0.25"/>
    <row r="6" spans="1:197" ht="24.95" customHeight="1" x14ac:dyDescent="0.25"/>
    <row r="7" spans="1:197" ht="24.95" customHeight="1" x14ac:dyDescent="0.25"/>
    <row r="8" spans="1:197" ht="24.95" customHeight="1" x14ac:dyDescent="0.25"/>
    <row r="9" spans="1:197" ht="24.95" customHeight="1" x14ac:dyDescent="0.25"/>
    <row r="10" spans="1:197" ht="24.95" customHeight="1" x14ac:dyDescent="0.25"/>
    <row r="11" spans="1:197" ht="24.95" customHeight="1" x14ac:dyDescent="0.25"/>
    <row r="12" spans="1:197" ht="24.95" customHeight="1" x14ac:dyDescent="0.25"/>
    <row r="13" spans="1:197" ht="24.95" customHeight="1" x14ac:dyDescent="0.25"/>
    <row r="14" spans="1:197" ht="24.95" customHeight="1" x14ac:dyDescent="0.25"/>
    <row r="15" spans="1:197" ht="24.95" customHeight="1" x14ac:dyDescent="0.25"/>
    <row r="16" spans="1:197" ht="24.95" customHeight="1" x14ac:dyDescent="0.25"/>
    <row r="17" ht="24.95" customHeight="1" x14ac:dyDescent="0.25"/>
    <row r="18" ht="24.95" customHeight="1" x14ac:dyDescent="0.25"/>
    <row r="19" ht="24.95" customHeight="1" x14ac:dyDescent="0.25"/>
    <row r="20" ht="24.95" customHeight="1" x14ac:dyDescent="0.25"/>
    <row r="21" ht="24.95" customHeight="1" x14ac:dyDescent="0.25"/>
    <row r="22" ht="24.95" customHeight="1" x14ac:dyDescent="0.25"/>
    <row r="23" ht="24.95" customHeight="1" x14ac:dyDescent="0.25"/>
    <row r="24" ht="24.95" customHeight="1" x14ac:dyDescent="0.25"/>
    <row r="25" ht="24.95" customHeight="1" x14ac:dyDescent="0.25"/>
    <row r="26" ht="24.95" customHeight="1" x14ac:dyDescent="0.25"/>
    <row r="27" ht="24.95" customHeight="1" x14ac:dyDescent="0.25"/>
    <row r="28" ht="24.95" customHeight="1" x14ac:dyDescent="0.25"/>
    <row r="29" ht="24.95" customHeight="1" x14ac:dyDescent="0.25"/>
    <row r="30" ht="24.95" customHeight="1" x14ac:dyDescent="0.25"/>
    <row r="31" ht="24.95" customHeight="1" x14ac:dyDescent="0.25"/>
    <row r="32"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sheetData>
  <autoFilter ref="B1:GO1" xr:uid="{00000000-0009-0000-0000-000006000000}">
    <sortState xmlns:xlrd2="http://schemas.microsoft.com/office/spreadsheetml/2017/richdata2" ref="B2:GO10">
      <sortCondition descending="1" ref="BI1"/>
    </sortState>
  </autoFilter>
  <phoneticPr fontId="52" type="noConversion"/>
  <conditionalFormatting sqref="DE1:DH1048576">
    <cfRule type="colorScale" priority="939">
      <colorScale>
        <cfvo type="min"/>
        <cfvo type="percentile" val="50"/>
        <cfvo type="max"/>
        <color rgb="FFF8696B"/>
        <color rgb="FFFFEB84"/>
        <color rgb="FF63BE7B"/>
      </colorScale>
    </cfRule>
  </conditionalFormatting>
  <conditionalFormatting sqref="DF1:DH1048576">
    <cfRule type="colorScale" priority="903">
      <colorScale>
        <cfvo type="min"/>
        <cfvo type="percentile" val="50"/>
        <cfvo type="max"/>
        <color rgb="FFF8696B"/>
        <color rgb="FFFFEB84"/>
        <color rgb="FF63BE7B"/>
      </colorScale>
    </cfRule>
  </conditionalFormatting>
  <conditionalFormatting sqref="DE1:DE1048576">
    <cfRule type="colorScale" priority="421">
      <colorScale>
        <cfvo type="min"/>
        <cfvo type="percentile" val="50"/>
        <cfvo type="max"/>
        <color rgb="FFF8696B"/>
        <color rgb="FFFFEB84"/>
        <color rgb="FF63BE7B"/>
      </colorScale>
    </cfRule>
  </conditionalFormatting>
  <conditionalFormatting sqref="DL1:DL1048576">
    <cfRule type="colorScale" priority="557">
      <colorScale>
        <cfvo type="min"/>
        <cfvo type="percentile" val="50"/>
        <cfvo type="max"/>
        <color rgb="FFF8696B"/>
        <color rgb="FFFFEB84"/>
        <color rgb="FF63BE7B"/>
      </colorScale>
    </cfRule>
  </conditionalFormatting>
  <conditionalFormatting sqref="CI1:CI1048576">
    <cfRule type="iconSet" priority="350">
      <iconSet iconSet="5Arrows">
        <cfvo type="percent" val="0"/>
        <cfvo type="percent" val="20"/>
        <cfvo type="percent" val="40"/>
        <cfvo type="percent" val="60"/>
        <cfvo type="percent" val="80"/>
      </iconSet>
    </cfRule>
    <cfRule type="colorScale" priority="677">
      <colorScale>
        <cfvo type="num" val="-1.0000000000000001E-5"/>
        <cfvo type="num" val="0"/>
        <cfvo type="max"/>
        <color rgb="FFF8696B"/>
        <color theme="7" tint="0.59999389629810485"/>
        <color rgb="FF00B0F0"/>
      </colorScale>
    </cfRule>
  </conditionalFormatting>
  <conditionalFormatting sqref="AE1:AE1048576">
    <cfRule type="colorScale" priority="562">
      <colorScale>
        <cfvo type="min"/>
        <cfvo type="max"/>
        <color rgb="FFFFEF9C"/>
        <color rgb="FF63BE7B"/>
      </colorScale>
    </cfRule>
    <cfRule type="colorScale" priority="612">
      <colorScale>
        <cfvo type="min"/>
        <cfvo type="percentile" val="50"/>
        <cfvo type="max"/>
        <color rgb="FFF8696B"/>
        <color rgb="FFFFEB84"/>
        <color rgb="FF63BE7B"/>
      </colorScale>
    </cfRule>
  </conditionalFormatting>
  <conditionalFormatting sqref="EA1:EA1048576">
    <cfRule type="colorScale" priority="801">
      <colorScale>
        <cfvo type="min"/>
        <cfvo type="percentile" val="50"/>
        <cfvo type="max"/>
        <color rgb="FFF8696B"/>
        <color rgb="FFFFEB84"/>
        <color rgb="FF63BE7B"/>
      </colorScale>
    </cfRule>
  </conditionalFormatting>
  <conditionalFormatting sqref="DZ2:DZ1048576">
    <cfRule type="iconSet" priority="361">
      <iconSet iconSet="5Arrows">
        <cfvo type="percent" val="0"/>
        <cfvo type="percent" val="20"/>
        <cfvo type="percent" val="40"/>
        <cfvo type="percent" val="60"/>
        <cfvo type="percent" val="80"/>
      </iconSet>
    </cfRule>
    <cfRule type="colorScale" priority="404">
      <colorScale>
        <cfvo type="min"/>
        <cfvo type="percentile" val="50"/>
        <cfvo type="max"/>
        <color rgb="FFF8696B"/>
        <color rgb="FFFFEB84"/>
        <color rgb="FF63BE7B"/>
      </colorScale>
    </cfRule>
  </conditionalFormatting>
  <conditionalFormatting sqref="AG1:AG1048576">
    <cfRule type="colorScale" priority="558">
      <colorScale>
        <cfvo type="min"/>
        <cfvo type="max"/>
        <color rgb="FFFFEF9C"/>
        <color rgb="FF63BE7B"/>
      </colorScale>
    </cfRule>
  </conditionalFormatting>
  <conditionalFormatting sqref="EH1:EI1">
    <cfRule type="colorScale" priority="706">
      <colorScale>
        <cfvo type="min"/>
        <cfvo type="percentile" val="50"/>
        <cfvo type="max"/>
        <color rgb="FFF8696B"/>
        <color rgb="FFFFEB84"/>
        <color rgb="FF63BE7B"/>
      </colorScale>
    </cfRule>
  </conditionalFormatting>
  <conditionalFormatting sqref="EH1:EI1048576">
    <cfRule type="colorScale" priority="434">
      <colorScale>
        <cfvo type="min"/>
        <cfvo type="percentile" val="50"/>
        <cfvo type="max"/>
        <color rgb="FFF8696B"/>
        <color rgb="FFFFEB84"/>
        <color rgb="FF63BE7B"/>
      </colorScale>
    </cfRule>
  </conditionalFormatting>
  <conditionalFormatting sqref="CC1:CC1048576">
    <cfRule type="iconSet" priority="352">
      <iconSet iconSet="5Arrows">
        <cfvo type="percent" val="0"/>
        <cfvo type="percent" val="20"/>
        <cfvo type="percent" val="40"/>
        <cfvo type="percent" val="60"/>
        <cfvo type="percent" val="80"/>
      </iconSet>
    </cfRule>
    <cfRule type="colorScale" priority="449">
      <colorScale>
        <cfvo type="min"/>
        <cfvo type="percentile" val="50"/>
        <cfvo type="max"/>
        <color rgb="FFF8696B"/>
        <color rgb="FFFFEB84"/>
        <color rgb="FF63BE7B"/>
      </colorScale>
    </cfRule>
  </conditionalFormatting>
  <conditionalFormatting sqref="CH1:CH1048576">
    <cfRule type="iconSet" priority="351">
      <iconSet iconSet="5Arrows">
        <cfvo type="percent" val="0"/>
        <cfvo type="percent" val="20"/>
        <cfvo type="percent" val="40"/>
        <cfvo type="percent" val="60"/>
        <cfvo type="percent" val="80"/>
      </iconSet>
    </cfRule>
    <cfRule type="colorScale" priority="678">
      <colorScale>
        <cfvo type="num" val="-9.9999999999999995E-7"/>
        <cfvo type="num" val="0"/>
        <cfvo type="max"/>
        <color rgb="FFF8696B"/>
        <color theme="7" tint="0.59999389629810485"/>
        <color rgb="FF00B0F0"/>
      </colorScale>
    </cfRule>
  </conditionalFormatting>
  <conditionalFormatting sqref="DK1:DK1048576">
    <cfRule type="colorScale" priority="394">
      <colorScale>
        <cfvo type="min"/>
        <cfvo type="percentile" val="50"/>
        <cfvo type="max"/>
        <color rgb="FFF8696B"/>
        <color rgb="FFFFEB84"/>
        <color rgb="FF63BE7B"/>
      </colorScale>
    </cfRule>
  </conditionalFormatting>
  <conditionalFormatting sqref="AZ1:AZ1048576">
    <cfRule type="colorScale" priority="450">
      <colorScale>
        <cfvo type="min"/>
        <cfvo type="percentile" val="50"/>
        <cfvo type="max"/>
        <color rgb="FFF8696B"/>
        <color rgb="FFFFEB84"/>
        <color rgb="FF63BE7B"/>
      </colorScale>
    </cfRule>
  </conditionalFormatting>
  <conditionalFormatting sqref="AF1:AF1048576">
    <cfRule type="colorScale" priority="561">
      <colorScale>
        <cfvo type="min"/>
        <cfvo type="max"/>
        <color rgb="FFFFEF9C"/>
        <color rgb="FF63BE7B"/>
      </colorScale>
    </cfRule>
  </conditionalFormatting>
  <conditionalFormatting sqref="BZ1:BZ1048576">
    <cfRule type="iconSet" priority="353">
      <iconSet iconSet="5Arrows">
        <cfvo type="percent" val="0"/>
        <cfvo type="percent" val="20"/>
        <cfvo type="percent" val="40"/>
        <cfvo type="percent" val="60"/>
        <cfvo type="percent" val="80"/>
      </iconSet>
    </cfRule>
  </conditionalFormatting>
  <conditionalFormatting sqref="CA1:CB1048576">
    <cfRule type="colorScale" priority="530">
      <colorScale>
        <cfvo type="min"/>
        <cfvo type="percentile" val="50"/>
        <cfvo type="max"/>
        <color rgb="FFF8696B"/>
        <color rgb="FFFFEB84"/>
        <color rgb="FF63BE7B"/>
      </colorScale>
    </cfRule>
  </conditionalFormatting>
  <conditionalFormatting sqref="CA1:CA1048576">
    <cfRule type="iconSet" priority="354">
      <iconSet iconSet="5Arrows">
        <cfvo type="percent" val="0"/>
        <cfvo type="percent" val="20"/>
        <cfvo type="percent" val="40"/>
        <cfvo type="percent" val="60"/>
        <cfvo type="percent" val="80"/>
      </iconSet>
    </cfRule>
    <cfRule type="colorScale" priority="528">
      <colorScale>
        <cfvo type="min"/>
        <cfvo type="percentile" val="50"/>
        <cfvo type="max"/>
        <color rgb="FFF8696B"/>
        <color rgb="FFFFEB84"/>
        <color rgb="FF63BE7B"/>
      </colorScale>
    </cfRule>
  </conditionalFormatting>
  <conditionalFormatting sqref="CB1:CB1048576">
    <cfRule type="iconSet" priority="372">
      <iconSet iconSet="5Arrows">
        <cfvo type="percent" val="0"/>
        <cfvo type="percent" val="20"/>
        <cfvo type="percent" val="40"/>
        <cfvo type="percent" val="60"/>
        <cfvo type="percent" val="80"/>
      </iconSet>
    </cfRule>
    <cfRule type="colorScale" priority="526">
      <colorScale>
        <cfvo type="num" val="-1E-4"/>
        <cfvo type="num" val="0"/>
        <cfvo type="max"/>
        <color rgb="FFF8696B"/>
        <color rgb="FFFFEB84"/>
        <color rgb="FF63BE7B"/>
      </colorScale>
    </cfRule>
    <cfRule type="colorScale" priority="527">
      <colorScale>
        <cfvo type="min"/>
        <cfvo type="percentile" val="50"/>
        <cfvo type="max"/>
        <color rgb="FFF8696B"/>
        <color rgb="FFFFEB84"/>
        <color rgb="FF63BE7B"/>
      </colorScale>
    </cfRule>
  </conditionalFormatting>
  <conditionalFormatting sqref="CJ2:CL1048576">
    <cfRule type="colorScale" priority="522">
      <colorScale>
        <cfvo type="min"/>
        <cfvo type="percentile" val="50"/>
        <cfvo type="max"/>
        <color rgb="FFF8696B"/>
        <color rgb="FFFFEB84"/>
        <color rgb="FF63BE7B"/>
      </colorScale>
    </cfRule>
  </conditionalFormatting>
  <conditionalFormatting sqref="CM2:CM1048576">
    <cfRule type="colorScale" priority="521">
      <colorScale>
        <cfvo type="min"/>
        <cfvo type="percentile" val="50"/>
        <cfvo type="max"/>
        <color rgb="FFF8696B"/>
        <color rgb="FFFFEB84"/>
        <color rgb="FF63BE7B"/>
      </colorScale>
    </cfRule>
  </conditionalFormatting>
  <conditionalFormatting sqref="CJ2:CJ1048576">
    <cfRule type="colorScale" priority="517">
      <colorScale>
        <cfvo type="min"/>
        <cfvo type="percentile" val="50"/>
        <cfvo type="max"/>
        <color rgb="FFF8696B"/>
        <color rgb="FFFFEB84"/>
        <color rgb="FF63BE7B"/>
      </colorScale>
    </cfRule>
  </conditionalFormatting>
  <conditionalFormatting sqref="CK2:CK1048576">
    <cfRule type="colorScale" priority="516">
      <colorScale>
        <cfvo type="min"/>
        <cfvo type="percentile" val="50"/>
        <cfvo type="max"/>
        <color rgb="FFF8696B"/>
        <color rgb="FFFFEB84"/>
        <color rgb="FF63BE7B"/>
      </colorScale>
    </cfRule>
  </conditionalFormatting>
  <conditionalFormatting sqref="CL2:CL1048576">
    <cfRule type="colorScale" priority="515">
      <colorScale>
        <cfvo type="min"/>
        <cfvo type="percentile" val="50"/>
        <cfvo type="max"/>
        <color rgb="FFF8696B"/>
        <color rgb="FFFFEB84"/>
        <color rgb="FF63BE7B"/>
      </colorScale>
    </cfRule>
  </conditionalFormatting>
  <conditionalFormatting sqref="CN2:CN1048576">
    <cfRule type="colorScale" priority="514">
      <colorScale>
        <cfvo type="min"/>
        <cfvo type="percentile" val="50"/>
        <cfvo type="max"/>
        <color rgb="FFF8696B"/>
        <color rgb="FFFFEB84"/>
        <color rgb="FF63BE7B"/>
      </colorScale>
    </cfRule>
  </conditionalFormatting>
  <conditionalFormatting sqref="CO1:CO1048576">
    <cfRule type="dataBar" priority="368">
      <dataBar>
        <cfvo type="min"/>
        <cfvo type="max"/>
        <color rgb="FF008AEF"/>
      </dataBar>
      <extLst>
        <ext xmlns:x14="http://schemas.microsoft.com/office/spreadsheetml/2009/9/main" uri="{B025F937-C7B1-47D3-B67F-A62EFF666E3E}">
          <x14:id>{14AAE41A-7AD0-46BC-9D4A-95F9B0EC17AA}</x14:id>
        </ext>
      </extLst>
    </cfRule>
    <cfRule type="colorScale" priority="479">
      <colorScale>
        <cfvo type="min"/>
        <cfvo type="percentile" val="50"/>
        <cfvo type="max"/>
        <color rgb="FFF8696B"/>
        <color theme="4" tint="0.79998168889431442"/>
        <color rgb="FF00B0F0"/>
      </colorScale>
    </cfRule>
    <cfRule type="colorScale" priority="506">
      <colorScale>
        <cfvo type="min"/>
        <cfvo type="percentile" val="50"/>
        <cfvo type="max"/>
        <color rgb="FFF8696B"/>
        <color rgb="FFFFEB84"/>
        <color rgb="FF63BE7B"/>
      </colorScale>
    </cfRule>
  </conditionalFormatting>
  <conditionalFormatting sqref="CJ1:CJ1048576">
    <cfRule type="dataBar" priority="363">
      <dataBar>
        <cfvo type="min"/>
        <cfvo type="max"/>
        <color rgb="FF008AEF"/>
      </dataBar>
      <extLst>
        <ext xmlns:x14="http://schemas.microsoft.com/office/spreadsheetml/2009/9/main" uri="{B025F937-C7B1-47D3-B67F-A62EFF666E3E}">
          <x14:id>{E9A028F3-894B-47D5-AE28-79455BFA7C1A}</x14:id>
        </ext>
      </extLst>
    </cfRule>
    <cfRule type="colorScale" priority="482">
      <colorScale>
        <cfvo type="min"/>
        <cfvo type="percentile" val="50"/>
        <cfvo type="max"/>
        <color rgb="FFF8696B"/>
        <color theme="4" tint="0.79998168889431442"/>
        <color rgb="FF00B0F0"/>
      </colorScale>
    </cfRule>
    <cfRule type="colorScale" priority="501">
      <colorScale>
        <cfvo type="min"/>
        <cfvo type="percentile" val="50"/>
        <cfvo type="max"/>
        <color rgb="FFF8696B"/>
        <color rgb="FFFFEB84"/>
        <color rgb="FF63BE7B"/>
      </colorScale>
    </cfRule>
  </conditionalFormatting>
  <conditionalFormatting sqref="CK1:CK1048576">
    <cfRule type="dataBar" priority="364">
      <dataBar>
        <cfvo type="min"/>
        <cfvo type="max"/>
        <color rgb="FF008AEF"/>
      </dataBar>
      <extLst>
        <ext xmlns:x14="http://schemas.microsoft.com/office/spreadsheetml/2009/9/main" uri="{B025F937-C7B1-47D3-B67F-A62EFF666E3E}">
          <x14:id>{778B5564-DE9B-4B3D-937F-581F15378BA9}</x14:id>
        </ext>
      </extLst>
    </cfRule>
    <cfRule type="colorScale" priority="483">
      <colorScale>
        <cfvo type="min"/>
        <cfvo type="percentile" val="50"/>
        <cfvo type="max"/>
        <color rgb="FFF8696B"/>
        <color theme="4" tint="0.79998168889431442"/>
        <color rgb="FF00B0F0"/>
      </colorScale>
    </cfRule>
    <cfRule type="colorScale" priority="499">
      <colorScale>
        <cfvo type="min"/>
        <cfvo type="percentile" val="50"/>
        <cfvo type="max"/>
        <color rgb="FFF8696B"/>
        <color rgb="FFFFEB84"/>
        <color rgb="FF63BE7B"/>
      </colorScale>
    </cfRule>
  </conditionalFormatting>
  <conditionalFormatting sqref="CL1:CL1048576">
    <cfRule type="dataBar" priority="365">
      <dataBar>
        <cfvo type="min"/>
        <cfvo type="max"/>
        <color rgb="FF008AEF"/>
      </dataBar>
      <extLst>
        <ext xmlns:x14="http://schemas.microsoft.com/office/spreadsheetml/2009/9/main" uri="{B025F937-C7B1-47D3-B67F-A62EFF666E3E}">
          <x14:id>{556CE295-D6F9-4D2A-844F-6E0855EB24BD}</x14:id>
        </ext>
      </extLst>
    </cfRule>
    <cfRule type="colorScale" priority="484">
      <colorScale>
        <cfvo type="min"/>
        <cfvo type="percentile" val="50"/>
        <cfvo type="max"/>
        <color rgb="FFF8696B"/>
        <color theme="4" tint="0.79998168889431442"/>
        <color rgb="FF00B0F0"/>
      </colorScale>
    </cfRule>
  </conditionalFormatting>
  <conditionalFormatting sqref="CM1:CM1048576">
    <cfRule type="dataBar" priority="366">
      <dataBar>
        <cfvo type="min"/>
        <cfvo type="max"/>
        <color rgb="FF008AEF"/>
      </dataBar>
      <extLst>
        <ext xmlns:x14="http://schemas.microsoft.com/office/spreadsheetml/2009/9/main" uri="{B025F937-C7B1-47D3-B67F-A62EFF666E3E}">
          <x14:id>{3F530B19-D044-4B1A-80D1-C16106E96D32}</x14:id>
        </ext>
      </extLst>
    </cfRule>
    <cfRule type="colorScale" priority="481">
      <colorScale>
        <cfvo type="min"/>
        <cfvo type="percentile" val="50"/>
        <cfvo type="max"/>
        <color rgb="FFF8696B"/>
        <color theme="4" tint="0.79998168889431442"/>
        <color rgb="FF00B0F0"/>
      </colorScale>
    </cfRule>
  </conditionalFormatting>
  <conditionalFormatting sqref="CN1:CN1048576">
    <cfRule type="dataBar" priority="367">
      <dataBar>
        <cfvo type="min"/>
        <cfvo type="max"/>
        <color rgb="FF008AEF"/>
      </dataBar>
      <extLst>
        <ext xmlns:x14="http://schemas.microsoft.com/office/spreadsheetml/2009/9/main" uri="{B025F937-C7B1-47D3-B67F-A62EFF666E3E}">
          <x14:id>{F0FE0B45-50CB-4CCE-B835-5A07810E6A85}</x14:id>
        </ext>
      </extLst>
    </cfRule>
    <cfRule type="colorScale" priority="480">
      <colorScale>
        <cfvo type="min"/>
        <cfvo type="percentile" val="50"/>
        <cfvo type="max"/>
        <color rgb="FFF8696B"/>
        <color theme="4" tint="0.79998168889431442"/>
        <color rgb="FF00B0F0"/>
      </colorScale>
    </cfRule>
  </conditionalFormatting>
  <conditionalFormatting sqref="CP1:CP1048576">
    <cfRule type="dataBar" priority="369">
      <dataBar>
        <cfvo type="min"/>
        <cfvo type="max"/>
        <color rgb="FF008AEF"/>
      </dataBar>
      <extLst>
        <ext xmlns:x14="http://schemas.microsoft.com/office/spreadsheetml/2009/9/main" uri="{B025F937-C7B1-47D3-B67F-A62EFF666E3E}">
          <x14:id>{782CC29C-0A36-4764-A4A6-F6CC29A5E01D}</x14:id>
        </ext>
      </extLst>
    </cfRule>
    <cfRule type="colorScale" priority="478">
      <colorScale>
        <cfvo type="min"/>
        <cfvo type="percentile" val="50"/>
        <cfvo type="max"/>
        <color rgb="FFF8696B"/>
        <color theme="4" tint="0.79998168889431442"/>
        <color rgb="FF00B0F0"/>
      </colorScale>
    </cfRule>
  </conditionalFormatting>
  <conditionalFormatting sqref="EJ1">
    <cfRule type="colorScale" priority="447">
      <colorScale>
        <cfvo type="min"/>
        <cfvo type="percentile" val="50"/>
        <cfvo type="max"/>
        <color rgb="FFF8696B"/>
        <color rgb="FFFFEB84"/>
        <color rgb="FF63BE7B"/>
      </colorScale>
    </cfRule>
  </conditionalFormatting>
  <conditionalFormatting sqref="EJ1">
    <cfRule type="colorScale" priority="446">
      <colorScale>
        <cfvo type="min"/>
        <cfvo type="percentile" val="50"/>
        <cfvo type="max"/>
        <color rgb="FFF8696B"/>
        <color rgb="FFFFEB84"/>
        <color rgb="FF63BE7B"/>
      </colorScale>
    </cfRule>
  </conditionalFormatting>
  <conditionalFormatting sqref="EJ1">
    <cfRule type="colorScale" priority="445">
      <colorScale>
        <cfvo type="min"/>
        <cfvo type="percentile" val="50"/>
        <cfvo type="max"/>
        <color rgb="FFF8696B"/>
        <color rgb="FFFFEB84"/>
        <color rgb="FF63BE7B"/>
      </colorScale>
    </cfRule>
  </conditionalFormatting>
  <conditionalFormatting sqref="EH1:EI1">
    <cfRule type="colorScale" priority="444">
      <colorScale>
        <cfvo type="min"/>
        <cfvo type="percentile" val="50"/>
        <cfvo type="max"/>
        <color rgb="FFF8696B"/>
        <color rgb="FFFFEB84"/>
        <color rgb="FF63BE7B"/>
      </colorScale>
    </cfRule>
  </conditionalFormatting>
  <conditionalFormatting sqref="EG1">
    <cfRule type="colorScale" priority="440">
      <colorScale>
        <cfvo type="min"/>
        <cfvo type="percentile" val="50"/>
        <cfvo type="max"/>
        <color rgb="FFF8696B"/>
        <color rgb="FFFFEB84"/>
        <color rgb="FF63BE7B"/>
      </colorScale>
    </cfRule>
  </conditionalFormatting>
  <conditionalFormatting sqref="EG1">
    <cfRule type="colorScale" priority="438">
      <colorScale>
        <cfvo type="min"/>
        <cfvo type="percentile" val="50"/>
        <cfvo type="max"/>
        <color rgb="FFF8696B"/>
        <color rgb="FFFFEB84"/>
        <color rgb="FF63BE7B"/>
      </colorScale>
    </cfRule>
  </conditionalFormatting>
  <conditionalFormatting sqref="EG1">
    <cfRule type="colorScale" priority="439">
      <colorScale>
        <cfvo type="min"/>
        <cfvo type="percentile" val="50"/>
        <cfvo type="max"/>
        <color rgb="FFF8696B"/>
        <color rgb="FFFFEB84"/>
        <color rgb="FF63BE7B"/>
      </colorScale>
    </cfRule>
  </conditionalFormatting>
  <conditionalFormatting sqref="EG1:EG1048576">
    <cfRule type="iconSet" priority="380">
      <iconSet iconSet="5Arrows">
        <cfvo type="percent" val="0"/>
        <cfvo type="percent" val="20"/>
        <cfvo type="percent" val="40"/>
        <cfvo type="percent" val="60"/>
        <cfvo type="percent" val="80"/>
      </iconSet>
    </cfRule>
    <cfRule type="colorScale" priority="423">
      <colorScale>
        <cfvo type="min"/>
        <cfvo type="percentile" val="50"/>
        <cfvo type="max"/>
        <color rgb="FFF8696B"/>
        <color rgb="FFFFEB84"/>
        <color rgb="FF63BE7B"/>
      </colorScale>
    </cfRule>
  </conditionalFormatting>
  <conditionalFormatting sqref="EH1:EH1048576">
    <cfRule type="iconSet" priority="379">
      <iconSet iconSet="5Arrows">
        <cfvo type="percent" val="0"/>
        <cfvo type="percent" val="20"/>
        <cfvo type="percent" val="40"/>
        <cfvo type="percent" val="60"/>
        <cfvo type="percent" val="80"/>
      </iconSet>
    </cfRule>
    <cfRule type="colorScale" priority="426">
      <colorScale>
        <cfvo type="min"/>
        <cfvo type="percentile" val="50"/>
        <cfvo type="max"/>
        <color rgb="FFF8696B"/>
        <color rgb="FFFFEB84"/>
        <color rgb="FF63BE7B"/>
      </colorScale>
    </cfRule>
  </conditionalFormatting>
  <conditionalFormatting sqref="EI1">
    <cfRule type="colorScale" priority="431">
      <colorScale>
        <cfvo type="min"/>
        <cfvo type="percentile" val="50"/>
        <cfvo type="max"/>
        <color rgb="FFF8696B"/>
        <color rgb="FFFFEB84"/>
        <color rgb="FF63BE7B"/>
      </colorScale>
    </cfRule>
  </conditionalFormatting>
  <conditionalFormatting sqref="EI1">
    <cfRule type="colorScale" priority="427">
      <colorScale>
        <cfvo type="min"/>
        <cfvo type="percentile" val="50"/>
        <cfvo type="max"/>
        <color rgb="FFF8696B"/>
        <color rgb="FFFFEB84"/>
        <color rgb="FF63BE7B"/>
      </colorScale>
    </cfRule>
  </conditionalFormatting>
  <conditionalFormatting sqref="EI1">
    <cfRule type="colorScale" priority="430">
      <colorScale>
        <cfvo type="min"/>
        <cfvo type="percentile" val="50"/>
        <cfvo type="max"/>
        <color rgb="FFF8696B"/>
        <color rgb="FFFFEB84"/>
        <color rgb="FF63BE7B"/>
      </colorScale>
    </cfRule>
  </conditionalFormatting>
  <conditionalFormatting sqref="EI1">
    <cfRule type="colorScale" priority="429">
      <colorScale>
        <cfvo type="min"/>
        <cfvo type="percentile" val="50"/>
        <cfvo type="max"/>
        <color rgb="FFF8696B"/>
        <color rgb="FFFFEB84"/>
        <color rgb="FF63BE7B"/>
      </colorScale>
    </cfRule>
  </conditionalFormatting>
  <conditionalFormatting sqref="EI1">
    <cfRule type="colorScale" priority="428">
      <colorScale>
        <cfvo type="min"/>
        <cfvo type="percentile" val="50"/>
        <cfvo type="max"/>
        <color rgb="FFF8696B"/>
        <color rgb="FFFFEB84"/>
        <color rgb="FF63BE7B"/>
      </colorScale>
    </cfRule>
  </conditionalFormatting>
  <conditionalFormatting sqref="EI1:EI1048576">
    <cfRule type="iconSet" priority="356">
      <iconSet iconSet="5Arrows">
        <cfvo type="percent" val="0"/>
        <cfvo type="percent" val="20"/>
        <cfvo type="percent" val="40"/>
        <cfvo type="percent" val="60"/>
        <cfvo type="percent" val="80"/>
      </iconSet>
    </cfRule>
    <cfRule type="colorScale" priority="425">
      <colorScale>
        <cfvo type="min"/>
        <cfvo type="percentile" val="50"/>
        <cfvo type="max"/>
        <color rgb="FFF8696B"/>
        <color rgb="FFFFEB84"/>
        <color rgb="FF63BE7B"/>
      </colorScale>
    </cfRule>
  </conditionalFormatting>
  <conditionalFormatting sqref="DG1">
    <cfRule type="colorScale" priority="422">
      <colorScale>
        <cfvo type="min"/>
        <cfvo type="percentile" val="50"/>
        <cfvo type="max"/>
        <color rgb="FFF8696B"/>
        <color rgb="FFFFEB84"/>
        <color rgb="FF63BE7B"/>
      </colorScale>
    </cfRule>
  </conditionalFormatting>
  <conditionalFormatting sqref="DF1:DF1048576">
    <cfRule type="colorScale" priority="420">
      <colorScale>
        <cfvo type="min"/>
        <cfvo type="percentile" val="50"/>
        <cfvo type="max"/>
        <color rgb="FFF8696B"/>
        <color rgb="FFFFEB84"/>
        <color rgb="FF63BE7B"/>
      </colorScale>
    </cfRule>
  </conditionalFormatting>
  <conditionalFormatting sqref="DG1:DG1048576">
    <cfRule type="colorScale" priority="419">
      <colorScale>
        <cfvo type="min"/>
        <cfvo type="percentile" val="50"/>
        <cfvo type="max"/>
        <color rgb="FFF8696B"/>
        <color rgb="FFFFEB84"/>
        <color rgb="FF63BE7B"/>
      </colorScale>
    </cfRule>
  </conditionalFormatting>
  <conditionalFormatting sqref="DH1:DH1048576">
    <cfRule type="colorScale" priority="418">
      <colorScale>
        <cfvo type="min"/>
        <cfvo type="percentile" val="50"/>
        <cfvo type="max"/>
        <color rgb="FFF8696B"/>
        <color rgb="FFFFEB84"/>
        <color rgb="FF63BE7B"/>
      </colorScale>
    </cfRule>
  </conditionalFormatting>
  <conditionalFormatting sqref="DY2:DY1048576">
    <cfRule type="iconSet" priority="362">
      <iconSet iconSet="5Arrows">
        <cfvo type="percent" val="0"/>
        <cfvo type="percent" val="20"/>
        <cfvo type="percent" val="40"/>
        <cfvo type="percent" val="60"/>
        <cfvo type="percent" val="80"/>
      </iconSet>
    </cfRule>
    <cfRule type="colorScale" priority="405">
      <colorScale>
        <cfvo type="min"/>
        <cfvo type="percentile" val="50"/>
        <cfvo type="max"/>
        <color rgb="FFF8696B"/>
        <color rgb="FFFFEB84"/>
        <color rgb="FF63BE7B"/>
      </colorScale>
    </cfRule>
  </conditionalFormatting>
  <conditionalFormatting sqref="DI1:DI1048576">
    <cfRule type="colorScale" priority="395">
      <colorScale>
        <cfvo type="min"/>
        <cfvo type="percentile" val="50"/>
        <cfvo type="max"/>
        <color rgb="FFF8696B"/>
        <color rgb="FFFFEB84"/>
        <color rgb="FF63BE7B"/>
      </colorScale>
    </cfRule>
  </conditionalFormatting>
  <conditionalFormatting sqref="F1:F1048576">
    <cfRule type="colorScale" priority="386">
      <colorScale>
        <cfvo type="num" val="0"/>
        <cfvo type="num" val="1.7"/>
        <cfvo type="num" val="1.83"/>
        <color rgb="FFF8696B"/>
        <color rgb="FFFFEB84"/>
        <color rgb="FF63BE7B"/>
      </colorScale>
    </cfRule>
  </conditionalFormatting>
  <conditionalFormatting sqref="CU1:CU1048576">
    <cfRule type="iconSet" priority="338">
      <iconSet iconSet="5Arrows">
        <cfvo type="percent" val="0"/>
        <cfvo type="percent" val="20"/>
        <cfvo type="percent" val="40"/>
        <cfvo type="percent" val="60"/>
        <cfvo type="percent" val="80"/>
      </iconSet>
    </cfRule>
    <cfRule type="colorScale" priority="385">
      <colorScale>
        <cfvo type="min"/>
        <cfvo type="percentile" val="50"/>
        <cfvo type="max"/>
        <color rgb="FFF8696B"/>
        <color rgb="FFFFEB84"/>
        <color rgb="FF63BE7B"/>
      </colorScale>
    </cfRule>
  </conditionalFormatting>
  <conditionalFormatting sqref="DY1:DZ1">
    <cfRule type="colorScale" priority="349">
      <colorScale>
        <cfvo type="min"/>
        <cfvo type="percentile" val="50"/>
        <cfvo type="max"/>
        <color rgb="FFF8696B"/>
        <color rgb="FFFFEB84"/>
        <color rgb="FF63BE7B"/>
      </colorScale>
    </cfRule>
  </conditionalFormatting>
  <conditionalFormatting sqref="DY1:DZ1">
    <cfRule type="colorScale" priority="348">
      <colorScale>
        <cfvo type="min"/>
        <cfvo type="percentile" val="50"/>
        <cfvo type="max"/>
        <color rgb="FFF8696B"/>
        <color rgb="FFFFEB84"/>
        <color rgb="FF63BE7B"/>
      </colorScale>
    </cfRule>
  </conditionalFormatting>
  <conditionalFormatting sqref="DY1:DZ1">
    <cfRule type="colorScale" priority="347">
      <colorScale>
        <cfvo type="min"/>
        <cfvo type="percentile" val="50"/>
        <cfvo type="max"/>
        <color rgb="FFF8696B"/>
        <color rgb="FFFFEB84"/>
        <color rgb="FF63BE7B"/>
      </colorScale>
    </cfRule>
  </conditionalFormatting>
  <conditionalFormatting sqref="DY1">
    <cfRule type="iconSet" priority="343">
      <iconSet iconSet="4Arrows">
        <cfvo type="percent" val="0"/>
        <cfvo type="percent" val="25"/>
        <cfvo type="percent" val="50"/>
        <cfvo type="percent" val="75"/>
      </iconSet>
    </cfRule>
    <cfRule type="colorScale" priority="346">
      <colorScale>
        <cfvo type="min"/>
        <cfvo type="percentile" val="50"/>
        <cfvo type="max"/>
        <color rgb="FFF8696B"/>
        <color rgb="FFFFEB84"/>
        <color rgb="FF63BE7B"/>
      </colorScale>
    </cfRule>
  </conditionalFormatting>
  <conditionalFormatting sqref="DZ1">
    <cfRule type="iconSet" priority="344">
      <iconSet iconSet="5Arrows">
        <cfvo type="percent" val="0"/>
        <cfvo type="percent" val="20"/>
        <cfvo type="percent" val="40"/>
        <cfvo type="percent" val="60"/>
        <cfvo type="percent" val="80"/>
      </iconSet>
    </cfRule>
    <cfRule type="colorScale" priority="345">
      <colorScale>
        <cfvo type="min"/>
        <cfvo type="percentile" val="50"/>
        <cfvo type="max"/>
        <color rgb="FFF8696B"/>
        <color rgb="FFFFEB84"/>
        <color rgb="FF63BE7B"/>
      </colorScale>
    </cfRule>
  </conditionalFormatting>
  <conditionalFormatting sqref="BG1:BG1048576">
    <cfRule type="iconSet" priority="1">
      <iconSet iconSet="5Arrows">
        <cfvo type="percent" val="0"/>
        <cfvo type="percent" val="20"/>
        <cfvo type="percent" val="40"/>
        <cfvo type="percent" val="60"/>
        <cfvo type="percent" val="80"/>
      </iconSet>
    </cfRule>
    <cfRule type="colorScale" priority="337">
      <colorScale>
        <cfvo type="min"/>
        <cfvo type="percentile" val="50"/>
        <cfvo type="max"/>
        <color rgb="FFF8696B"/>
        <color rgb="FFFFEB84"/>
        <color rgb="FF63BE7B"/>
      </colorScale>
    </cfRule>
  </conditionalFormatting>
  <conditionalFormatting sqref="BH1:BH1048576">
    <cfRule type="iconSet" priority="335">
      <iconSet iconSet="5Arrows" reverse="1">
        <cfvo type="percent" val="0"/>
        <cfvo type="percent" val="20"/>
        <cfvo type="percent" val="40"/>
        <cfvo type="percent" val="60"/>
        <cfvo type="percent" val="80"/>
      </iconSet>
    </cfRule>
    <cfRule type="colorScale" priority="336">
      <colorScale>
        <cfvo type="min"/>
        <cfvo type="max"/>
        <color rgb="FFFCFCFF"/>
        <color rgb="FFF8696B"/>
      </colorScale>
    </cfRule>
  </conditionalFormatting>
  <conditionalFormatting sqref="EJ1:EJ1048576">
    <cfRule type="colorScale" priority="312">
      <colorScale>
        <cfvo type="min"/>
        <cfvo type="percentile" val="50"/>
        <cfvo type="max"/>
        <color rgb="FFF8696B"/>
        <color rgb="FFFFEB84"/>
        <color rgb="FF63BE7B"/>
      </colorScale>
    </cfRule>
  </conditionalFormatting>
  <conditionalFormatting sqref="EP1:EP1048576">
    <cfRule type="iconSet" priority="310">
      <iconSet iconSet="5Arrows" reverse="1">
        <cfvo type="percent" val="0"/>
        <cfvo type="percent" val="20"/>
        <cfvo type="percent" val="40"/>
        <cfvo type="percent" val="60"/>
        <cfvo type="percent" val="80"/>
      </iconSet>
    </cfRule>
    <cfRule type="colorScale" priority="311">
      <colorScale>
        <cfvo type="min"/>
        <cfvo type="percentile" val="50"/>
        <cfvo type="max"/>
        <color rgb="FF63BE7B"/>
        <color rgb="FFFFEB84"/>
        <color rgb="FFF8696B"/>
      </colorScale>
    </cfRule>
  </conditionalFormatting>
  <conditionalFormatting sqref="EN1:EN1048576">
    <cfRule type="iconSet" priority="306">
      <iconSet iconSet="5Arrows" reverse="1">
        <cfvo type="percent" val="0"/>
        <cfvo type="percent" val="20"/>
        <cfvo type="percent" val="40"/>
        <cfvo type="percent" val="60"/>
        <cfvo type="percent" val="80"/>
      </iconSet>
    </cfRule>
    <cfRule type="colorScale" priority="308">
      <colorScale>
        <cfvo type="min"/>
        <cfvo type="max"/>
        <color rgb="FFFCFCFF"/>
        <color rgb="FFF8696B"/>
      </colorScale>
    </cfRule>
  </conditionalFormatting>
  <conditionalFormatting sqref="EO1:EO1048576">
    <cfRule type="iconSet" priority="305">
      <iconSet iconSet="5Arrows" reverse="1">
        <cfvo type="percent" val="0"/>
        <cfvo type="percent" val="20"/>
        <cfvo type="percent" val="40"/>
        <cfvo type="percent" val="60"/>
        <cfvo type="percent" val="80"/>
      </iconSet>
    </cfRule>
    <cfRule type="colorScale" priority="307">
      <colorScale>
        <cfvo type="min"/>
        <cfvo type="max"/>
        <color rgb="FFFCFCFF"/>
        <color rgb="FFF8696B"/>
      </colorScale>
    </cfRule>
  </conditionalFormatting>
  <conditionalFormatting sqref="DM1:DM1048576">
    <cfRule type="iconSet" priority="299">
      <iconSet iconSet="5Arrows">
        <cfvo type="percent" val="0"/>
        <cfvo type="percent" val="20"/>
        <cfvo type="percent" val="40"/>
        <cfvo type="percent" val="60"/>
        <cfvo type="percent" val="80"/>
      </iconSet>
    </cfRule>
    <cfRule type="colorScale" priority="300">
      <colorScale>
        <cfvo type="min"/>
        <cfvo type="percentile" val="50"/>
        <cfvo type="max"/>
        <color rgb="FFF8696B"/>
        <color rgb="FFFCFCFF"/>
        <color rgb="FF5A8AC6"/>
      </colorScale>
    </cfRule>
  </conditionalFormatting>
  <conditionalFormatting sqref="DN1:DN1048576">
    <cfRule type="colorScale" priority="280">
      <colorScale>
        <cfvo type="min"/>
        <cfvo type="percentile" val="50"/>
        <cfvo type="max"/>
        <color rgb="FFF8696B"/>
        <color rgb="FFD9E1F2"/>
        <color rgb="FF00B0F0"/>
      </colorScale>
    </cfRule>
    <cfRule type="iconSet" priority="297">
      <iconSet iconSet="5Arrows">
        <cfvo type="percent" val="0"/>
        <cfvo type="percent" val="20"/>
        <cfvo type="percent" val="40"/>
        <cfvo type="percent" val="60"/>
        <cfvo type="percent" val="80"/>
      </iconSet>
    </cfRule>
  </conditionalFormatting>
  <conditionalFormatting sqref="U1:U1048576">
    <cfRule type="iconSet" priority="281">
      <iconSet iconSet="3ArrowsGray">
        <cfvo type="percent" val="0"/>
        <cfvo type="percent" val="33"/>
        <cfvo type="percent" val="67"/>
      </iconSet>
    </cfRule>
    <cfRule type="colorScale" priority="289">
      <colorScale>
        <cfvo type="min"/>
        <cfvo type="percentile" val="50"/>
        <cfvo type="max"/>
        <color theme="5" tint="0.79998168889431442"/>
        <color theme="5" tint="0.39997558519241921"/>
        <color theme="5" tint="-0.249977111117893"/>
      </colorScale>
    </cfRule>
  </conditionalFormatting>
  <conditionalFormatting sqref="V1:V1048576">
    <cfRule type="iconSet" priority="286">
      <iconSet iconSet="3ArrowsGray" reverse="1">
        <cfvo type="percent" val="0"/>
        <cfvo type="percent" val="33"/>
        <cfvo type="percent" val="67"/>
      </iconSet>
    </cfRule>
    <cfRule type="colorScale" priority="288">
      <colorScale>
        <cfvo type="min"/>
        <cfvo type="percentile" val="50"/>
        <cfvo type="max"/>
        <color theme="5" tint="-0.249977111117893"/>
        <color theme="5" tint="0.39997558519241921"/>
        <color theme="5" tint="0.79998168889431442"/>
      </colorScale>
    </cfRule>
  </conditionalFormatting>
  <conditionalFormatting sqref="W1:W1048576">
    <cfRule type="colorScale" priority="284">
      <colorScale>
        <cfvo type="min"/>
        <cfvo type="percentile" val="50"/>
        <cfvo type="max"/>
        <color theme="5" tint="0.79998168889431442"/>
        <color theme="5" tint="0.39997558519241921"/>
        <color theme="5" tint="-0.249977111117893"/>
      </colorScale>
    </cfRule>
  </conditionalFormatting>
  <conditionalFormatting sqref="N1:N1048576">
    <cfRule type="iconSet" priority="275">
      <iconSet iconSet="5Arrows">
        <cfvo type="percent" val="0"/>
        <cfvo type="percent" val="20"/>
        <cfvo type="percent" val="40"/>
        <cfvo type="percent" val="60"/>
        <cfvo type="percent" val="80"/>
      </iconSet>
    </cfRule>
    <cfRule type="colorScale" priority="276">
      <colorScale>
        <cfvo type="min"/>
        <cfvo type="num" val="75"/>
        <cfvo type="num" val="90"/>
        <color rgb="FFF8696B"/>
        <color rgb="FFFFEB84"/>
        <color rgb="FF63BE7B"/>
      </colorScale>
    </cfRule>
  </conditionalFormatting>
  <conditionalFormatting sqref="O1:O1048576">
    <cfRule type="dataBar" priority="272">
      <dataBar>
        <cfvo type="min"/>
        <cfvo type="max"/>
        <color rgb="FF008AEF"/>
      </dataBar>
      <extLst>
        <ext xmlns:x14="http://schemas.microsoft.com/office/spreadsheetml/2009/9/main" uri="{B025F937-C7B1-47D3-B67F-A62EFF666E3E}">
          <x14:id>{4710D6D0-D2CC-45C2-B07A-568AC19364E2}</x14:id>
        </ext>
      </extLst>
    </cfRule>
    <cfRule type="colorScale" priority="273">
      <colorScale>
        <cfvo type="min"/>
        <cfvo type="percentile" val="50"/>
        <cfvo type="max"/>
        <color rgb="FFF8696B"/>
        <color rgb="FFFFEB84"/>
        <color rgb="FF63BE7B"/>
      </colorScale>
    </cfRule>
  </conditionalFormatting>
  <conditionalFormatting sqref="P1:P1048576">
    <cfRule type="iconSet" priority="268">
      <iconSet iconSet="5Arrows">
        <cfvo type="percent" val="0"/>
        <cfvo type="percent" val="20"/>
        <cfvo type="percent" val="40"/>
        <cfvo type="percent" val="60"/>
        <cfvo type="percent" val="80"/>
      </iconSet>
    </cfRule>
    <cfRule type="colorScale" priority="269">
      <colorScale>
        <cfvo type="min"/>
        <cfvo type="percentile" val="50"/>
        <cfvo type="max"/>
        <color rgb="FFF8696B"/>
        <color rgb="FFFFEB84"/>
        <color rgb="FF63BE7B"/>
      </colorScale>
    </cfRule>
  </conditionalFormatting>
  <conditionalFormatting sqref="Q1:Q1048576">
    <cfRule type="colorScale" priority="267">
      <colorScale>
        <cfvo type="min"/>
        <cfvo type="percentile" val="50"/>
        <cfvo type="max"/>
        <color rgb="FFF8696B"/>
        <color rgb="FFFFEB84"/>
        <color rgb="FF63BE7B"/>
      </colorScale>
    </cfRule>
  </conditionalFormatting>
  <conditionalFormatting sqref="R1:R1048576">
    <cfRule type="colorScale" priority="266">
      <colorScale>
        <cfvo type="min"/>
        <cfvo type="percentile" val="50"/>
        <cfvo type="max"/>
        <color rgb="FFF8696B"/>
        <color rgb="FFFFEB84"/>
        <color rgb="FF63BE7B"/>
      </colorScale>
    </cfRule>
  </conditionalFormatting>
  <conditionalFormatting sqref="S1:S1048576">
    <cfRule type="colorScale" priority="265">
      <colorScale>
        <cfvo type="min"/>
        <cfvo type="percentile" val="50"/>
        <cfvo type="max"/>
        <color rgb="FFF8696B"/>
        <color rgb="FFFFEB84"/>
        <color rgb="FF63BE7B"/>
      </colorScale>
    </cfRule>
  </conditionalFormatting>
  <conditionalFormatting sqref="T1:T1048576">
    <cfRule type="colorScale" priority="264">
      <colorScale>
        <cfvo type="min"/>
        <cfvo type="percentile" val="50"/>
        <cfvo type="max"/>
        <color rgb="FFF8696B"/>
        <color rgb="FFFFEB84"/>
        <color rgb="FF63BE7B"/>
      </colorScale>
    </cfRule>
  </conditionalFormatting>
  <conditionalFormatting sqref="AO1:AO1048576">
    <cfRule type="colorScale" priority="41">
      <colorScale>
        <cfvo type="min"/>
        <cfvo type="percentile" val="50"/>
        <cfvo type="max"/>
        <color rgb="FFF8696B"/>
        <color rgb="FFFFEB84"/>
        <color rgb="FF63BE7B"/>
      </colorScale>
    </cfRule>
    <cfRule type="iconSet" priority="256">
      <iconSet>
        <cfvo type="percent" val="0"/>
        <cfvo type="percent" val="33"/>
        <cfvo type="percent" val="67"/>
      </iconSet>
    </cfRule>
  </conditionalFormatting>
  <conditionalFormatting sqref="I1:I1048576">
    <cfRule type="colorScale" priority="254">
      <colorScale>
        <cfvo type="min"/>
        <cfvo type="percentile" val="50"/>
        <cfvo type="max"/>
        <color rgb="FF63BE7B"/>
        <color rgb="FFFFEB84"/>
        <color rgb="FFF8696B"/>
      </colorScale>
    </cfRule>
  </conditionalFormatting>
  <conditionalFormatting sqref="L1:L1048576">
    <cfRule type="colorScale" priority="251">
      <colorScale>
        <cfvo type="min"/>
        <cfvo type="percentile" val="50"/>
        <cfvo type="max"/>
        <color rgb="FFF8696B"/>
        <color rgb="FFFFEB84"/>
        <color rgb="FF63BE7B"/>
      </colorScale>
    </cfRule>
  </conditionalFormatting>
  <conditionalFormatting sqref="M1:M1048576">
    <cfRule type="colorScale" priority="250">
      <colorScale>
        <cfvo type="min"/>
        <cfvo type="percentile" val="50"/>
        <cfvo type="max"/>
        <color rgb="FFF8696B"/>
        <color rgb="FFFFEB84"/>
        <color rgb="FF63BE7B"/>
      </colorScale>
    </cfRule>
  </conditionalFormatting>
  <conditionalFormatting sqref="J1:J1048576">
    <cfRule type="containsText" dxfId="1" priority="237" operator="containsText" text="Desconhecido">
      <formula>NOT(ISERROR(SEARCH("Desconhecido",J1)))</formula>
    </cfRule>
    <cfRule type="containsText" dxfId="0" priority="238" operator="containsText" text="Não está à venda">
      <formula>NOT(ISERROR(SEARCH("Não está à venda",J1)))</formula>
    </cfRule>
  </conditionalFormatting>
  <conditionalFormatting sqref="DD1:DD1048576">
    <cfRule type="dataBar" priority="227">
      <dataBar>
        <cfvo type="min"/>
        <cfvo type="max"/>
        <color theme="4" tint="-0.249977111117893"/>
      </dataBar>
      <extLst>
        <ext xmlns:x14="http://schemas.microsoft.com/office/spreadsheetml/2009/9/main" uri="{B025F937-C7B1-47D3-B67F-A62EFF666E3E}">
          <x14:id>{6DDC7AAF-373F-4AAB-A24C-0B2D4B0185A5}</x14:id>
        </ext>
      </extLst>
    </cfRule>
    <cfRule type="iconSet" priority="235">
      <iconSet iconSet="5Arrows">
        <cfvo type="percent" val="0"/>
        <cfvo type="percent" val="20"/>
        <cfvo type="percent" val="40"/>
        <cfvo type="percent" val="60"/>
        <cfvo type="percent" val="80"/>
      </iconSet>
    </cfRule>
  </conditionalFormatting>
  <conditionalFormatting sqref="DO1:DO1048576">
    <cfRule type="colorScale" priority="231">
      <colorScale>
        <cfvo type="min"/>
        <cfvo type="percentile" val="50"/>
        <cfvo type="max"/>
        <color rgb="FFF8696B"/>
        <color rgb="FFD9E1F2"/>
        <color rgb="FF00B0F0"/>
      </colorScale>
    </cfRule>
  </conditionalFormatting>
  <conditionalFormatting sqref="BU1:BU1048576">
    <cfRule type="iconSet" priority="217">
      <iconSet iconSet="5Arrows" reverse="1">
        <cfvo type="percent" val="0"/>
        <cfvo type="percent" val="20"/>
        <cfvo type="percent" val="40"/>
        <cfvo type="percent" val="60"/>
        <cfvo type="percent" val="80"/>
      </iconSet>
    </cfRule>
    <cfRule type="colorScale" priority="218">
      <colorScale>
        <cfvo type="min"/>
        <cfvo type="percentile" val="50"/>
        <cfvo type="max"/>
        <color rgb="FF63BE7B"/>
        <color rgb="FFFFEB84"/>
        <color rgb="FFF8696B"/>
      </colorScale>
    </cfRule>
  </conditionalFormatting>
  <conditionalFormatting sqref="BQ1:BQ1048576">
    <cfRule type="iconSet" priority="201">
      <iconSet iconSet="5Arrows">
        <cfvo type="percent" val="0"/>
        <cfvo type="percent" val="20"/>
        <cfvo type="percent" val="40"/>
        <cfvo type="percent" val="60"/>
        <cfvo type="percent" val="80"/>
      </iconSet>
    </cfRule>
    <cfRule type="colorScale" priority="202">
      <colorScale>
        <cfvo type="min"/>
        <cfvo type="percentile" val="50"/>
        <cfvo type="max"/>
        <color rgb="FFF8696B"/>
        <color rgb="FFFFEB84"/>
        <color rgb="FF63BE7B"/>
      </colorScale>
    </cfRule>
  </conditionalFormatting>
  <conditionalFormatting sqref="BT1:BT1048576">
    <cfRule type="iconSet" priority="199">
      <iconSet iconSet="5Arrows">
        <cfvo type="percent" val="0"/>
        <cfvo type="percent" val="20"/>
        <cfvo type="percent" val="40"/>
        <cfvo type="percent" val="60"/>
        <cfvo type="percent" val="80"/>
      </iconSet>
    </cfRule>
    <cfRule type="colorScale" priority="200">
      <colorScale>
        <cfvo type="min"/>
        <cfvo type="percentile" val="50"/>
        <cfvo type="max"/>
        <color rgb="FFF8696B"/>
        <color rgb="FFFFEB84"/>
        <color rgb="FF63BE7B"/>
      </colorScale>
    </cfRule>
  </conditionalFormatting>
  <conditionalFormatting sqref="EQ1:EQ1048576">
    <cfRule type="iconSet" priority="195">
      <iconSet iconSet="3Arrows">
        <cfvo type="percent" val="0"/>
        <cfvo type="num" val="6.7"/>
        <cfvo type="num" val="7"/>
      </iconSet>
    </cfRule>
    <cfRule type="colorScale" priority="196">
      <colorScale>
        <cfvo type="num" val="6.6"/>
        <cfvo type="num" val="6.7"/>
        <cfvo type="num" val="7"/>
        <color rgb="FFF8696B"/>
        <color rgb="FFFFEB84"/>
        <color rgb="FF63BE7B"/>
      </colorScale>
    </cfRule>
  </conditionalFormatting>
  <conditionalFormatting sqref="DR1:DR1048576">
    <cfRule type="colorScale" priority="173">
      <colorScale>
        <cfvo type="min"/>
        <cfvo type="percentile" val="50"/>
        <cfvo type="max"/>
        <color rgb="FFF4B084"/>
        <color rgb="FFF08E52"/>
        <color rgb="FFEC7328"/>
      </colorScale>
    </cfRule>
  </conditionalFormatting>
  <conditionalFormatting sqref="DS1:DS1048576">
    <cfRule type="colorScale" priority="171">
      <colorScale>
        <cfvo type="min"/>
        <cfvo type="percentile" val="50"/>
        <cfvo type="max"/>
        <color rgb="FFF4B084"/>
        <color rgb="FFF08E52"/>
        <color rgb="FFEC7328"/>
      </colorScale>
    </cfRule>
  </conditionalFormatting>
  <conditionalFormatting sqref="DT1:DT1048576">
    <cfRule type="iconSet" priority="164">
      <iconSet iconSet="5Arrows">
        <cfvo type="percent" val="0"/>
        <cfvo type="percent" val="20"/>
        <cfvo type="percent" val="40"/>
        <cfvo type="percent" val="60"/>
        <cfvo type="percent" val="80"/>
      </iconSet>
    </cfRule>
    <cfRule type="colorScale" priority="170">
      <colorScale>
        <cfvo type="min"/>
        <cfvo type="percentile" val="50"/>
        <cfvo type="max"/>
        <color rgb="FFF8696B"/>
        <color rgb="FFFFEB84"/>
        <color rgb="FF63BE7B"/>
      </colorScale>
    </cfRule>
  </conditionalFormatting>
  <conditionalFormatting sqref="DU1:DU1048576">
    <cfRule type="iconSet" priority="163">
      <iconSet iconSet="5Arrows">
        <cfvo type="percent" val="0"/>
        <cfvo type="percent" val="20"/>
        <cfvo type="percent" val="40"/>
        <cfvo type="percent" val="60"/>
        <cfvo type="percent" val="80"/>
      </iconSet>
    </cfRule>
    <cfRule type="colorScale" priority="169">
      <colorScale>
        <cfvo type="min"/>
        <cfvo type="percentile" val="50"/>
        <cfvo type="max"/>
        <color rgb="FFF8696B"/>
        <color rgb="FFFFEB84"/>
        <color rgb="FF63BE7B"/>
      </colorScale>
    </cfRule>
  </conditionalFormatting>
  <conditionalFormatting sqref="DV1:DV1048576">
    <cfRule type="iconSet" priority="165">
      <iconSet iconSet="5ArrowsGray" reverse="1">
        <cfvo type="percent" val="0"/>
        <cfvo type="percent" val="20"/>
        <cfvo type="percent" val="40"/>
        <cfvo type="percent" val="60"/>
        <cfvo type="percent" val="80"/>
      </iconSet>
    </cfRule>
    <cfRule type="colorScale" priority="168">
      <colorScale>
        <cfvo type="min"/>
        <cfvo type="max"/>
        <color rgb="FFFCFCFF"/>
        <color rgb="FFF8696B"/>
      </colorScale>
    </cfRule>
  </conditionalFormatting>
  <conditionalFormatting sqref="DW1:DW1048576">
    <cfRule type="iconSet" priority="166">
      <iconSet iconSet="5ArrowsGray" reverse="1">
        <cfvo type="percent" val="0"/>
        <cfvo type="percent" val="20"/>
        <cfvo type="percent" val="40"/>
        <cfvo type="percent" val="60"/>
        <cfvo type="percent" val="80"/>
      </iconSet>
    </cfRule>
    <cfRule type="colorScale" priority="167">
      <colorScale>
        <cfvo type="min"/>
        <cfvo type="max"/>
        <color rgb="FFFCFCFF"/>
        <color rgb="FFF8696B"/>
      </colorScale>
    </cfRule>
  </conditionalFormatting>
  <conditionalFormatting sqref="DX1:DX1048576">
    <cfRule type="iconSet" priority="160">
      <iconSet iconSet="5Arrows">
        <cfvo type="percent" val="0"/>
        <cfvo type="percent" val="20"/>
        <cfvo type="percent" val="40"/>
        <cfvo type="percent" val="60"/>
        <cfvo type="percent" val="80"/>
      </iconSet>
    </cfRule>
    <cfRule type="colorScale" priority="161">
      <colorScale>
        <cfvo type="min"/>
        <cfvo type="percentile" val="50"/>
        <cfvo type="max"/>
        <color rgb="FFF8696B"/>
        <color rgb="FFFFEB84"/>
        <color rgb="FF63BE7B"/>
      </colorScale>
    </cfRule>
  </conditionalFormatting>
  <conditionalFormatting sqref="CQ1:CQ1048576">
    <cfRule type="dataBar" priority="158">
      <dataBar>
        <cfvo type="min"/>
        <cfvo type="max"/>
        <color rgb="FF008AEF"/>
      </dataBar>
      <extLst>
        <ext xmlns:x14="http://schemas.microsoft.com/office/spreadsheetml/2009/9/main" uri="{B025F937-C7B1-47D3-B67F-A62EFF666E3E}">
          <x14:id>{C44FA3A8-7BE4-4DC0-913B-0A46DCF1586D}</x14:id>
        </ext>
      </extLst>
    </cfRule>
    <cfRule type="colorScale" priority="159">
      <colorScale>
        <cfvo type="min"/>
        <cfvo type="percentile" val="50"/>
        <cfvo type="max"/>
        <color rgb="FFF8696B"/>
        <color rgb="FFDDEBF7"/>
        <color rgb="FF00B0F0"/>
      </colorScale>
    </cfRule>
  </conditionalFormatting>
  <conditionalFormatting sqref="CS1:CS1048576">
    <cfRule type="iconSet" priority="150">
      <iconSet iconSet="5Arrows">
        <cfvo type="percent" val="0"/>
        <cfvo type="percent" val="20"/>
        <cfvo type="percent" val="40"/>
        <cfvo type="percent" val="60"/>
        <cfvo type="percent" val="80"/>
      </iconSet>
    </cfRule>
    <cfRule type="colorScale" priority="152">
      <colorScale>
        <cfvo type="min"/>
        <cfvo type="percentile" val="50"/>
        <cfvo type="max"/>
        <color rgb="FFF8696B"/>
        <color rgb="FFFFEB84"/>
        <color rgb="FF63BE7B"/>
      </colorScale>
    </cfRule>
  </conditionalFormatting>
  <conditionalFormatting sqref="CT1:CT1048576">
    <cfRule type="iconSet" priority="149">
      <iconSet iconSet="5Arrows">
        <cfvo type="percent" val="0"/>
        <cfvo type="percent" val="20"/>
        <cfvo type="percent" val="40"/>
        <cfvo type="percent" val="60"/>
        <cfvo type="percent" val="80"/>
      </iconSet>
    </cfRule>
    <cfRule type="colorScale" priority="151">
      <colorScale>
        <cfvo type="min"/>
        <cfvo type="percentile" val="50"/>
        <cfvo type="max"/>
        <color rgb="FFF8696B"/>
        <color rgb="FFFFEB84"/>
        <color rgb="FF63BE7B"/>
      </colorScale>
    </cfRule>
  </conditionalFormatting>
  <conditionalFormatting sqref="BW1:BW1048576">
    <cfRule type="iconSet" priority="145">
      <iconSet iconSet="5Arrows" reverse="1">
        <cfvo type="percent" val="0"/>
        <cfvo type="percent" val="20"/>
        <cfvo type="percent" val="40"/>
        <cfvo type="percent" val="60"/>
        <cfvo type="percent" val="80"/>
      </iconSet>
    </cfRule>
    <cfRule type="colorScale" priority="146">
      <colorScale>
        <cfvo type="min"/>
        <cfvo type="percentile" val="50"/>
        <cfvo type="max"/>
        <color rgb="FF63BE7B"/>
        <color rgb="FFFFEB84"/>
        <color rgb="FFF8696B"/>
      </colorScale>
    </cfRule>
  </conditionalFormatting>
  <conditionalFormatting sqref="BX1:BX1048576">
    <cfRule type="colorScale" priority="144">
      <colorScale>
        <cfvo type="min"/>
        <cfvo type="percentile" val="50"/>
        <cfvo type="max"/>
        <color rgb="FFF8696B"/>
        <color rgb="FFFFEB84"/>
        <color rgb="FF63BE7B"/>
      </colorScale>
    </cfRule>
  </conditionalFormatting>
  <conditionalFormatting sqref="BV1:BV1048576">
    <cfRule type="iconSet" priority="140">
      <iconSet iconSet="5Arrows" reverse="1">
        <cfvo type="percent" val="0"/>
        <cfvo type="percent" val="20"/>
        <cfvo type="percent" val="40"/>
        <cfvo type="percent" val="60"/>
        <cfvo type="percent" val="80"/>
      </iconSet>
    </cfRule>
    <cfRule type="colorScale" priority="141">
      <colorScale>
        <cfvo type="min"/>
        <cfvo type="percentile" val="50"/>
        <cfvo type="max"/>
        <color rgb="FF63BE7B"/>
        <color rgb="FFFFEB84"/>
        <color rgb="FFF8696B"/>
      </colorScale>
    </cfRule>
  </conditionalFormatting>
  <conditionalFormatting sqref="BL1:BL1048576">
    <cfRule type="iconSet" priority="135">
      <iconSet iconSet="5Arrows">
        <cfvo type="percent" val="0"/>
        <cfvo type="percent" val="20"/>
        <cfvo type="percent" val="40"/>
        <cfvo type="percent" val="60"/>
        <cfvo type="percent" val="80"/>
      </iconSet>
    </cfRule>
    <cfRule type="colorScale" priority="139">
      <colorScale>
        <cfvo type="min"/>
        <cfvo type="max"/>
        <color rgb="FFFFEF9C"/>
        <color rgb="FF63BE7B"/>
      </colorScale>
    </cfRule>
  </conditionalFormatting>
  <conditionalFormatting sqref="BM1:BM1048576">
    <cfRule type="iconSet" priority="134">
      <iconSet iconSet="5Arrows">
        <cfvo type="percent" val="0"/>
        <cfvo type="percent" val="20"/>
        <cfvo type="percent" val="40"/>
        <cfvo type="percent" val="60"/>
        <cfvo type="percent" val="80"/>
      </iconSet>
    </cfRule>
    <cfRule type="colorScale" priority="138">
      <colorScale>
        <cfvo type="min"/>
        <cfvo type="max"/>
        <color rgb="FFFFEF9C"/>
        <color rgb="FF63BE7B"/>
      </colorScale>
    </cfRule>
  </conditionalFormatting>
  <conditionalFormatting sqref="BP1:BP1048576">
    <cfRule type="iconSet" priority="136">
      <iconSet iconSet="5Arrows">
        <cfvo type="percent" val="0"/>
        <cfvo type="percent" val="20"/>
        <cfvo type="percent" val="40"/>
        <cfvo type="percent" val="60"/>
        <cfvo type="percent" val="80"/>
      </iconSet>
    </cfRule>
    <cfRule type="colorScale" priority="137">
      <colorScale>
        <cfvo type="min"/>
        <cfvo type="percentile" val="50"/>
        <cfvo type="max"/>
        <color rgb="FFF8696B"/>
        <color rgb="FFFFEB84"/>
        <color rgb="FF63BE7B"/>
      </colorScale>
    </cfRule>
  </conditionalFormatting>
  <conditionalFormatting sqref="CF1:CF1048576">
    <cfRule type="colorScale" priority="132">
      <colorScale>
        <cfvo type="min"/>
        <cfvo type="percentile" val="50"/>
        <cfvo type="max"/>
        <color rgb="FF63BE7B"/>
        <color rgb="FFFFEB84"/>
        <color rgb="FFF8696B"/>
      </colorScale>
    </cfRule>
  </conditionalFormatting>
  <conditionalFormatting sqref="CG1:CG1048576">
    <cfRule type="colorScale" priority="130">
      <colorScale>
        <cfvo type="min"/>
        <cfvo type="percentile" val="50"/>
        <cfvo type="max"/>
        <color rgb="FF63BE7B"/>
        <color rgb="FFFFEB84"/>
        <color rgb="FFF8696B"/>
      </colorScale>
    </cfRule>
  </conditionalFormatting>
  <conditionalFormatting sqref="CV1:CV1048576">
    <cfRule type="colorScale" priority="129">
      <colorScale>
        <cfvo type="num" val="-1"/>
        <cfvo type="num" val="0"/>
        <cfvo type="max"/>
        <color rgb="FFF8696B"/>
        <color rgb="FFFFEB84"/>
        <color rgb="FF63BE7B"/>
      </colorScale>
    </cfRule>
  </conditionalFormatting>
  <conditionalFormatting sqref="CW1:CW1048576">
    <cfRule type="iconSet" priority="96">
      <iconSet iconSet="5Arrows">
        <cfvo type="percent" val="0"/>
        <cfvo type="percent" val="20"/>
        <cfvo type="percent" val="40"/>
        <cfvo type="percent" val="60"/>
        <cfvo type="percent" val="80"/>
      </iconSet>
    </cfRule>
    <cfRule type="colorScale" priority="119">
      <colorScale>
        <cfvo type="min"/>
        <cfvo type="percentile" val="50"/>
        <cfvo type="max"/>
        <color rgb="FFF8696B"/>
        <color rgb="FFFCFCFF"/>
        <color rgb="FF5A8AC6"/>
      </colorScale>
    </cfRule>
  </conditionalFormatting>
  <conditionalFormatting sqref="CX1:CX1048576">
    <cfRule type="iconSet" priority="95">
      <iconSet iconSet="5Arrows">
        <cfvo type="percent" val="0"/>
        <cfvo type="percent" val="20"/>
        <cfvo type="percent" val="40"/>
        <cfvo type="percent" val="60"/>
        <cfvo type="percent" val="80"/>
      </iconSet>
    </cfRule>
    <cfRule type="colorScale" priority="118">
      <colorScale>
        <cfvo type="min"/>
        <cfvo type="percentile" val="50"/>
        <cfvo type="max"/>
        <color rgb="FFF8696B"/>
        <color rgb="FFFCFCFF"/>
        <color rgb="FF5A8AC6"/>
      </colorScale>
    </cfRule>
  </conditionalFormatting>
  <conditionalFormatting sqref="CY1:CY1048576">
    <cfRule type="iconSet" priority="94">
      <iconSet iconSet="5Arrows">
        <cfvo type="percent" val="0"/>
        <cfvo type="percent" val="20"/>
        <cfvo type="percent" val="40"/>
        <cfvo type="percent" val="60"/>
        <cfvo type="percent" val="80"/>
      </iconSet>
    </cfRule>
    <cfRule type="colorScale" priority="117">
      <colorScale>
        <cfvo type="min"/>
        <cfvo type="percentile" val="50"/>
        <cfvo type="max"/>
        <color rgb="FFF8696B"/>
        <color rgb="FFFCFCFF"/>
        <color rgb="FF5A8AC6"/>
      </colorScale>
    </cfRule>
  </conditionalFormatting>
  <conditionalFormatting sqref="CZ1:CZ1048576">
    <cfRule type="iconSet" priority="93">
      <iconSet iconSet="5Arrows">
        <cfvo type="percent" val="0"/>
        <cfvo type="percent" val="20"/>
        <cfvo type="percent" val="40"/>
        <cfvo type="percent" val="60"/>
        <cfvo type="percent" val="80"/>
      </iconSet>
    </cfRule>
    <cfRule type="colorScale" priority="116">
      <colorScale>
        <cfvo type="min"/>
        <cfvo type="percentile" val="50"/>
        <cfvo type="max"/>
        <color rgb="FFF8696B"/>
        <color rgb="FFFCFCFF"/>
        <color rgb="FF5A8AC6"/>
      </colorScale>
    </cfRule>
  </conditionalFormatting>
  <conditionalFormatting sqref="DA1:DA1048576">
    <cfRule type="colorScale" priority="115">
      <colorScale>
        <cfvo type="min"/>
        <cfvo type="percentile" val="50"/>
        <cfvo type="max"/>
        <color rgb="FFF8696B"/>
        <color rgb="FFFCFCFF"/>
        <color rgb="FF5A8AC6"/>
      </colorScale>
    </cfRule>
  </conditionalFormatting>
  <conditionalFormatting sqref="EB1:EB1048576">
    <cfRule type="iconSet" priority="105">
      <iconSet iconSet="5Arrows">
        <cfvo type="percent" val="0"/>
        <cfvo type="percent" val="20"/>
        <cfvo type="percent" val="40"/>
        <cfvo type="percent" val="60"/>
        <cfvo type="percent" val="80"/>
      </iconSet>
    </cfRule>
    <cfRule type="colorScale" priority="106">
      <colorScale>
        <cfvo type="min"/>
        <cfvo type="percentile" val="50"/>
        <cfvo type="max"/>
        <color rgb="FFF8696B"/>
        <color theme="4" tint="0.59999389629810485"/>
        <color theme="4" tint="-0.249977111117893"/>
      </colorScale>
    </cfRule>
  </conditionalFormatting>
  <conditionalFormatting sqref="EC1:EC1048576">
    <cfRule type="colorScale" priority="100">
      <colorScale>
        <cfvo type="min"/>
        <cfvo type="percentile" val="50"/>
        <cfvo type="max"/>
        <color rgb="FFF8696B"/>
        <color rgb="FF9BC2E6"/>
        <color rgb="FF2F75B5"/>
      </colorScale>
    </cfRule>
    <cfRule type="iconSet" priority="104">
      <iconSet iconSet="5Arrows">
        <cfvo type="percent" val="0"/>
        <cfvo type="percent" val="20"/>
        <cfvo type="percent" val="40"/>
        <cfvo type="percent" val="60"/>
        <cfvo type="percent" val="80"/>
      </iconSet>
    </cfRule>
  </conditionalFormatting>
  <conditionalFormatting sqref="ED1:ED1048576">
    <cfRule type="colorScale" priority="99">
      <colorScale>
        <cfvo type="min"/>
        <cfvo type="percentile" val="50"/>
        <cfvo type="max"/>
        <color rgb="FFF8696B"/>
        <color rgb="FF9BC2E6"/>
        <color rgb="FF2F75B5"/>
      </colorScale>
    </cfRule>
    <cfRule type="iconSet" priority="103">
      <iconSet iconSet="5Arrows">
        <cfvo type="percent" val="0"/>
        <cfvo type="percent" val="20"/>
        <cfvo type="percent" val="40"/>
        <cfvo type="percent" val="60"/>
        <cfvo type="percent" val="80"/>
      </iconSet>
    </cfRule>
  </conditionalFormatting>
  <conditionalFormatting sqref="EE1:EE1048576">
    <cfRule type="colorScale" priority="98">
      <colorScale>
        <cfvo type="min"/>
        <cfvo type="percentile" val="50"/>
        <cfvo type="max"/>
        <color rgb="FFF8696B"/>
        <color rgb="FF9BC2E6"/>
        <color rgb="FF2F75B5"/>
      </colorScale>
    </cfRule>
    <cfRule type="iconSet" priority="102">
      <iconSet iconSet="5Arrows">
        <cfvo type="percent" val="0"/>
        <cfvo type="percent" val="20"/>
        <cfvo type="percent" val="40"/>
        <cfvo type="percent" val="60"/>
        <cfvo type="percent" val="80"/>
      </iconSet>
    </cfRule>
  </conditionalFormatting>
  <conditionalFormatting sqref="EF1:EF1048576">
    <cfRule type="colorScale" priority="97">
      <colorScale>
        <cfvo type="min"/>
        <cfvo type="percentile" val="50"/>
        <cfvo type="max"/>
        <color rgb="FFF8696B"/>
        <color rgb="FFFFEB84"/>
        <color rgb="FF63BE7B"/>
      </colorScale>
    </cfRule>
    <cfRule type="iconSet" priority="101">
      <iconSet iconSet="5Arrows">
        <cfvo type="percent" val="0"/>
        <cfvo type="percent" val="20"/>
        <cfvo type="percent" val="40"/>
        <cfvo type="percent" val="60"/>
        <cfvo type="percent" val="80"/>
      </iconSet>
    </cfRule>
  </conditionalFormatting>
  <conditionalFormatting sqref="CR1:CR1048576">
    <cfRule type="dataBar" priority="90">
      <dataBar>
        <cfvo type="min"/>
        <cfvo type="max"/>
        <color rgb="FF00B0F0"/>
      </dataBar>
      <extLst>
        <ext xmlns:x14="http://schemas.microsoft.com/office/spreadsheetml/2009/9/main" uri="{B025F937-C7B1-47D3-B67F-A62EFF666E3E}">
          <x14:id>{816EFB8F-36AA-4329-9761-19D02431D6C4}</x14:id>
        </ext>
      </extLst>
    </cfRule>
    <cfRule type="colorScale" priority="92">
      <colorScale>
        <cfvo type="min"/>
        <cfvo type="percentile" val="50"/>
        <cfvo type="max"/>
        <color rgb="FFF8696B"/>
        <color rgb="FFDDEBF7"/>
        <color rgb="FF00B0F0"/>
      </colorScale>
    </cfRule>
  </conditionalFormatting>
  <conditionalFormatting sqref="AH1:AH1048576">
    <cfRule type="colorScale" priority="86">
      <colorScale>
        <cfvo type="min"/>
        <cfvo type="percentile" val="50"/>
        <cfvo type="max"/>
        <color rgb="FFF8696B"/>
        <color rgb="FFFFEB84"/>
        <color rgb="FF63BE7B"/>
      </colorScale>
    </cfRule>
  </conditionalFormatting>
  <conditionalFormatting sqref="AI1:AI1048576">
    <cfRule type="colorScale" priority="85">
      <colorScale>
        <cfvo type="min"/>
        <cfvo type="percentile" val="50"/>
        <cfvo type="max"/>
        <color rgb="FFF8696B"/>
        <color rgb="FFFFEB84"/>
        <color rgb="FF63BE7B"/>
      </colorScale>
    </cfRule>
  </conditionalFormatting>
  <conditionalFormatting sqref="AJ1:AJ1048576">
    <cfRule type="colorScale" priority="84">
      <colorScale>
        <cfvo type="min"/>
        <cfvo type="percentile" val="50"/>
        <cfvo type="max"/>
        <color rgb="FFF8696B"/>
        <color rgb="FFFFEB84"/>
        <color rgb="FF63BE7B"/>
      </colorScale>
    </cfRule>
  </conditionalFormatting>
  <conditionalFormatting sqref="AK1:AK1048576">
    <cfRule type="colorScale" priority="83">
      <colorScale>
        <cfvo type="min"/>
        <cfvo type="percentile" val="50"/>
        <cfvo type="max"/>
        <color rgb="FFF8696B"/>
        <color rgb="FFFFEB84"/>
        <color rgb="FF63BE7B"/>
      </colorScale>
    </cfRule>
  </conditionalFormatting>
  <conditionalFormatting sqref="CD1:CD1048576">
    <cfRule type="colorScale" priority="82">
      <colorScale>
        <cfvo type="min"/>
        <cfvo type="percentile" val="50"/>
        <cfvo type="max"/>
        <color rgb="FF63BE7B"/>
        <color rgb="FFFFEB84"/>
        <color rgb="FFF8696B"/>
      </colorScale>
    </cfRule>
  </conditionalFormatting>
  <conditionalFormatting sqref="CE1:CE1048576">
    <cfRule type="colorScale" priority="81">
      <colorScale>
        <cfvo type="min"/>
        <cfvo type="percentile" val="50"/>
        <cfvo type="max"/>
        <color rgb="FF63BE7B"/>
        <color rgb="FFFFEB84"/>
        <color rgb="FFF8696B"/>
      </colorScale>
    </cfRule>
  </conditionalFormatting>
  <conditionalFormatting sqref="AV1:AV1048576">
    <cfRule type="dataBar" priority="60">
      <dataBar>
        <cfvo type="min"/>
        <cfvo type="max"/>
        <color rgb="FF638EC6"/>
      </dataBar>
      <extLst>
        <ext xmlns:x14="http://schemas.microsoft.com/office/spreadsheetml/2009/9/main" uri="{B025F937-C7B1-47D3-B67F-A62EFF666E3E}">
          <x14:id>{D7EA6F09-0016-4403-ACAB-D164071280E4}</x14:id>
        </ext>
      </extLst>
    </cfRule>
  </conditionalFormatting>
  <conditionalFormatting sqref="AW1:AW1048576">
    <cfRule type="dataBar" priority="59">
      <dataBar>
        <cfvo type="min"/>
        <cfvo type="max"/>
        <color rgb="FF638EC6"/>
      </dataBar>
      <extLst>
        <ext xmlns:x14="http://schemas.microsoft.com/office/spreadsheetml/2009/9/main" uri="{B025F937-C7B1-47D3-B67F-A62EFF666E3E}">
          <x14:id>{EA25C936-B00C-4BC5-AE42-A2C1B746CC5A}</x14:id>
        </ext>
      </extLst>
    </cfRule>
  </conditionalFormatting>
  <conditionalFormatting sqref="AX1:AX1048576">
    <cfRule type="dataBar" priority="78">
      <dataBar>
        <cfvo type="min"/>
        <cfvo type="max"/>
        <color rgb="FFD6007B"/>
      </dataBar>
      <extLst>
        <ext xmlns:x14="http://schemas.microsoft.com/office/spreadsheetml/2009/9/main" uri="{B025F937-C7B1-47D3-B67F-A62EFF666E3E}">
          <x14:id>{B90A5FD0-CFBD-44D2-847A-FDC9BCE3B71F}</x14:id>
        </ext>
      </extLst>
    </cfRule>
  </conditionalFormatting>
  <conditionalFormatting sqref="AY1:AY1048576">
    <cfRule type="dataBar" priority="58">
      <dataBar>
        <cfvo type="min"/>
        <cfvo type="max"/>
        <color rgb="FF638EC6"/>
      </dataBar>
      <extLst>
        <ext xmlns:x14="http://schemas.microsoft.com/office/spreadsheetml/2009/9/main" uri="{B025F937-C7B1-47D3-B67F-A62EFF666E3E}">
          <x14:id>{B844C464-1F5F-4CE8-8601-2F0F22BD163F}</x14:id>
        </ext>
      </extLst>
    </cfRule>
  </conditionalFormatting>
  <conditionalFormatting sqref="BZ1:BZ1048576">
    <cfRule type="colorScale" priority="76">
      <colorScale>
        <cfvo type="min"/>
        <cfvo type="percentile" val="50"/>
        <cfvo type="max"/>
        <color rgb="FFF8696B"/>
        <color rgb="FFFFEB84"/>
        <color rgb="FF63BE7B"/>
      </colorScale>
    </cfRule>
  </conditionalFormatting>
  <conditionalFormatting sqref="AR1:AR1048576">
    <cfRule type="dataBar" priority="67">
      <dataBar>
        <cfvo type="min"/>
        <cfvo type="max"/>
        <color rgb="FFAD1457"/>
      </dataBar>
      <extLst>
        <ext xmlns:x14="http://schemas.microsoft.com/office/spreadsheetml/2009/9/main" uri="{B025F937-C7B1-47D3-B67F-A62EFF666E3E}">
          <x14:id>{72C25462-B690-43DB-A390-AC4CACF28AB4}</x14:id>
        </ext>
      </extLst>
    </cfRule>
  </conditionalFormatting>
  <conditionalFormatting sqref="AP1:AP1048576">
    <cfRule type="dataBar" priority="65">
      <dataBar>
        <cfvo type="min"/>
        <cfvo type="max"/>
        <color rgb="FFAD1457"/>
      </dataBar>
      <extLst>
        <ext xmlns:x14="http://schemas.microsoft.com/office/spreadsheetml/2009/9/main" uri="{B025F937-C7B1-47D3-B67F-A62EFF666E3E}">
          <x14:id>{13C71701-FFB7-41EE-83DD-30C7626D9805}</x14:id>
        </ext>
      </extLst>
    </cfRule>
  </conditionalFormatting>
  <conditionalFormatting sqref="AT1:AT1048576">
    <cfRule type="dataBar" priority="63">
      <dataBar>
        <cfvo type="min"/>
        <cfvo type="max"/>
        <color rgb="FF007A37"/>
      </dataBar>
      <extLst>
        <ext xmlns:x14="http://schemas.microsoft.com/office/spreadsheetml/2009/9/main" uri="{B025F937-C7B1-47D3-B67F-A62EFF666E3E}">
          <x14:id>{5E4BCAB9-E13A-4EDF-94C8-3B5206DA0A22}</x14:id>
        </ext>
      </extLst>
    </cfRule>
  </conditionalFormatting>
  <conditionalFormatting sqref="AU1:AU1048576">
    <cfRule type="dataBar" priority="61">
      <dataBar>
        <cfvo type="min"/>
        <cfvo type="max"/>
        <color rgb="FFAD1457"/>
      </dataBar>
      <extLst>
        <ext xmlns:x14="http://schemas.microsoft.com/office/spreadsheetml/2009/9/main" uri="{B025F937-C7B1-47D3-B67F-A62EFF666E3E}">
          <x14:id>{24F73CF6-4949-4EB7-8DCA-6664CA53232B}</x14:id>
        </ext>
      </extLst>
    </cfRule>
  </conditionalFormatting>
  <conditionalFormatting sqref="AQ1:AQ1048576">
    <cfRule type="dataBar" priority="57">
      <dataBar>
        <cfvo type="min"/>
        <cfvo type="max"/>
        <color rgb="FFAD1457"/>
      </dataBar>
      <extLst>
        <ext xmlns:x14="http://schemas.microsoft.com/office/spreadsheetml/2009/9/main" uri="{B025F937-C7B1-47D3-B67F-A62EFF666E3E}">
          <x14:id>{E6138265-35ED-480E-80B4-CCE8A529E598}</x14:id>
        </ext>
      </extLst>
    </cfRule>
  </conditionalFormatting>
  <conditionalFormatting sqref="AS1:AS1048576">
    <cfRule type="dataBar" priority="56">
      <dataBar>
        <cfvo type="min"/>
        <cfvo type="max"/>
        <color rgb="FFAD1457"/>
      </dataBar>
      <extLst>
        <ext xmlns:x14="http://schemas.microsoft.com/office/spreadsheetml/2009/9/main" uri="{B025F937-C7B1-47D3-B67F-A62EFF666E3E}">
          <x14:id>{BEBD870E-F763-4171-9009-1EAFB3706158}</x14:id>
        </ext>
      </extLst>
    </cfRule>
  </conditionalFormatting>
  <conditionalFormatting sqref="BJ1:BJ1048576">
    <cfRule type="iconSet" priority="49">
      <iconSet iconSet="5Arrows" reverse="1">
        <cfvo type="percent" val="0"/>
        <cfvo type="percent" val="20"/>
        <cfvo type="percent" val="40"/>
        <cfvo type="percent" val="60"/>
        <cfvo type="percent" val="80"/>
      </iconSet>
    </cfRule>
    <cfRule type="dataBar" priority="55">
      <dataBar>
        <cfvo type="min"/>
        <cfvo type="max"/>
        <color rgb="FFAD1457"/>
      </dataBar>
      <extLst>
        <ext xmlns:x14="http://schemas.microsoft.com/office/spreadsheetml/2009/9/main" uri="{B025F937-C7B1-47D3-B67F-A62EFF666E3E}">
          <x14:id>{4F91B05B-FBB7-4DD1-8837-9F473E2133C5}</x14:id>
        </ext>
      </extLst>
    </cfRule>
  </conditionalFormatting>
  <conditionalFormatting sqref="BK1:BK1048576">
    <cfRule type="iconSet" priority="48">
      <iconSet iconSet="5Arrows" reverse="1">
        <cfvo type="percent" val="0"/>
        <cfvo type="percent" val="20"/>
        <cfvo type="percent" val="40"/>
        <cfvo type="percent" val="60"/>
        <cfvo type="percent" val="80"/>
      </iconSet>
    </cfRule>
    <cfRule type="dataBar" priority="54">
      <dataBar>
        <cfvo type="min"/>
        <cfvo type="max"/>
        <color rgb="FFAD1457"/>
      </dataBar>
      <extLst>
        <ext xmlns:x14="http://schemas.microsoft.com/office/spreadsheetml/2009/9/main" uri="{B025F937-C7B1-47D3-B67F-A62EFF666E3E}">
          <x14:id>{90A28873-503D-4A48-B2E7-4282FAC63867}</x14:id>
        </ext>
      </extLst>
    </cfRule>
  </conditionalFormatting>
  <conditionalFormatting sqref="DP1:DP1048576">
    <cfRule type="dataBar" priority="53">
      <dataBar>
        <cfvo type="min"/>
        <cfvo type="max"/>
        <color rgb="FF008AEF"/>
      </dataBar>
      <extLst>
        <ext xmlns:x14="http://schemas.microsoft.com/office/spreadsheetml/2009/9/main" uri="{B025F937-C7B1-47D3-B67F-A62EFF666E3E}">
          <x14:id>{A17F4A20-7385-4408-ABFD-3EDF35AA8F29}</x14:id>
        </ext>
      </extLst>
    </cfRule>
  </conditionalFormatting>
  <conditionalFormatting sqref="DQ1:DQ1048576">
    <cfRule type="dataBar" priority="52">
      <dataBar>
        <cfvo type="min"/>
        <cfvo type="max"/>
        <color rgb="FF008AEF"/>
      </dataBar>
      <extLst>
        <ext xmlns:x14="http://schemas.microsoft.com/office/spreadsheetml/2009/9/main" uri="{B025F937-C7B1-47D3-B67F-A62EFF666E3E}">
          <x14:id>{ACFFD22C-288A-4858-A438-F69172D6B167}</x14:id>
        </ext>
      </extLst>
    </cfRule>
  </conditionalFormatting>
  <conditionalFormatting sqref="DB1:DB1048576">
    <cfRule type="dataBar" priority="51">
      <dataBar>
        <cfvo type="min"/>
        <cfvo type="max"/>
        <color rgb="FF008AEF"/>
      </dataBar>
      <extLst>
        <ext xmlns:x14="http://schemas.microsoft.com/office/spreadsheetml/2009/9/main" uri="{B025F937-C7B1-47D3-B67F-A62EFF666E3E}">
          <x14:id>{507416C6-821C-4CD7-A6F1-99620BFA8651}</x14:id>
        </ext>
      </extLst>
    </cfRule>
  </conditionalFormatting>
  <conditionalFormatting sqref="DC1:DC1048576">
    <cfRule type="dataBar" priority="50">
      <dataBar>
        <cfvo type="min"/>
        <cfvo type="max"/>
        <color rgb="FF008AEF"/>
      </dataBar>
      <extLst>
        <ext xmlns:x14="http://schemas.microsoft.com/office/spreadsheetml/2009/9/main" uri="{B025F937-C7B1-47D3-B67F-A62EFF666E3E}">
          <x14:id>{8622CB33-9D99-4192-AA63-EEACCA02AEE5}</x14:id>
        </ext>
      </extLst>
    </cfRule>
  </conditionalFormatting>
  <conditionalFormatting sqref="AA1:AA1048576">
    <cfRule type="iconSet" priority="20">
      <iconSet iconSet="5Arrows">
        <cfvo type="percent" val="0"/>
        <cfvo type="percent" val="20"/>
        <cfvo type="percent" val="40"/>
        <cfvo type="percent" val="60"/>
        <cfvo type="percent" val="80"/>
      </iconSet>
    </cfRule>
    <cfRule type="dataBar" priority="47">
      <dataBar>
        <cfvo type="min"/>
        <cfvo type="max"/>
        <color rgb="FF23559B"/>
      </dataBar>
      <extLst>
        <ext xmlns:x14="http://schemas.microsoft.com/office/spreadsheetml/2009/9/main" uri="{B025F937-C7B1-47D3-B67F-A62EFF666E3E}">
          <x14:id>{532DD576-1F65-4F19-8023-5342688CCB82}</x14:id>
        </ext>
      </extLst>
    </cfRule>
  </conditionalFormatting>
  <conditionalFormatting sqref="AB1:AB1048576">
    <cfRule type="iconSet" priority="19">
      <iconSet iconSet="5Arrows">
        <cfvo type="percent" val="0"/>
        <cfvo type="percent" val="20"/>
        <cfvo type="percent" val="40"/>
        <cfvo type="percent" val="60"/>
        <cfvo type="percent" val="80"/>
      </iconSet>
    </cfRule>
    <cfRule type="dataBar" priority="46">
      <dataBar>
        <cfvo type="min"/>
        <cfvo type="max"/>
        <color rgb="FF23559B"/>
      </dataBar>
      <extLst>
        <ext xmlns:x14="http://schemas.microsoft.com/office/spreadsheetml/2009/9/main" uri="{B025F937-C7B1-47D3-B67F-A62EFF666E3E}">
          <x14:id>{6BEFC0E4-45ED-4A6D-AF76-21FB9B7119C4}</x14:id>
        </ext>
      </extLst>
    </cfRule>
  </conditionalFormatting>
  <conditionalFormatting sqref="AC1:AC1048576">
    <cfRule type="iconSet" priority="18">
      <iconSet iconSet="5Arrows">
        <cfvo type="percent" val="0"/>
        <cfvo type="percent" val="20"/>
        <cfvo type="percent" val="40"/>
        <cfvo type="percent" val="60"/>
        <cfvo type="percent" val="80"/>
      </iconSet>
    </cfRule>
    <cfRule type="dataBar" priority="45">
      <dataBar>
        <cfvo type="min"/>
        <cfvo type="max"/>
        <color rgb="FF23559B"/>
      </dataBar>
      <extLst>
        <ext xmlns:x14="http://schemas.microsoft.com/office/spreadsheetml/2009/9/main" uri="{B025F937-C7B1-47D3-B67F-A62EFF666E3E}">
          <x14:id>{281ACDAE-2042-4B63-8E16-B3B1B2BEF6AF}</x14:id>
        </ext>
      </extLst>
    </cfRule>
  </conditionalFormatting>
  <conditionalFormatting sqref="AL1:AL1048576">
    <cfRule type="dataBar" priority="44">
      <dataBar>
        <cfvo type="min"/>
        <cfvo type="max"/>
        <color rgb="FF205382"/>
      </dataBar>
      <extLst>
        <ext xmlns:x14="http://schemas.microsoft.com/office/spreadsheetml/2009/9/main" uri="{B025F937-C7B1-47D3-B67F-A62EFF666E3E}">
          <x14:id>{A3C7505B-BFC0-497E-B31C-19A5051F1211}</x14:id>
        </ext>
      </extLst>
    </cfRule>
  </conditionalFormatting>
  <conditionalFormatting sqref="AM1:AM1048576">
    <cfRule type="dataBar" priority="43">
      <dataBar>
        <cfvo type="min"/>
        <cfvo type="max"/>
        <color rgb="FFAC7300"/>
      </dataBar>
      <extLst>
        <ext xmlns:x14="http://schemas.microsoft.com/office/spreadsheetml/2009/9/main" uri="{B025F937-C7B1-47D3-B67F-A62EFF666E3E}">
          <x14:id>{E2722F7E-8137-407D-A174-7933BC9D560F}</x14:id>
        </ext>
      </extLst>
    </cfRule>
  </conditionalFormatting>
  <conditionalFormatting sqref="AN1:AN1048576">
    <cfRule type="dataBar" priority="42">
      <dataBar>
        <cfvo type="min"/>
        <cfvo type="max"/>
        <color rgb="FFAC7300"/>
      </dataBar>
      <extLst>
        <ext xmlns:x14="http://schemas.microsoft.com/office/spreadsheetml/2009/9/main" uri="{B025F937-C7B1-47D3-B67F-A62EFF666E3E}">
          <x14:id>{E4AEB1CB-CCF8-46B3-9C06-1190F532C781}</x14:id>
        </ext>
      </extLst>
    </cfRule>
  </conditionalFormatting>
  <conditionalFormatting sqref="BN1:BN1048576">
    <cfRule type="iconSet" priority="39">
      <iconSet iconSet="5ArrowsGray" reverse="1">
        <cfvo type="percent" val="0"/>
        <cfvo type="percent" val="20"/>
        <cfvo type="percent" val="40"/>
        <cfvo type="percent" val="60"/>
        <cfvo type="percent" val="80"/>
      </iconSet>
    </cfRule>
    <cfRule type="colorScale" priority="40">
      <colorScale>
        <cfvo type="min"/>
        <cfvo type="max"/>
        <color rgb="FFFDD7D8"/>
        <color rgb="FFF8696B"/>
      </colorScale>
    </cfRule>
  </conditionalFormatting>
  <conditionalFormatting sqref="BO1:BO1048576">
    <cfRule type="iconSet" priority="37">
      <iconSet iconSet="5ArrowsGray" reverse="1">
        <cfvo type="percent" val="0"/>
        <cfvo type="percent" val="20"/>
        <cfvo type="percent" val="40"/>
        <cfvo type="percent" val="60"/>
        <cfvo type="percent" val="80"/>
      </iconSet>
    </cfRule>
    <cfRule type="colorScale" priority="38">
      <colorScale>
        <cfvo type="min"/>
        <cfvo type="max"/>
        <color rgb="FFFDD7D8"/>
        <color rgb="FFF8696B"/>
      </colorScale>
    </cfRule>
  </conditionalFormatting>
  <conditionalFormatting sqref="BR1:BR1048576">
    <cfRule type="iconSet" priority="35">
      <iconSet iconSet="5Arrows">
        <cfvo type="percent" val="0"/>
        <cfvo type="percent" val="20"/>
        <cfvo type="percent" val="40"/>
        <cfvo type="percent" val="60"/>
        <cfvo type="percent" val="80"/>
      </iconSet>
    </cfRule>
    <cfRule type="colorScale" priority="36">
      <colorScale>
        <cfvo type="min"/>
        <cfvo type="percentile" val="50"/>
        <cfvo type="max"/>
        <color rgb="FFF8696B"/>
        <color rgb="FFFFEB84"/>
        <color rgb="FF63BE7B"/>
      </colorScale>
    </cfRule>
  </conditionalFormatting>
  <conditionalFormatting sqref="BS1:BS1048576">
    <cfRule type="iconSet" priority="33">
      <iconSet iconSet="5Arrows">
        <cfvo type="percent" val="0"/>
        <cfvo type="percent" val="20"/>
        <cfvo type="percent" val="40"/>
        <cfvo type="percent" val="60"/>
        <cfvo type="percent" val="80"/>
      </iconSet>
    </cfRule>
    <cfRule type="colorScale" priority="34">
      <colorScale>
        <cfvo type="min"/>
        <cfvo type="percentile" val="50"/>
        <cfvo type="max"/>
        <color rgb="FFF8696B"/>
        <color rgb="FFFFEB84"/>
        <color rgb="FF63BE7B"/>
      </colorScale>
    </cfRule>
  </conditionalFormatting>
  <conditionalFormatting sqref="EK1:EK1048576">
    <cfRule type="dataBar" priority="31">
      <dataBar>
        <cfvo type="min"/>
        <cfvo type="max"/>
        <color rgb="FF0060A8"/>
      </dataBar>
      <extLst>
        <ext xmlns:x14="http://schemas.microsoft.com/office/spreadsheetml/2009/9/main" uri="{B025F937-C7B1-47D3-B67F-A62EFF666E3E}">
          <x14:id>{C569A498-20AC-477F-9EDA-0FD020FE7B29}</x14:id>
        </ext>
      </extLst>
    </cfRule>
  </conditionalFormatting>
  <conditionalFormatting sqref="EM1:EM1048576">
    <cfRule type="dataBar" priority="29">
      <dataBar>
        <cfvo type="min"/>
        <cfvo type="max"/>
        <color theme="4" tint="-0.249977111117893"/>
      </dataBar>
      <extLst>
        <ext xmlns:x14="http://schemas.microsoft.com/office/spreadsheetml/2009/9/main" uri="{B025F937-C7B1-47D3-B67F-A62EFF666E3E}">
          <x14:id>{CFAB8EA4-4151-472C-81E7-4BC5D2BFE128}</x14:id>
        </ext>
      </extLst>
    </cfRule>
  </conditionalFormatting>
  <conditionalFormatting sqref="X1:X1048576">
    <cfRule type="iconSet" priority="23">
      <iconSet iconSet="5Arrows">
        <cfvo type="percent" val="0"/>
        <cfvo type="percent" val="20"/>
        <cfvo type="percent" val="40"/>
        <cfvo type="percent" val="60"/>
        <cfvo type="percent" val="80"/>
      </iconSet>
    </cfRule>
    <cfRule type="dataBar" priority="27">
      <dataBar>
        <cfvo type="min"/>
        <cfvo type="max"/>
        <color rgb="FF23559B"/>
      </dataBar>
      <extLst>
        <ext xmlns:x14="http://schemas.microsoft.com/office/spreadsheetml/2009/9/main" uri="{B025F937-C7B1-47D3-B67F-A62EFF666E3E}">
          <x14:id>{E37F0C20-D106-467C-BF23-67BBEF028689}</x14:id>
        </ext>
      </extLst>
    </cfRule>
  </conditionalFormatting>
  <conditionalFormatting sqref="Y1:Y1048576">
    <cfRule type="iconSet" priority="22">
      <iconSet iconSet="5Arrows">
        <cfvo type="percent" val="0"/>
        <cfvo type="percent" val="20"/>
        <cfvo type="percent" val="40"/>
        <cfvo type="percent" val="60"/>
        <cfvo type="percent" val="80"/>
      </iconSet>
    </cfRule>
    <cfRule type="dataBar" priority="26">
      <dataBar>
        <cfvo type="min"/>
        <cfvo type="max"/>
        <color rgb="FF23559B"/>
      </dataBar>
      <extLst>
        <ext xmlns:x14="http://schemas.microsoft.com/office/spreadsheetml/2009/9/main" uri="{B025F937-C7B1-47D3-B67F-A62EFF666E3E}">
          <x14:id>{8634C4A8-1E95-4E27-A5F5-9969D25B01E9}</x14:id>
        </ext>
      </extLst>
    </cfRule>
  </conditionalFormatting>
  <conditionalFormatting sqref="Z1:Z1048576">
    <cfRule type="iconSet" priority="21">
      <iconSet iconSet="5Arrows">
        <cfvo type="percent" val="0"/>
        <cfvo type="percent" val="20"/>
        <cfvo type="percent" val="40"/>
        <cfvo type="percent" val="60"/>
        <cfvo type="percent" val="80"/>
      </iconSet>
    </cfRule>
    <cfRule type="dataBar" priority="25">
      <dataBar>
        <cfvo type="min"/>
        <cfvo type="max"/>
        <color rgb="FF23559B"/>
      </dataBar>
      <extLst>
        <ext xmlns:x14="http://schemas.microsoft.com/office/spreadsheetml/2009/9/main" uri="{B025F937-C7B1-47D3-B67F-A62EFF666E3E}">
          <x14:id>{039437B4-3035-4FE7-9475-0CBEBCA0E951}</x14:id>
        </ext>
      </extLst>
    </cfRule>
  </conditionalFormatting>
  <conditionalFormatting sqref="AD1:AD1048576">
    <cfRule type="iconSet" priority="17">
      <iconSet iconSet="5Arrows">
        <cfvo type="percent" val="0"/>
        <cfvo type="percent" val="20"/>
        <cfvo type="percent" val="40"/>
        <cfvo type="percent" val="60"/>
        <cfvo type="percent" val="80"/>
      </iconSet>
    </cfRule>
    <cfRule type="dataBar" priority="24">
      <dataBar>
        <cfvo type="min"/>
        <cfvo type="max"/>
        <color rgb="FF29693E"/>
      </dataBar>
      <extLst>
        <ext xmlns:x14="http://schemas.microsoft.com/office/spreadsheetml/2009/9/main" uri="{B025F937-C7B1-47D3-B67F-A62EFF666E3E}">
          <x14:id>{2AF98385-C8DD-4031-91A3-CA8617339F5C}</x14:id>
        </ext>
      </extLst>
    </cfRule>
  </conditionalFormatting>
  <conditionalFormatting sqref="BE1:BE1048576">
    <cfRule type="iconSet" priority="5">
      <iconSet iconSet="5ArrowsGray" reverse="1">
        <cfvo type="percent" val="0"/>
        <cfvo type="percent" val="20"/>
        <cfvo type="percent" val="40"/>
        <cfvo type="percent" val="60"/>
        <cfvo type="percent" val="80"/>
      </iconSet>
    </cfRule>
    <cfRule type="colorScale" priority="16">
      <colorScale>
        <cfvo type="min"/>
        <cfvo type="max"/>
        <color rgb="FFFDDBDC"/>
        <color rgb="FFF8696B"/>
      </colorScale>
    </cfRule>
  </conditionalFormatting>
  <conditionalFormatting sqref="BF1:BF1048576">
    <cfRule type="iconSet" priority="4">
      <iconSet iconSet="5ArrowsGray" reverse="1">
        <cfvo type="percent" val="0"/>
        <cfvo type="percent" val="20"/>
        <cfvo type="percent" val="40"/>
        <cfvo type="percent" val="60"/>
        <cfvo type="percent" val="80"/>
      </iconSet>
    </cfRule>
    <cfRule type="colorScale" priority="15">
      <colorScale>
        <cfvo type="min"/>
        <cfvo type="max"/>
        <color rgb="FFFDDBDC"/>
        <color rgb="FFF8696B"/>
      </colorScale>
    </cfRule>
  </conditionalFormatting>
  <conditionalFormatting sqref="BA1:BA1048576">
    <cfRule type="iconSet" priority="2">
      <iconSet iconSet="5ArrowsGray">
        <cfvo type="percent" val="0"/>
        <cfvo type="percent" val="20"/>
        <cfvo type="percent" val="40"/>
        <cfvo type="percent" val="60"/>
        <cfvo type="percent" val="80"/>
      </iconSet>
    </cfRule>
    <cfRule type="colorScale" priority="14">
      <colorScale>
        <cfvo type="min"/>
        <cfvo type="max"/>
        <color rgb="FFFFEF9C"/>
        <color rgb="FF63BE7B"/>
      </colorScale>
    </cfRule>
  </conditionalFormatting>
  <conditionalFormatting sqref="BB1:BB1048576">
    <cfRule type="iconSet" priority="9">
      <iconSet iconSet="5ArrowsGray">
        <cfvo type="percent" val="0"/>
        <cfvo type="percent" val="20"/>
        <cfvo type="percent" val="40"/>
        <cfvo type="percent" val="60"/>
        <cfvo type="percent" val="80"/>
      </iconSet>
    </cfRule>
    <cfRule type="colorScale" priority="13">
      <colorScale>
        <cfvo type="min"/>
        <cfvo type="max"/>
        <color rgb="FFFFEF9C"/>
        <color rgb="FF63BE7B"/>
      </colorScale>
    </cfRule>
  </conditionalFormatting>
  <conditionalFormatting sqref="BC1:BC1048576">
    <cfRule type="iconSet" priority="3">
      <iconSet iconSet="5Arrows">
        <cfvo type="percent" val="0"/>
        <cfvo type="percent" val="20"/>
        <cfvo type="percent" val="40"/>
        <cfvo type="percent" val="60"/>
        <cfvo type="percent" val="80"/>
      </iconSet>
    </cfRule>
    <cfRule type="colorScale" priority="12">
      <colorScale>
        <cfvo type="min"/>
        <cfvo type="percentile" val="50"/>
        <cfvo type="max"/>
        <color rgb="FFF8696B"/>
        <color rgb="FFFFEB84"/>
        <color rgb="FF63BE7B"/>
      </colorScale>
    </cfRule>
  </conditionalFormatting>
  <conditionalFormatting sqref="BD1:BD1048576">
    <cfRule type="iconSet" priority="10">
      <iconSet iconSet="5Arrows">
        <cfvo type="percent" val="0"/>
        <cfvo type="percent" val="20"/>
        <cfvo type="percent" val="40"/>
        <cfvo type="percent" val="60"/>
        <cfvo type="percent" val="80"/>
      </iconSet>
    </cfRule>
    <cfRule type="colorScale" priority="11">
      <colorScale>
        <cfvo type="min"/>
        <cfvo type="percentile" val="50"/>
        <cfvo type="max"/>
        <color rgb="FFF8696B"/>
        <color rgb="FFFFEB84"/>
        <color rgb="FF63BE7B"/>
      </colorScale>
    </cfRule>
  </conditionalFormatting>
  <conditionalFormatting sqref="BI1:BI1048576">
    <cfRule type="dataBar" priority="8">
      <dataBar>
        <cfvo type="min"/>
        <cfvo type="max"/>
        <color rgb="FF0060A8"/>
      </dataBar>
      <extLst>
        <ext xmlns:x14="http://schemas.microsoft.com/office/spreadsheetml/2009/9/main" uri="{B025F937-C7B1-47D3-B67F-A62EFF666E3E}">
          <x14:id>{0B46C456-72E7-4290-8C73-5851833FFC03}</x14:id>
        </ext>
      </extLst>
    </cfRule>
  </conditionalFormatting>
  <conditionalFormatting sqref="BY1:BY1048576">
    <cfRule type="iconSet" priority="6">
      <iconSet iconSet="5Arrows">
        <cfvo type="percent" val="0"/>
        <cfvo type="percent" val="20"/>
        <cfvo type="percent" val="40"/>
        <cfvo type="percent" val="60"/>
        <cfvo type="percent" val="80"/>
      </iconSet>
    </cfRule>
    <cfRule type="dataBar" priority="7">
      <dataBar>
        <cfvo type="min"/>
        <cfvo type="max"/>
        <color rgb="FF23559B"/>
      </dataBar>
      <extLst>
        <ext xmlns:x14="http://schemas.microsoft.com/office/spreadsheetml/2009/9/main" uri="{B025F937-C7B1-47D3-B67F-A62EFF666E3E}">
          <x14:id>{399CED49-D9A3-4509-9CCF-D0BA59ABCFDB}</x14:id>
        </ext>
      </extLst>
    </cfRule>
  </conditionalFormatting>
  <conditionalFormatting sqref="DI5:DJ1048576 DI1:DJ1 DI2:DI4">
    <cfRule type="colorScale" priority="2847613">
      <colorScale>
        <cfvo type="min"/>
        <cfvo type="percentile" val="50"/>
        <cfvo type="max"/>
        <color rgb="FFF8696B"/>
        <color rgb="FFFFEB84"/>
        <color rgb="FF63BE7B"/>
      </colorScale>
    </cfRule>
  </conditionalFormatting>
  <conditionalFormatting sqref="DL5:DL1048576 DL1">
    <cfRule type="colorScale" priority="2847617">
      <colorScale>
        <cfvo type="min"/>
        <cfvo type="percentile" val="50"/>
        <cfvo type="max"/>
        <color rgb="FFF8696B"/>
        <color rgb="FFFFEB84"/>
        <color rgb="FF63BE7B"/>
      </colorScale>
    </cfRule>
  </conditionalFormatting>
  <conditionalFormatting sqref="DY5:DY1048576">
    <cfRule type="colorScale" priority="2847620">
      <colorScale>
        <cfvo type="min"/>
        <cfvo type="percentile" val="50"/>
        <cfvo type="max"/>
        <color rgb="FFF8696B"/>
        <color rgb="FFFFEB84"/>
        <color rgb="FF63BE7B"/>
      </colorScale>
    </cfRule>
  </conditionalFormatting>
  <conditionalFormatting sqref="DJ5:DJ1048576 DJ1">
    <cfRule type="colorScale" priority="2847622">
      <colorScale>
        <cfvo type="min"/>
        <cfvo type="percentile" val="50"/>
        <cfvo type="max"/>
        <color rgb="FFF8696B"/>
        <color rgb="FFFFEB84"/>
        <color rgb="FF63BE7B"/>
      </colorScale>
    </cfRule>
  </conditionalFormatting>
  <conditionalFormatting sqref="DG2:DG4">
    <cfRule type="colorScale" priority="2847625">
      <colorScale>
        <cfvo type="min"/>
        <cfvo type="percentile" val="50"/>
        <cfvo type="max"/>
        <color rgb="FFF8696B"/>
        <color rgb="FFFFEB84"/>
        <color rgb="FF63BE7B"/>
      </colorScale>
    </cfRule>
  </conditionalFormatting>
  <conditionalFormatting sqref="DH2:DH4">
    <cfRule type="colorScale" priority="2847626">
      <colorScale>
        <cfvo type="min"/>
        <cfvo type="percentile" val="50"/>
        <cfvo type="max"/>
        <color rgb="FFF8696B"/>
        <color rgb="FFFFEB84"/>
        <color rgb="FF63BE7B"/>
      </colorScale>
    </cfRule>
  </conditionalFormatting>
  <conditionalFormatting sqref="G2:G4">
    <cfRule type="colorScale" priority="2847627">
      <colorScale>
        <cfvo type="min"/>
        <cfvo type="percentile" val="50"/>
        <cfvo type="max"/>
        <color rgb="FF63BE7B"/>
        <color rgb="FFFFEB84"/>
        <color rgb="FFF8696B"/>
      </colorScale>
    </cfRule>
  </conditionalFormatting>
  <conditionalFormatting sqref="H2:H4">
    <cfRule type="colorScale" priority="2847628">
      <colorScale>
        <cfvo type="min"/>
        <cfvo type="percentile" val="50"/>
        <cfvo type="max"/>
        <color rgb="FF63BE7B"/>
        <color rgb="FFFFEB84"/>
        <color rgb="FFF8696B"/>
      </colorScale>
    </cfRule>
  </conditionalFormatting>
  <conditionalFormatting sqref="DL2:DL4">
    <cfRule type="colorScale" priority="2847629">
      <colorScale>
        <cfvo type="min"/>
        <cfvo type="percentile" val="50"/>
        <cfvo type="max"/>
        <color rgb="FFF8696B"/>
        <color rgb="FFFFEB84"/>
        <color rgb="FF63BE7B"/>
      </colorScale>
    </cfRule>
  </conditionalFormatting>
  <conditionalFormatting sqref="DZ2:DZ4">
    <cfRule type="colorScale" priority="2847630">
      <colorScale>
        <cfvo type="min"/>
        <cfvo type="percentile" val="50"/>
        <cfvo type="max"/>
        <color rgb="FF63BE7B"/>
        <color rgb="FFFFEB84"/>
        <color rgb="FFF8696B"/>
      </colorScale>
    </cfRule>
  </conditionalFormatting>
  <conditionalFormatting sqref="DZ2:DZ4">
    <cfRule type="colorScale" priority="2847631">
      <colorScale>
        <cfvo type="min"/>
        <cfvo type="percentile" val="50"/>
        <cfvo type="max"/>
        <color rgb="FFF8696B"/>
        <color rgb="FFFFEB84"/>
        <color rgb="FF63BE7B"/>
      </colorScale>
    </cfRule>
  </conditionalFormatting>
  <conditionalFormatting sqref="CJ2:CL4">
    <cfRule type="colorScale" priority="2847632">
      <colorScale>
        <cfvo type="min"/>
        <cfvo type="percentile" val="50"/>
        <cfvo type="max"/>
        <color rgb="FFF8696B"/>
        <color rgb="FFFFEB84"/>
        <color rgb="FF63BE7B"/>
      </colorScale>
    </cfRule>
  </conditionalFormatting>
  <conditionalFormatting sqref="CJ2:CL4">
    <cfRule type="colorScale" priority="2847633">
      <colorScale>
        <cfvo type="min"/>
        <cfvo type="max"/>
        <color rgb="FFFFEF9C"/>
        <color rgb="FF63BE7B"/>
      </colorScale>
    </cfRule>
  </conditionalFormatting>
  <conditionalFormatting sqref="DK2:DK4">
    <cfRule type="colorScale" priority="2847634">
      <colorScale>
        <cfvo type="min"/>
        <cfvo type="percentile" val="50"/>
        <cfvo type="max"/>
        <color rgb="FFF8696B"/>
        <color rgb="FFFFEB84"/>
        <color rgb="FF63BE7B"/>
      </colorScale>
    </cfRule>
  </conditionalFormatting>
  <conditionalFormatting sqref="DY2:DY4">
    <cfRule type="colorScale" priority="2847635">
      <colorScale>
        <cfvo type="min"/>
        <cfvo type="percentile" val="50"/>
        <cfvo type="max"/>
        <color rgb="FF63BE7B"/>
        <color rgb="FFFFEB84"/>
        <color rgb="FFF8696B"/>
      </colorScale>
    </cfRule>
  </conditionalFormatting>
  <conditionalFormatting sqref="DY2:DY4">
    <cfRule type="colorScale" priority="2847636">
      <colorScale>
        <cfvo type="min"/>
        <cfvo type="percentile" val="50"/>
        <cfvo type="max"/>
        <color rgb="FFF8696B"/>
        <color rgb="FFFFEB84"/>
        <color rgb="FF63BE7B"/>
      </colorScale>
    </cfRule>
  </conditionalFormatting>
  <conditionalFormatting sqref="DJ2:DJ4">
    <cfRule type="colorScale" priority="2847637">
      <colorScale>
        <cfvo type="min"/>
        <cfvo type="percentile" val="50"/>
        <cfvo type="max"/>
        <color rgb="FFF8696B"/>
        <color rgb="FFFFEB84"/>
        <color rgb="FF63BE7B"/>
      </colorScale>
    </cfRule>
  </conditionalFormatting>
  <conditionalFormatting sqref="W2:W4">
    <cfRule type="iconSet" priority="2847638">
      <iconSet iconSet="3ArrowsGray">
        <cfvo type="percent" val="0"/>
        <cfvo type="percent" val="33"/>
        <cfvo type="percent" val="67"/>
      </iconSet>
    </cfRule>
  </conditionalFormatting>
  <conditionalFormatting sqref="EL2:EL4">
    <cfRule type="dataBar" priority="2847639">
      <dataBar>
        <cfvo type="min"/>
        <cfvo type="max"/>
        <color rgb="FF0060A8"/>
      </dataBar>
      <extLst>
        <ext xmlns:x14="http://schemas.microsoft.com/office/spreadsheetml/2009/9/main" uri="{B025F937-C7B1-47D3-B67F-A62EFF666E3E}">
          <x14:id>{F72EBDEC-6228-452B-BF5C-EDD7F2D9FDBA}</x14:id>
        </ext>
      </extLst>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14AAE41A-7AD0-46BC-9D4A-95F9B0EC17AA}">
            <x14:dataBar minLength="0" maxLength="100" border="1" negativeBarBorderColorSameAsPositive="0">
              <x14:cfvo type="autoMin"/>
              <x14:cfvo type="autoMax"/>
              <x14:borderColor rgb="FF008AEF"/>
              <x14:negativeFillColor rgb="FFFF0000"/>
              <x14:negativeBorderColor rgb="FFFF0000"/>
              <x14:axisColor rgb="FF000000"/>
            </x14:dataBar>
          </x14:cfRule>
          <xm:sqref>CO1:CO1048576</xm:sqref>
        </x14:conditionalFormatting>
        <x14:conditionalFormatting xmlns:xm="http://schemas.microsoft.com/office/excel/2006/main">
          <x14:cfRule type="dataBar" id="{E9A028F3-894B-47D5-AE28-79455BFA7C1A}">
            <x14:dataBar minLength="0" maxLength="100" border="1" negativeBarBorderColorSameAsPositive="0">
              <x14:cfvo type="autoMin"/>
              <x14:cfvo type="autoMax"/>
              <x14:borderColor rgb="FF008AEF"/>
              <x14:negativeFillColor rgb="FFFF0000"/>
              <x14:negativeBorderColor rgb="FFFF0000"/>
              <x14:axisColor rgb="FF000000"/>
            </x14:dataBar>
          </x14:cfRule>
          <xm:sqref>CJ1:CJ1048576</xm:sqref>
        </x14:conditionalFormatting>
        <x14:conditionalFormatting xmlns:xm="http://schemas.microsoft.com/office/excel/2006/main">
          <x14:cfRule type="dataBar" id="{778B5564-DE9B-4B3D-937F-581F15378BA9}">
            <x14:dataBar minLength="0" maxLength="100" border="1" negativeBarBorderColorSameAsPositive="0">
              <x14:cfvo type="autoMin"/>
              <x14:cfvo type="autoMax"/>
              <x14:borderColor rgb="FF008AEF"/>
              <x14:negativeFillColor rgb="FFFF0000"/>
              <x14:negativeBorderColor rgb="FFFF0000"/>
              <x14:axisColor rgb="FF000000"/>
            </x14:dataBar>
          </x14:cfRule>
          <xm:sqref>CK1:CK1048576</xm:sqref>
        </x14:conditionalFormatting>
        <x14:conditionalFormatting xmlns:xm="http://schemas.microsoft.com/office/excel/2006/main">
          <x14:cfRule type="dataBar" id="{556CE295-D6F9-4D2A-844F-6E0855EB24BD}">
            <x14:dataBar minLength="0" maxLength="100" border="1" negativeBarBorderColorSameAsPositive="0">
              <x14:cfvo type="autoMin"/>
              <x14:cfvo type="autoMax"/>
              <x14:borderColor rgb="FF008AEF"/>
              <x14:negativeFillColor rgb="FFFF0000"/>
              <x14:negativeBorderColor rgb="FFFF0000"/>
              <x14:axisColor rgb="FF000000"/>
            </x14:dataBar>
          </x14:cfRule>
          <xm:sqref>CL1:CL1048576</xm:sqref>
        </x14:conditionalFormatting>
        <x14:conditionalFormatting xmlns:xm="http://schemas.microsoft.com/office/excel/2006/main">
          <x14:cfRule type="dataBar" id="{3F530B19-D044-4B1A-80D1-C16106E96D32}">
            <x14:dataBar minLength="0" maxLength="100" border="1" negativeBarBorderColorSameAsPositive="0">
              <x14:cfvo type="autoMin"/>
              <x14:cfvo type="autoMax"/>
              <x14:borderColor rgb="FF008AEF"/>
              <x14:negativeFillColor rgb="FFFF0000"/>
              <x14:negativeBorderColor rgb="FFFF0000"/>
              <x14:axisColor rgb="FF000000"/>
            </x14:dataBar>
          </x14:cfRule>
          <xm:sqref>CM1:CM1048576</xm:sqref>
        </x14:conditionalFormatting>
        <x14:conditionalFormatting xmlns:xm="http://schemas.microsoft.com/office/excel/2006/main">
          <x14:cfRule type="dataBar" id="{F0FE0B45-50CB-4CCE-B835-5A07810E6A85}">
            <x14:dataBar minLength="0" maxLength="100" border="1" negativeBarBorderColorSameAsPositive="0">
              <x14:cfvo type="autoMin"/>
              <x14:cfvo type="autoMax"/>
              <x14:borderColor rgb="FF008AEF"/>
              <x14:negativeFillColor rgb="FFFF0000"/>
              <x14:negativeBorderColor rgb="FFFF0000"/>
              <x14:axisColor rgb="FF000000"/>
            </x14:dataBar>
          </x14:cfRule>
          <xm:sqref>CN1:CN1048576</xm:sqref>
        </x14:conditionalFormatting>
        <x14:conditionalFormatting xmlns:xm="http://schemas.microsoft.com/office/excel/2006/main">
          <x14:cfRule type="dataBar" id="{782CC29C-0A36-4764-A4A6-F6CC29A5E01D}">
            <x14:dataBar minLength="0" maxLength="100" border="1" negativeBarBorderColorSameAsPositive="0">
              <x14:cfvo type="autoMin"/>
              <x14:cfvo type="autoMax"/>
              <x14:borderColor rgb="FF008AEF"/>
              <x14:negativeFillColor rgb="FFFF0000"/>
              <x14:negativeBorderColor rgb="FFFF0000"/>
              <x14:axisColor rgb="FF000000"/>
            </x14:dataBar>
          </x14:cfRule>
          <xm:sqref>CP1:CP1048576</xm:sqref>
        </x14:conditionalFormatting>
        <x14:conditionalFormatting xmlns:xm="http://schemas.microsoft.com/office/excel/2006/main">
          <x14:cfRule type="dataBar" id="{4710D6D0-D2CC-45C2-B07A-568AC19364E2}">
            <x14:dataBar minLength="0" maxLength="100" border="1" negativeBarBorderColorSameAsPositive="0">
              <x14:cfvo type="autoMin"/>
              <x14:cfvo type="autoMax"/>
              <x14:borderColor rgb="FF008AEF"/>
              <x14:negativeFillColor rgb="FFFF0000"/>
              <x14:negativeBorderColor rgb="FFFF0000"/>
              <x14:axisColor rgb="FF000000"/>
            </x14:dataBar>
          </x14:cfRule>
          <xm:sqref>O1:O1048576</xm:sqref>
        </x14:conditionalFormatting>
        <x14:conditionalFormatting xmlns:xm="http://schemas.microsoft.com/office/excel/2006/main">
          <x14:cfRule type="dataBar" id="{6DDC7AAF-373F-4AAB-A24C-0B2D4B0185A5}">
            <x14:dataBar minLength="0" maxLength="100" gradient="0">
              <x14:cfvo type="autoMin"/>
              <x14:cfvo type="autoMax"/>
              <x14:negativeFillColor rgb="FFFF0000"/>
              <x14:axisColor rgb="FF000000"/>
            </x14:dataBar>
          </x14:cfRule>
          <xm:sqref>DD1:DD1048576</xm:sqref>
        </x14:conditionalFormatting>
        <x14:conditionalFormatting xmlns:xm="http://schemas.microsoft.com/office/excel/2006/main">
          <x14:cfRule type="dataBar" id="{C44FA3A8-7BE4-4DC0-913B-0A46DCF1586D}">
            <x14:dataBar minLength="0" maxLength="100" border="1" negativeBarBorderColorSameAsPositive="0">
              <x14:cfvo type="autoMin"/>
              <x14:cfvo type="autoMax"/>
              <x14:borderColor rgb="FF008AEF"/>
              <x14:negativeFillColor rgb="FFFF0000"/>
              <x14:negativeBorderColor rgb="FFFF0000"/>
              <x14:axisColor rgb="FF000000"/>
            </x14:dataBar>
          </x14:cfRule>
          <xm:sqref>CQ1:CQ1048576</xm:sqref>
        </x14:conditionalFormatting>
        <x14:conditionalFormatting xmlns:xm="http://schemas.microsoft.com/office/excel/2006/main">
          <x14:cfRule type="dataBar" id="{816EFB8F-36AA-4329-9761-19D02431D6C4}">
            <x14:dataBar minLength="0" maxLength="100" gradient="0">
              <x14:cfvo type="autoMin"/>
              <x14:cfvo type="autoMax"/>
              <x14:negativeFillColor rgb="FFFF0000"/>
              <x14:axisColor rgb="FF000000"/>
            </x14:dataBar>
          </x14:cfRule>
          <xm:sqref>CR1:CR1048576</xm:sqref>
        </x14:conditionalFormatting>
        <x14:conditionalFormatting xmlns:xm="http://schemas.microsoft.com/office/excel/2006/main">
          <x14:cfRule type="dataBar" id="{D7EA6F09-0016-4403-ACAB-D164071280E4}">
            <x14:dataBar minLength="0" maxLength="100" gradient="0">
              <x14:cfvo type="autoMin"/>
              <x14:cfvo type="autoMax"/>
              <x14:negativeFillColor rgb="FFFF0000"/>
              <x14:axisColor rgb="FF000000"/>
            </x14:dataBar>
          </x14:cfRule>
          <xm:sqref>AV1:AV1048576</xm:sqref>
        </x14:conditionalFormatting>
        <x14:conditionalFormatting xmlns:xm="http://schemas.microsoft.com/office/excel/2006/main">
          <x14:cfRule type="dataBar" id="{EA25C936-B00C-4BC5-AE42-A2C1B746CC5A}">
            <x14:dataBar minLength="0" maxLength="100" gradient="0">
              <x14:cfvo type="autoMin"/>
              <x14:cfvo type="autoMax"/>
              <x14:negativeFillColor rgb="FFFF0000"/>
              <x14:axisColor rgb="FF000000"/>
            </x14:dataBar>
          </x14:cfRule>
          <xm:sqref>AW1:AW1048576</xm:sqref>
        </x14:conditionalFormatting>
        <x14:conditionalFormatting xmlns:xm="http://schemas.microsoft.com/office/excel/2006/main">
          <x14:cfRule type="dataBar" id="{B90A5FD0-CFBD-44D2-847A-FDC9BCE3B71F}">
            <x14:dataBar minLength="0" maxLength="100" gradient="0">
              <x14:cfvo type="autoMin"/>
              <x14:cfvo type="autoMax"/>
              <x14:negativeFillColor rgb="FFFF0000"/>
              <x14:axisColor rgb="FF000000"/>
            </x14:dataBar>
          </x14:cfRule>
          <xm:sqref>AX1:AX1048576</xm:sqref>
        </x14:conditionalFormatting>
        <x14:conditionalFormatting xmlns:xm="http://schemas.microsoft.com/office/excel/2006/main">
          <x14:cfRule type="dataBar" id="{B844C464-1F5F-4CE8-8601-2F0F22BD163F}">
            <x14:dataBar minLength="0" maxLength="100" gradient="0">
              <x14:cfvo type="autoMin"/>
              <x14:cfvo type="autoMax"/>
              <x14:negativeFillColor rgb="FFFF0000"/>
              <x14:axisColor rgb="FF000000"/>
            </x14:dataBar>
          </x14:cfRule>
          <xm:sqref>AY1:AY1048576</xm:sqref>
        </x14:conditionalFormatting>
        <x14:conditionalFormatting xmlns:xm="http://schemas.microsoft.com/office/excel/2006/main">
          <x14:cfRule type="dataBar" id="{72C25462-B690-43DB-A390-AC4CACF28AB4}">
            <x14:dataBar minLength="0" maxLength="100" gradient="0">
              <x14:cfvo type="autoMin"/>
              <x14:cfvo type="autoMax"/>
              <x14:negativeFillColor rgb="FFFF0000"/>
              <x14:axisColor rgb="FF000000"/>
            </x14:dataBar>
          </x14:cfRule>
          <xm:sqref>AR1:AR1048576</xm:sqref>
        </x14:conditionalFormatting>
        <x14:conditionalFormatting xmlns:xm="http://schemas.microsoft.com/office/excel/2006/main">
          <x14:cfRule type="dataBar" id="{13C71701-FFB7-41EE-83DD-30C7626D9805}">
            <x14:dataBar minLength="0" maxLength="100" gradient="0">
              <x14:cfvo type="autoMin"/>
              <x14:cfvo type="autoMax"/>
              <x14:negativeFillColor rgb="FFFF0000"/>
              <x14:axisColor rgb="FF000000"/>
            </x14:dataBar>
          </x14:cfRule>
          <xm:sqref>AP1:AP1048576</xm:sqref>
        </x14:conditionalFormatting>
        <x14:conditionalFormatting xmlns:xm="http://schemas.microsoft.com/office/excel/2006/main">
          <x14:cfRule type="dataBar" id="{5E4BCAB9-E13A-4EDF-94C8-3B5206DA0A22}">
            <x14:dataBar minLength="0" maxLength="100" gradient="0">
              <x14:cfvo type="autoMin"/>
              <x14:cfvo type="autoMax"/>
              <x14:negativeFillColor rgb="FFFF0000"/>
              <x14:axisColor rgb="FF000000"/>
            </x14:dataBar>
          </x14:cfRule>
          <xm:sqref>AT1:AT1048576</xm:sqref>
        </x14:conditionalFormatting>
        <x14:conditionalFormatting xmlns:xm="http://schemas.microsoft.com/office/excel/2006/main">
          <x14:cfRule type="dataBar" id="{24F73CF6-4949-4EB7-8DCA-6664CA53232B}">
            <x14:dataBar minLength="0" maxLength="100" gradient="0">
              <x14:cfvo type="autoMin"/>
              <x14:cfvo type="autoMax"/>
              <x14:negativeFillColor rgb="FFFF0000"/>
              <x14:axisColor rgb="FF000000"/>
            </x14:dataBar>
          </x14:cfRule>
          <xm:sqref>AU1:AU1048576</xm:sqref>
        </x14:conditionalFormatting>
        <x14:conditionalFormatting xmlns:xm="http://schemas.microsoft.com/office/excel/2006/main">
          <x14:cfRule type="dataBar" id="{E6138265-35ED-480E-80B4-CCE8A529E598}">
            <x14:dataBar minLength="0" maxLength="100" gradient="0">
              <x14:cfvo type="autoMin"/>
              <x14:cfvo type="autoMax"/>
              <x14:negativeFillColor rgb="FFFF0000"/>
              <x14:axisColor rgb="FF000000"/>
            </x14:dataBar>
          </x14:cfRule>
          <xm:sqref>AQ1:AQ1048576</xm:sqref>
        </x14:conditionalFormatting>
        <x14:conditionalFormatting xmlns:xm="http://schemas.microsoft.com/office/excel/2006/main">
          <x14:cfRule type="dataBar" id="{BEBD870E-F763-4171-9009-1EAFB3706158}">
            <x14:dataBar minLength="0" maxLength="100" gradient="0">
              <x14:cfvo type="autoMin"/>
              <x14:cfvo type="autoMax"/>
              <x14:negativeFillColor rgb="FFFF0000"/>
              <x14:axisColor rgb="FF000000"/>
            </x14:dataBar>
          </x14:cfRule>
          <xm:sqref>AS1:AS1048576</xm:sqref>
        </x14:conditionalFormatting>
        <x14:conditionalFormatting xmlns:xm="http://schemas.microsoft.com/office/excel/2006/main">
          <x14:cfRule type="dataBar" id="{4F91B05B-FBB7-4DD1-8837-9F473E2133C5}">
            <x14:dataBar minLength="0" maxLength="100" gradient="0">
              <x14:cfvo type="autoMin"/>
              <x14:cfvo type="autoMax"/>
              <x14:negativeFillColor rgb="FFFF0000"/>
              <x14:axisColor rgb="FF000000"/>
            </x14:dataBar>
          </x14:cfRule>
          <xm:sqref>BJ1:BJ1048576</xm:sqref>
        </x14:conditionalFormatting>
        <x14:conditionalFormatting xmlns:xm="http://schemas.microsoft.com/office/excel/2006/main">
          <x14:cfRule type="dataBar" id="{90A28873-503D-4A48-B2E7-4282FAC63867}">
            <x14:dataBar minLength="0" maxLength="100" gradient="0">
              <x14:cfvo type="autoMin"/>
              <x14:cfvo type="autoMax"/>
              <x14:negativeFillColor rgb="FFFF0000"/>
              <x14:axisColor rgb="FF000000"/>
            </x14:dataBar>
          </x14:cfRule>
          <xm:sqref>BK1:BK1048576</xm:sqref>
        </x14:conditionalFormatting>
        <x14:conditionalFormatting xmlns:xm="http://schemas.microsoft.com/office/excel/2006/main">
          <x14:cfRule type="dataBar" id="{A17F4A20-7385-4408-ABFD-3EDF35AA8F29}">
            <x14:dataBar minLength="0" maxLength="100" gradient="0">
              <x14:cfvo type="autoMin"/>
              <x14:cfvo type="autoMax"/>
              <x14:negativeFillColor rgb="FFFF0000"/>
              <x14:axisColor rgb="FF000000"/>
            </x14:dataBar>
          </x14:cfRule>
          <xm:sqref>DP1:DP1048576</xm:sqref>
        </x14:conditionalFormatting>
        <x14:conditionalFormatting xmlns:xm="http://schemas.microsoft.com/office/excel/2006/main">
          <x14:cfRule type="dataBar" id="{ACFFD22C-288A-4858-A438-F69172D6B167}">
            <x14:dataBar minLength="0" maxLength="100" gradient="0">
              <x14:cfvo type="autoMin"/>
              <x14:cfvo type="autoMax"/>
              <x14:negativeFillColor rgb="FFFF0000"/>
              <x14:axisColor rgb="FF000000"/>
            </x14:dataBar>
          </x14:cfRule>
          <xm:sqref>DQ1:DQ1048576</xm:sqref>
        </x14:conditionalFormatting>
        <x14:conditionalFormatting xmlns:xm="http://schemas.microsoft.com/office/excel/2006/main">
          <x14:cfRule type="dataBar" id="{507416C6-821C-4CD7-A6F1-99620BFA8651}">
            <x14:dataBar minLength="0" maxLength="100" gradient="0">
              <x14:cfvo type="autoMin"/>
              <x14:cfvo type="autoMax"/>
              <x14:negativeFillColor rgb="FFFF0000"/>
              <x14:axisColor rgb="FF000000"/>
            </x14:dataBar>
          </x14:cfRule>
          <xm:sqref>DB1:DB1048576</xm:sqref>
        </x14:conditionalFormatting>
        <x14:conditionalFormatting xmlns:xm="http://schemas.microsoft.com/office/excel/2006/main">
          <x14:cfRule type="dataBar" id="{8622CB33-9D99-4192-AA63-EEACCA02AEE5}">
            <x14:dataBar minLength="0" maxLength="100" gradient="0">
              <x14:cfvo type="autoMin"/>
              <x14:cfvo type="autoMax"/>
              <x14:negativeFillColor rgb="FFFF0000"/>
              <x14:axisColor rgb="FF000000"/>
            </x14:dataBar>
          </x14:cfRule>
          <xm:sqref>DC1:DC1048576</xm:sqref>
        </x14:conditionalFormatting>
        <x14:conditionalFormatting xmlns:xm="http://schemas.microsoft.com/office/excel/2006/main">
          <x14:cfRule type="dataBar" id="{532DD576-1F65-4F19-8023-5342688CCB82}">
            <x14:dataBar minLength="0" maxLength="100" gradient="0">
              <x14:cfvo type="autoMin"/>
              <x14:cfvo type="autoMax"/>
              <x14:negativeFillColor rgb="FFFF0000"/>
              <x14:axisColor rgb="FF000000"/>
            </x14:dataBar>
          </x14:cfRule>
          <xm:sqref>AA1:AA1048576</xm:sqref>
        </x14:conditionalFormatting>
        <x14:conditionalFormatting xmlns:xm="http://schemas.microsoft.com/office/excel/2006/main">
          <x14:cfRule type="dataBar" id="{6BEFC0E4-45ED-4A6D-AF76-21FB9B7119C4}">
            <x14:dataBar minLength="0" maxLength="100" gradient="0">
              <x14:cfvo type="autoMin"/>
              <x14:cfvo type="autoMax"/>
              <x14:negativeFillColor rgb="FFFF0000"/>
              <x14:axisColor rgb="FF000000"/>
            </x14:dataBar>
          </x14:cfRule>
          <xm:sqref>AB1:AB1048576</xm:sqref>
        </x14:conditionalFormatting>
        <x14:conditionalFormatting xmlns:xm="http://schemas.microsoft.com/office/excel/2006/main">
          <x14:cfRule type="dataBar" id="{281ACDAE-2042-4B63-8E16-B3B1B2BEF6AF}">
            <x14:dataBar minLength="0" maxLength="100" gradient="0">
              <x14:cfvo type="autoMin"/>
              <x14:cfvo type="autoMax"/>
              <x14:negativeFillColor rgb="FFFF0000"/>
              <x14:axisColor rgb="FF000000"/>
            </x14:dataBar>
          </x14:cfRule>
          <xm:sqref>AC1:AC1048576</xm:sqref>
        </x14:conditionalFormatting>
        <x14:conditionalFormatting xmlns:xm="http://schemas.microsoft.com/office/excel/2006/main">
          <x14:cfRule type="dataBar" id="{A3C7505B-BFC0-497E-B31C-19A5051F1211}">
            <x14:dataBar minLength="0" maxLength="100" gradient="0">
              <x14:cfvo type="autoMin"/>
              <x14:cfvo type="autoMax"/>
              <x14:negativeFillColor rgb="FFFF0000"/>
              <x14:axisColor rgb="FF000000"/>
            </x14:dataBar>
          </x14:cfRule>
          <xm:sqref>AL1:AL1048576</xm:sqref>
        </x14:conditionalFormatting>
        <x14:conditionalFormatting xmlns:xm="http://schemas.microsoft.com/office/excel/2006/main">
          <x14:cfRule type="dataBar" id="{E2722F7E-8137-407D-A174-7933BC9D560F}">
            <x14:dataBar minLength="0" maxLength="100" gradient="0">
              <x14:cfvo type="autoMin"/>
              <x14:cfvo type="autoMax"/>
              <x14:negativeFillColor rgb="FFFF0000"/>
              <x14:axisColor rgb="FF000000"/>
            </x14:dataBar>
          </x14:cfRule>
          <xm:sqref>AM1:AM1048576</xm:sqref>
        </x14:conditionalFormatting>
        <x14:conditionalFormatting xmlns:xm="http://schemas.microsoft.com/office/excel/2006/main">
          <x14:cfRule type="dataBar" id="{E4AEB1CB-CCF8-46B3-9C06-1190F532C781}">
            <x14:dataBar minLength="0" maxLength="100" gradient="0">
              <x14:cfvo type="autoMin"/>
              <x14:cfvo type="autoMax"/>
              <x14:negativeFillColor rgb="FFFF0000"/>
              <x14:axisColor rgb="FF000000"/>
            </x14:dataBar>
          </x14:cfRule>
          <xm:sqref>AN1:AN1048576</xm:sqref>
        </x14:conditionalFormatting>
        <x14:conditionalFormatting xmlns:xm="http://schemas.microsoft.com/office/excel/2006/main">
          <x14:cfRule type="dataBar" id="{C569A498-20AC-477F-9EDA-0FD020FE7B29}">
            <x14:dataBar minLength="0" maxLength="100" gradient="0">
              <x14:cfvo type="autoMin"/>
              <x14:cfvo type="autoMax"/>
              <x14:negativeFillColor rgb="FFFF0000"/>
              <x14:axisColor rgb="FF000000"/>
            </x14:dataBar>
          </x14:cfRule>
          <xm:sqref>EK1:EK1048576</xm:sqref>
        </x14:conditionalFormatting>
        <x14:conditionalFormatting xmlns:xm="http://schemas.microsoft.com/office/excel/2006/main">
          <x14:cfRule type="dataBar" id="{CFAB8EA4-4151-472C-81E7-4BC5D2BFE128}">
            <x14:dataBar minLength="0" maxLength="100" gradient="0" direction="leftToRight">
              <x14:cfvo type="autoMin"/>
              <x14:cfvo type="autoMax"/>
              <x14:negativeFillColor rgb="FFFF0000"/>
              <x14:axisColor rgb="FF000000"/>
            </x14:dataBar>
          </x14:cfRule>
          <xm:sqref>EM1:EM1048576</xm:sqref>
        </x14:conditionalFormatting>
        <x14:conditionalFormatting xmlns:xm="http://schemas.microsoft.com/office/excel/2006/main">
          <x14:cfRule type="dataBar" id="{E37F0C20-D106-467C-BF23-67BBEF028689}">
            <x14:dataBar minLength="0" maxLength="100" gradient="0">
              <x14:cfvo type="autoMin"/>
              <x14:cfvo type="autoMax"/>
              <x14:negativeFillColor rgb="FFFF0000"/>
              <x14:axisColor rgb="FF000000"/>
            </x14:dataBar>
          </x14:cfRule>
          <xm:sqref>X1:X1048576</xm:sqref>
        </x14:conditionalFormatting>
        <x14:conditionalFormatting xmlns:xm="http://schemas.microsoft.com/office/excel/2006/main">
          <x14:cfRule type="dataBar" id="{8634C4A8-1E95-4E27-A5F5-9969D25B01E9}">
            <x14:dataBar minLength="0" maxLength="100" gradient="0">
              <x14:cfvo type="autoMin"/>
              <x14:cfvo type="autoMax"/>
              <x14:negativeFillColor rgb="FFFF0000"/>
              <x14:axisColor rgb="FF000000"/>
            </x14:dataBar>
          </x14:cfRule>
          <xm:sqref>Y1:Y1048576</xm:sqref>
        </x14:conditionalFormatting>
        <x14:conditionalFormatting xmlns:xm="http://schemas.microsoft.com/office/excel/2006/main">
          <x14:cfRule type="dataBar" id="{039437B4-3035-4FE7-9475-0CBEBCA0E951}">
            <x14:dataBar minLength="0" maxLength="100" gradient="0">
              <x14:cfvo type="autoMin"/>
              <x14:cfvo type="autoMax"/>
              <x14:negativeFillColor rgb="FFFF0000"/>
              <x14:axisColor rgb="FF000000"/>
            </x14:dataBar>
          </x14:cfRule>
          <xm:sqref>Z1:Z1048576</xm:sqref>
        </x14:conditionalFormatting>
        <x14:conditionalFormatting xmlns:xm="http://schemas.microsoft.com/office/excel/2006/main">
          <x14:cfRule type="dataBar" id="{2AF98385-C8DD-4031-91A3-CA8617339F5C}">
            <x14:dataBar minLength="0" maxLength="100" gradient="0">
              <x14:cfvo type="autoMin"/>
              <x14:cfvo type="autoMax"/>
              <x14:negativeFillColor rgb="FFFF0000"/>
              <x14:axisColor rgb="FF000000"/>
            </x14:dataBar>
          </x14:cfRule>
          <xm:sqref>AD1:AD1048576</xm:sqref>
        </x14:conditionalFormatting>
        <x14:conditionalFormatting xmlns:xm="http://schemas.microsoft.com/office/excel/2006/main">
          <x14:cfRule type="dataBar" id="{0B46C456-72E7-4290-8C73-5851833FFC03}">
            <x14:dataBar minLength="0" maxLength="100" gradient="0">
              <x14:cfvo type="autoMin"/>
              <x14:cfvo type="autoMax"/>
              <x14:negativeFillColor rgb="FFFF0000"/>
              <x14:axisColor rgb="FF000000"/>
            </x14:dataBar>
          </x14:cfRule>
          <xm:sqref>BI1:BI1048576</xm:sqref>
        </x14:conditionalFormatting>
        <x14:conditionalFormatting xmlns:xm="http://schemas.microsoft.com/office/excel/2006/main">
          <x14:cfRule type="dataBar" id="{399CED49-D9A3-4509-9CCF-D0BA59ABCFDB}">
            <x14:dataBar minLength="0" maxLength="100" gradient="0">
              <x14:cfvo type="autoMin"/>
              <x14:cfvo type="autoMax"/>
              <x14:negativeFillColor rgb="FFFF0000"/>
              <x14:axisColor rgb="FF000000"/>
            </x14:dataBar>
          </x14:cfRule>
          <xm:sqref>BY1:BY1048576</xm:sqref>
        </x14:conditionalFormatting>
        <x14:conditionalFormatting xmlns:xm="http://schemas.microsoft.com/office/excel/2006/main">
          <x14:cfRule type="dataBar" id="{F72EBDEC-6228-452B-BF5C-EDD7F2D9FDBA}">
            <x14:dataBar minLength="0" maxLength="100" gradient="0">
              <x14:cfvo type="autoMin"/>
              <x14:cfvo type="autoMax"/>
              <x14:negativeFillColor rgb="FFFF0000"/>
              <x14:axisColor rgb="FF000000"/>
            </x14:dataBar>
          </x14:cfRule>
          <xm:sqref>EL2:EL4</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tabColor rgb="FFFFFF00"/>
  </sheetPr>
  <dimension ref="A1:DK204"/>
  <sheetViews>
    <sheetView zoomScale="90" zoomScaleNormal="90" workbookViewId="0">
      <pane xSplit="2" ySplit="1" topLeftCell="C2" activePane="bottomRight" state="frozen"/>
      <selection pane="topRight" activeCell="C1" sqref="C1"/>
      <selection pane="bottomLeft" activeCell="A2" sqref="A2"/>
      <selection pane="bottomRight"/>
    </sheetView>
  </sheetViews>
  <sheetFormatPr defaultRowHeight="18.75" x14ac:dyDescent="0.3"/>
  <cols>
    <col min="1" max="1" width="25.7109375" customWidth="1"/>
    <col min="2" max="2" width="11" customWidth="1"/>
    <col min="3" max="3" width="16.28515625" customWidth="1"/>
    <col min="4" max="5" width="13.5703125" customWidth="1"/>
    <col min="6" max="16" width="18.7109375" customWidth="1"/>
    <col min="17" max="17" width="18.7109375" style="210" customWidth="1"/>
    <col min="18" max="54" width="18.7109375" customWidth="1"/>
    <col min="55" max="55" width="20.5703125" customWidth="1"/>
    <col min="56" max="62" width="18.7109375" customWidth="1"/>
    <col min="63" max="63" width="8.7109375" customWidth="1"/>
    <col min="64" max="67" width="11.7109375" customWidth="1"/>
    <col min="68" max="69" width="11.7109375" style="1" customWidth="1"/>
    <col min="70" max="70" width="11.7109375" style="209" customWidth="1"/>
    <col min="71" max="100" width="11.7109375" style="1" customWidth="1"/>
    <col min="101" max="101" width="2.5703125" customWidth="1"/>
  </cols>
  <sheetData>
    <row r="1" spans="1:115" ht="50.1" customHeight="1" thickBot="1" x14ac:dyDescent="0.3">
      <c r="A1" s="218" t="s">
        <v>20</v>
      </c>
      <c r="B1" s="218" t="s">
        <v>487</v>
      </c>
      <c r="C1" s="213" t="s">
        <v>504</v>
      </c>
      <c r="D1" s="213" t="s">
        <v>111</v>
      </c>
      <c r="E1" s="213" t="s">
        <v>503</v>
      </c>
      <c r="F1" s="246" t="s">
        <v>157</v>
      </c>
      <c r="G1" s="246" t="s">
        <v>502</v>
      </c>
      <c r="H1" s="335" t="s">
        <v>501</v>
      </c>
      <c r="I1" s="246" t="s">
        <v>500</v>
      </c>
      <c r="J1" s="247" t="s">
        <v>36</v>
      </c>
      <c r="K1" s="247" t="s">
        <v>508</v>
      </c>
      <c r="L1" s="246" t="s">
        <v>75</v>
      </c>
      <c r="M1" s="246" t="s">
        <v>27</v>
      </c>
      <c r="N1" s="246" t="s">
        <v>76</v>
      </c>
      <c r="O1" s="186" t="s">
        <v>409</v>
      </c>
      <c r="P1" s="186" t="s">
        <v>410</v>
      </c>
      <c r="Q1" s="245" t="s">
        <v>499</v>
      </c>
      <c r="R1" s="245" t="s">
        <v>498</v>
      </c>
      <c r="S1" s="22" t="s">
        <v>233</v>
      </c>
      <c r="T1" s="22" t="s">
        <v>234</v>
      </c>
      <c r="U1" s="4" t="s">
        <v>44</v>
      </c>
      <c r="V1" s="4" t="s">
        <v>128</v>
      </c>
      <c r="W1" s="4" t="s">
        <v>497</v>
      </c>
      <c r="X1" s="46" t="s">
        <v>319</v>
      </c>
      <c r="Y1" s="46" t="s">
        <v>320</v>
      </c>
      <c r="Z1" s="46" t="s">
        <v>453</v>
      </c>
      <c r="AA1" s="46" t="s">
        <v>606</v>
      </c>
      <c r="AB1" s="46" t="s">
        <v>339</v>
      </c>
      <c r="AC1" s="46" t="s">
        <v>496</v>
      </c>
      <c r="AD1" s="316" t="s">
        <v>407</v>
      </c>
      <c r="AE1" s="316" t="s">
        <v>495</v>
      </c>
      <c r="AF1" s="315" t="s">
        <v>494</v>
      </c>
      <c r="AG1" s="315" t="s">
        <v>493</v>
      </c>
      <c r="AH1" s="315" t="s">
        <v>492</v>
      </c>
      <c r="AI1" s="244" t="s">
        <v>22</v>
      </c>
      <c r="AJ1" s="244" t="s">
        <v>138</v>
      </c>
      <c r="AK1" s="244" t="s">
        <v>59</v>
      </c>
      <c r="AL1" s="244" t="s">
        <v>143</v>
      </c>
      <c r="AM1" s="244" t="s">
        <v>525</v>
      </c>
      <c r="AN1" s="244" t="s">
        <v>290</v>
      </c>
      <c r="AO1" s="243" t="s">
        <v>322</v>
      </c>
      <c r="AP1" s="243" t="s">
        <v>491</v>
      </c>
      <c r="AQ1" s="218" t="s">
        <v>323</v>
      </c>
      <c r="AR1" s="243" t="s">
        <v>481</v>
      </c>
      <c r="AS1" s="218" t="s">
        <v>97</v>
      </c>
      <c r="AT1" s="242" t="s">
        <v>169</v>
      </c>
      <c r="AU1" s="217" t="s">
        <v>490</v>
      </c>
      <c r="AV1" s="242" t="s">
        <v>103</v>
      </c>
      <c r="AW1" s="217" t="s">
        <v>489</v>
      </c>
      <c r="AX1" s="217" t="s">
        <v>488</v>
      </c>
      <c r="AY1" s="317" t="s">
        <v>63</v>
      </c>
      <c r="AZ1" s="317" t="s">
        <v>472</v>
      </c>
      <c r="BA1" s="92" t="s">
        <v>426</v>
      </c>
      <c r="BB1" s="92" t="s">
        <v>426</v>
      </c>
      <c r="BC1" s="92" t="s">
        <v>595</v>
      </c>
      <c r="BD1" s="252" t="s">
        <v>414</v>
      </c>
      <c r="BE1" s="224" t="s">
        <v>98</v>
      </c>
      <c r="BF1" s="241" t="s">
        <v>408</v>
      </c>
      <c r="BG1" s="240" t="s">
        <v>74</v>
      </c>
      <c r="BH1" s="218" t="s">
        <v>84</v>
      </c>
      <c r="BI1" s="218" t="s">
        <v>158</v>
      </c>
      <c r="BJ1" s="101" t="s">
        <v>25</v>
      </c>
      <c r="BK1" s="261" t="s">
        <v>14</v>
      </c>
      <c r="BL1" s="262" t="s">
        <v>601</v>
      </c>
      <c r="BM1" s="262" t="s">
        <v>20</v>
      </c>
      <c r="BN1" s="262" t="s">
        <v>1</v>
      </c>
      <c r="BO1" s="262" t="s">
        <v>29</v>
      </c>
      <c r="BP1" s="262" t="s">
        <v>37</v>
      </c>
      <c r="BQ1" s="262" t="s">
        <v>567</v>
      </c>
      <c r="BR1" s="262" t="s">
        <v>572</v>
      </c>
      <c r="BS1" s="262" t="s">
        <v>581</v>
      </c>
      <c r="BT1" s="262" t="s">
        <v>582</v>
      </c>
      <c r="BU1" s="262" t="s">
        <v>5</v>
      </c>
      <c r="BV1" s="262" t="s">
        <v>95</v>
      </c>
      <c r="BW1" s="262" t="s">
        <v>8</v>
      </c>
      <c r="BX1" s="262" t="s">
        <v>9</v>
      </c>
      <c r="BY1" s="262" t="s">
        <v>11</v>
      </c>
      <c r="BZ1" s="262" t="s">
        <v>17</v>
      </c>
      <c r="CA1" s="262" t="s">
        <v>7</v>
      </c>
      <c r="CB1" s="262" t="s">
        <v>153</v>
      </c>
      <c r="CC1" s="262" t="s">
        <v>166</v>
      </c>
      <c r="CD1" s="262" t="s">
        <v>4</v>
      </c>
      <c r="CE1" s="262" t="s">
        <v>578</v>
      </c>
      <c r="CF1" s="262" t="s">
        <v>85</v>
      </c>
      <c r="CG1" s="262" t="s">
        <v>86</v>
      </c>
      <c r="CH1" s="262" t="s">
        <v>534</v>
      </c>
      <c r="CI1" s="262" t="s">
        <v>535</v>
      </c>
      <c r="CJ1" s="262" t="s">
        <v>45</v>
      </c>
      <c r="CK1" s="262" t="s">
        <v>575</v>
      </c>
      <c r="CL1" s="262" t="s">
        <v>576</v>
      </c>
      <c r="CM1" s="262" t="s">
        <v>568</v>
      </c>
      <c r="CN1" s="262" t="s">
        <v>18</v>
      </c>
      <c r="CO1" s="262" t="s">
        <v>10</v>
      </c>
      <c r="CP1" s="262" t="s">
        <v>15</v>
      </c>
      <c r="CQ1" s="262" t="s">
        <v>16</v>
      </c>
      <c r="CR1" s="262" t="s">
        <v>577</v>
      </c>
      <c r="CS1" s="262" t="s">
        <v>176</v>
      </c>
      <c r="CT1" s="262" t="s">
        <v>177</v>
      </c>
      <c r="CU1" s="262" t="s">
        <v>96</v>
      </c>
      <c r="CV1" s="263" t="s">
        <v>569</v>
      </c>
      <c r="CW1" s="211"/>
      <c r="DE1" s="1"/>
      <c r="DG1" s="1"/>
    </row>
    <row r="2" spans="1:115" ht="30" customHeight="1" thickBot="1" x14ac:dyDescent="0.3">
      <c r="A2" s="239" t="str">
        <f t="shared" ref="A2:A12" si="0">IF(BM2=0,"Sem Jogador Adicionado",BM2)</f>
        <v>Sem Jogador Adicionado</v>
      </c>
      <c r="B2" s="238" t="str">
        <f>IF(BL2=0,"VAZIO",
SUBSTITUTE(
SUBSTITUTE(
SUBSTITUTE(
SUBSTITUTE(
SUBSTITUTE(
SUBSTITUTE(
SUBSTITUTE(
SUBSTITUTE(
SUBSTITUTE(BL2,"GR","GOL"),
"D (D)","LD"),
"D (E)","LE"),
"D (C)","ZAG"),
"MD","VOL"),
"MO (D)","PD"),
"MO (E)","PE"),
"MO (C)","MEI"),
"PL (C)","ATA"))</f>
        <v>VAZIO</v>
      </c>
      <c r="C2" s="237">
        <f t="shared" ref="C2:C12" si="1">BQ2</f>
        <v>0</v>
      </c>
      <c r="D2" s="237">
        <f>C2/90</f>
        <v>0</v>
      </c>
      <c r="E2" s="5">
        <f t="shared" ref="E2:E12" si="2">IFERROR(SUBSTITUTE(BO2," cm","")/100,0)</f>
        <v>0</v>
      </c>
      <c r="F2" s="24">
        <f t="shared" ref="F2:F12" si="3">IFERROR(CP2/D2,0)</f>
        <v>0</v>
      </c>
      <c r="G2" s="24">
        <f t="shared" ref="G2:G12" si="4">IFERROR(CQ2/D2,0)</f>
        <v>0</v>
      </c>
      <c r="H2" s="5">
        <f t="shared" ref="H2:H12" si="5">IFERROR((CP2-CQ2)/(D2),0)</f>
        <v>0</v>
      </c>
      <c r="I2" s="20">
        <f t="shared" ref="I2:I12" si="6">IFERROR((G2*1)/F2,0)</f>
        <v>0</v>
      </c>
      <c r="J2" s="325">
        <f t="shared" ref="J2:J12" si="7">CM2</f>
        <v>0</v>
      </c>
      <c r="K2" s="334">
        <f t="shared" ref="K2:K12" si="8">IFERROR(J2/D2,0)</f>
        <v>0</v>
      </c>
      <c r="L2" s="6">
        <f t="shared" ref="L2:L12" si="9">CP2</f>
        <v>0</v>
      </c>
      <c r="M2" s="6">
        <f t="shared" ref="M2:M12" si="10">IFERROR((CP2-CQ2),0)</f>
        <v>0</v>
      </c>
      <c r="N2" s="20">
        <f t="shared" ref="N2:N12" si="11">IFERROR((M2*1)/CP2,0)</f>
        <v>0</v>
      </c>
      <c r="O2" s="235">
        <f t="shared" ref="O2:O12" si="12">IFERROR((CH2+BW2+CO2+C2),0)</f>
        <v>0</v>
      </c>
      <c r="P2" s="236">
        <f t="shared" ref="P2:P12" si="13">IFERROR((O2/D2),0)</f>
        <v>0</v>
      </c>
      <c r="Q2" s="298">
        <f t="shared" ref="Q2:Q12" si="14">IFERROR(R2*D2,0)</f>
        <v>0</v>
      </c>
      <c r="R2" s="300">
        <f t="shared" ref="R2:R12" si="15">CC2</f>
        <v>0</v>
      </c>
      <c r="S2" s="6">
        <f t="shared" ref="S2:S12" si="16">IFERROR(CD2+X2+BX2+BS2,0)</f>
        <v>0</v>
      </c>
      <c r="T2" s="5">
        <f t="shared" ref="T2:T12" si="17">IFERROR(S2/D2,0)</f>
        <v>0</v>
      </c>
      <c r="U2" s="6">
        <f t="shared" ref="U2:U12" si="18">CH2</f>
        <v>0</v>
      </c>
      <c r="V2" s="6">
        <f t="shared" ref="V2:V12" si="19">CI2</f>
        <v>0</v>
      </c>
      <c r="W2" s="21">
        <f t="shared" ref="W2:W12" si="20">IFERROR((V2*1)/U2,0)</f>
        <v>0</v>
      </c>
      <c r="X2" s="5">
        <f t="shared" ref="X2:X12" si="21">IFERROR(SUBSTITUTE(CB2,".","," )*1,0)</f>
        <v>0</v>
      </c>
      <c r="Y2" s="5">
        <f t="shared" ref="Y2:Y12" si="22">IFERROR(X2/D2,0)</f>
        <v>0</v>
      </c>
      <c r="Z2" s="5">
        <f t="shared" ref="Z2:Z12" si="23">IFERROR(VALUE(SUBSTITUTE(CA2,".",","))-(BU2*0.79),0)</f>
        <v>0</v>
      </c>
      <c r="AA2" s="5">
        <f t="shared" ref="AA2:AA12" si="24">IFERROR(Z2/D2,0)</f>
        <v>0</v>
      </c>
      <c r="AB2" s="5">
        <f t="shared" ref="AB2:AB12" si="25">IFERROR(X2+Z2,0)</f>
        <v>0</v>
      </c>
      <c r="AC2" s="5">
        <f t="shared" ref="AC2:AC12" si="26">IFERROR(AB2/D2,0)</f>
        <v>0</v>
      </c>
      <c r="AD2" s="6">
        <f t="shared" ref="AD2:AD12" si="27">BW2-BU2</f>
        <v>0</v>
      </c>
      <c r="AE2" s="5">
        <f t="shared" ref="AE2:AE12" si="28">IFERROR(AD2/D2,0)</f>
        <v>0</v>
      </c>
      <c r="AF2" s="5">
        <f t="shared" ref="AF2:AF12" si="29">IFERROR((BX2-BV2)/(D2-BU2),0)</f>
        <v>0</v>
      </c>
      <c r="AG2" s="20">
        <f t="shared" ref="AG2:AG12" si="30">IFERROR((BX2-BV2)/(BW2-BU2),0)</f>
        <v>0</v>
      </c>
      <c r="AH2" s="21">
        <f t="shared" ref="AH2:AH12" si="31">IFERROR((BS2-BV2)/(BW2-BU2),0)</f>
        <v>0</v>
      </c>
      <c r="AI2" s="6">
        <f t="shared" ref="AI2:AI12" si="32">BS2</f>
        <v>0</v>
      </c>
      <c r="AJ2" s="5">
        <f t="shared" ref="AJ2:AJ12" si="33">IFERROR(AI2/D2,0)</f>
        <v>0</v>
      </c>
      <c r="AK2" s="6">
        <f t="shared" ref="AK2:AK12" si="34">BT2</f>
        <v>0</v>
      </c>
      <c r="AL2" s="5">
        <f t="shared" ref="AL2:AL12" si="35">IFERROR((AK2/D2),0)</f>
        <v>0</v>
      </c>
      <c r="AM2" s="6">
        <f t="shared" ref="AM2:AM12" si="36">AI2+AK2</f>
        <v>0</v>
      </c>
      <c r="AN2" s="5">
        <f t="shared" ref="AN2:AN12" si="37">IFERROR(AJ2+AL2,0)</f>
        <v>0</v>
      </c>
      <c r="AO2" s="6">
        <f t="shared" ref="AO2:AO12" si="38">IFERROR(BY2,0)</f>
        <v>0</v>
      </c>
      <c r="AP2" s="24">
        <f t="shared" ref="AP2:AP12" si="39">IFERROR(AO2/D2,0)</f>
        <v>0</v>
      </c>
      <c r="AQ2" s="6">
        <f t="shared" ref="AQ2:AQ12" si="40">BZ2</f>
        <v>0</v>
      </c>
      <c r="AR2" s="185">
        <f t="shared" ref="AR2:AR12" si="41">IFERROR(AQ2/D2,0)</f>
        <v>0</v>
      </c>
      <c r="AS2" s="21">
        <f t="shared" ref="AS2:AS12" si="42">IFERROR((AQ2*1)/AO2,0)</f>
        <v>0</v>
      </c>
      <c r="AT2" s="195">
        <f t="shared" ref="AT2:AT12" si="43">CU2+CK2+CJ2</f>
        <v>0</v>
      </c>
      <c r="AU2" s="185">
        <f t="shared" ref="AU2:AU12" si="44">IFERROR(AT2/D2,0)</f>
        <v>0</v>
      </c>
      <c r="AV2" s="6">
        <f t="shared" ref="AV2:AV12" si="45">CV2+CJ2</f>
        <v>0</v>
      </c>
      <c r="AW2" s="5">
        <f t="shared" ref="AW2:AW12" si="46">IFERROR(AV2/D2,0)</f>
        <v>0</v>
      </c>
      <c r="AX2" s="21">
        <f t="shared" ref="AX2:AX12" si="47">IFERROR(AV2/AT2,0)</f>
        <v>0</v>
      </c>
      <c r="AY2" s="298">
        <f t="shared" ref="AY2:AY12" si="48">CK2</f>
        <v>0</v>
      </c>
      <c r="AZ2" s="300">
        <f t="shared" ref="AZ2:AZ12" si="49">IFERROR(AY2/D2,0)</f>
        <v>0</v>
      </c>
      <c r="BA2" s="298">
        <f t="shared" ref="BA2:BA12" si="50">CF2-CH2</f>
        <v>0</v>
      </c>
      <c r="BB2" s="298">
        <f t="shared" ref="BB2:BB12" si="51">CG2-CI2</f>
        <v>0</v>
      </c>
      <c r="BC2" s="290">
        <f t="shared" ref="BC2:BC12" si="52">IFERROR(BB2/BA2,0)</f>
        <v>0</v>
      </c>
      <c r="BD2" s="2">
        <f t="shared" ref="BD2:BD12" si="53">CE2</f>
        <v>0</v>
      </c>
      <c r="BE2" s="5">
        <f t="shared" ref="BE2:BE12" si="54">IFERROR(BD2/D2,0)</f>
        <v>0</v>
      </c>
      <c r="BF2" s="5">
        <f t="shared" ref="BF2:BF12" si="55">IFERROR(VALUE(SUBSTITUTE(CN2," km","")),0)</f>
        <v>0</v>
      </c>
      <c r="BG2" s="5">
        <f t="shared" ref="BG2:BG12" si="56">IFERROR((BF2/D2),0)</f>
        <v>0</v>
      </c>
      <c r="BH2" s="2">
        <f t="shared" ref="BH2:BH12" si="57">CO2</f>
        <v>0</v>
      </c>
      <c r="BI2" s="5">
        <f t="shared" ref="BI2:BI12" si="58">IFERROR(BH2/D2,0)</f>
        <v>0</v>
      </c>
      <c r="BJ2" s="5">
        <f t="shared" ref="BJ2:BJ12" si="59">IFERROR(VALUE(SUBSTITUTE(BR2, ".", ",")),6)</f>
        <v>6</v>
      </c>
      <c r="BK2" s="268"/>
      <c r="BL2" s="264"/>
      <c r="BM2" s="264"/>
      <c r="BN2" s="264"/>
      <c r="BO2" s="264"/>
      <c r="BP2" s="264"/>
      <c r="BQ2" s="264"/>
      <c r="BR2" s="264"/>
      <c r="BS2" s="264"/>
      <c r="BT2" s="264"/>
      <c r="BU2" s="264"/>
      <c r="BV2" s="264"/>
      <c r="BW2" s="264"/>
      <c r="BX2" s="264"/>
      <c r="BY2" s="264"/>
      <c r="BZ2" s="264"/>
      <c r="CA2" s="264"/>
      <c r="CB2" s="264"/>
      <c r="CC2" s="264"/>
      <c r="CD2" s="264"/>
      <c r="CE2" s="264"/>
      <c r="CF2" s="264"/>
      <c r="CG2" s="264"/>
      <c r="CH2" s="264"/>
      <c r="CI2" s="264"/>
      <c r="CJ2" s="264"/>
      <c r="CK2" s="264"/>
      <c r="CL2" s="264"/>
      <c r="CM2" s="264"/>
      <c r="CN2" s="264"/>
      <c r="CO2" s="264"/>
      <c r="CP2" s="264"/>
      <c r="CQ2" s="264"/>
      <c r="CR2" s="264"/>
      <c r="CS2" s="264"/>
      <c r="CT2" s="264"/>
      <c r="CU2" s="264"/>
      <c r="CV2" s="269"/>
      <c r="CW2" s="211"/>
    </row>
    <row r="3" spans="1:115" ht="30" customHeight="1" thickBot="1" x14ac:dyDescent="0.3">
      <c r="A3" s="239" t="str">
        <f t="shared" si="0"/>
        <v>Sem Jogador Adicionado</v>
      </c>
      <c r="B3" s="238" t="str">
        <f t="shared" ref="B3:B12" si="60">IF(BL3=0,"VAZIO",
SUBSTITUTE(
SUBSTITUTE(
SUBSTITUTE(
SUBSTITUTE(
SUBSTITUTE(
SUBSTITUTE(
SUBSTITUTE(
SUBSTITUTE(
SUBSTITUTE(BL3,"GR","GOL"),
"D (D)","LD"),
"D (E)","LE"),
"D (C)","ZAG"),
"MD","VOL"),
"MO (D)","PD"),
"MO (E)","PE"),
"MO (C)","MEI"),
"PL (C)","ATA"))</f>
        <v>VAZIO</v>
      </c>
      <c r="C3" s="237">
        <f t="shared" si="1"/>
        <v>0</v>
      </c>
      <c r="D3" s="237">
        <f t="shared" ref="D3:D12" si="61">C3/90</f>
        <v>0</v>
      </c>
      <c r="E3" s="5">
        <f t="shared" si="2"/>
        <v>0</v>
      </c>
      <c r="F3" s="24">
        <f t="shared" si="3"/>
        <v>0</v>
      </c>
      <c r="G3" s="24">
        <f t="shared" si="4"/>
        <v>0</v>
      </c>
      <c r="H3" s="5">
        <f t="shared" si="5"/>
        <v>0</v>
      </c>
      <c r="I3" s="20">
        <f t="shared" si="6"/>
        <v>0</v>
      </c>
      <c r="J3" s="325">
        <f t="shared" si="7"/>
        <v>0</v>
      </c>
      <c r="K3" s="334">
        <f t="shared" si="8"/>
        <v>0</v>
      </c>
      <c r="L3" s="6">
        <f t="shared" si="9"/>
        <v>0</v>
      </c>
      <c r="M3" s="6">
        <f t="shared" si="10"/>
        <v>0</v>
      </c>
      <c r="N3" s="20">
        <f t="shared" si="11"/>
        <v>0</v>
      </c>
      <c r="O3" s="235">
        <f t="shared" si="12"/>
        <v>0</v>
      </c>
      <c r="P3" s="236">
        <f t="shared" si="13"/>
        <v>0</v>
      </c>
      <c r="Q3" s="298">
        <f t="shared" si="14"/>
        <v>0</v>
      </c>
      <c r="R3" s="300">
        <f t="shared" si="15"/>
        <v>0</v>
      </c>
      <c r="S3" s="6">
        <f t="shared" si="16"/>
        <v>0</v>
      </c>
      <c r="T3" s="5">
        <f t="shared" si="17"/>
        <v>0</v>
      </c>
      <c r="U3" s="6">
        <f t="shared" si="18"/>
        <v>0</v>
      </c>
      <c r="V3" s="6">
        <f t="shared" si="19"/>
        <v>0</v>
      </c>
      <c r="W3" s="21">
        <f t="shared" si="20"/>
        <v>0</v>
      </c>
      <c r="X3" s="5">
        <f t="shared" si="21"/>
        <v>0</v>
      </c>
      <c r="Y3" s="5">
        <f t="shared" si="22"/>
        <v>0</v>
      </c>
      <c r="Z3" s="5">
        <f t="shared" si="23"/>
        <v>0</v>
      </c>
      <c r="AA3" s="5">
        <f t="shared" si="24"/>
        <v>0</v>
      </c>
      <c r="AB3" s="5">
        <f t="shared" si="25"/>
        <v>0</v>
      </c>
      <c r="AC3" s="5">
        <f t="shared" si="26"/>
        <v>0</v>
      </c>
      <c r="AD3" s="6">
        <f t="shared" si="27"/>
        <v>0</v>
      </c>
      <c r="AE3" s="5">
        <f t="shared" si="28"/>
        <v>0</v>
      </c>
      <c r="AF3" s="5">
        <f t="shared" si="29"/>
        <v>0</v>
      </c>
      <c r="AG3" s="20">
        <f t="shared" si="30"/>
        <v>0</v>
      </c>
      <c r="AH3" s="21">
        <f t="shared" si="31"/>
        <v>0</v>
      </c>
      <c r="AI3" s="6">
        <f t="shared" si="32"/>
        <v>0</v>
      </c>
      <c r="AJ3" s="5">
        <f t="shared" si="33"/>
        <v>0</v>
      </c>
      <c r="AK3" s="6">
        <f t="shared" si="34"/>
        <v>0</v>
      </c>
      <c r="AL3" s="5">
        <f t="shared" si="35"/>
        <v>0</v>
      </c>
      <c r="AM3" s="6">
        <f t="shared" si="36"/>
        <v>0</v>
      </c>
      <c r="AN3" s="5">
        <f t="shared" si="37"/>
        <v>0</v>
      </c>
      <c r="AO3" s="6">
        <f t="shared" si="38"/>
        <v>0</v>
      </c>
      <c r="AP3" s="24">
        <f t="shared" si="39"/>
        <v>0</v>
      </c>
      <c r="AQ3" s="6">
        <f t="shared" si="40"/>
        <v>0</v>
      </c>
      <c r="AR3" s="185">
        <f t="shared" si="41"/>
        <v>0</v>
      </c>
      <c r="AS3" s="21">
        <f t="shared" si="42"/>
        <v>0</v>
      </c>
      <c r="AT3" s="195">
        <f t="shared" si="43"/>
        <v>0</v>
      </c>
      <c r="AU3" s="185">
        <f t="shared" si="44"/>
        <v>0</v>
      </c>
      <c r="AV3" s="6">
        <f t="shared" si="45"/>
        <v>0</v>
      </c>
      <c r="AW3" s="5">
        <f t="shared" si="46"/>
        <v>0</v>
      </c>
      <c r="AX3" s="21">
        <f t="shared" si="47"/>
        <v>0</v>
      </c>
      <c r="AY3" s="298">
        <f t="shared" si="48"/>
        <v>0</v>
      </c>
      <c r="AZ3" s="300">
        <f t="shared" si="49"/>
        <v>0</v>
      </c>
      <c r="BA3" s="298">
        <f t="shared" si="50"/>
        <v>0</v>
      </c>
      <c r="BB3" s="298">
        <f t="shared" si="51"/>
        <v>0</v>
      </c>
      <c r="BC3" s="290">
        <f t="shared" si="52"/>
        <v>0</v>
      </c>
      <c r="BD3" s="2">
        <f t="shared" si="53"/>
        <v>0</v>
      </c>
      <c r="BE3" s="5">
        <f t="shared" si="54"/>
        <v>0</v>
      </c>
      <c r="BF3" s="5">
        <f t="shared" si="55"/>
        <v>0</v>
      </c>
      <c r="BG3" s="5">
        <f t="shared" si="56"/>
        <v>0</v>
      </c>
      <c r="BH3" s="2">
        <f t="shared" si="57"/>
        <v>0</v>
      </c>
      <c r="BI3" s="5">
        <f t="shared" si="58"/>
        <v>0</v>
      </c>
      <c r="BJ3" s="5">
        <f t="shared" si="59"/>
        <v>6</v>
      </c>
      <c r="BK3" s="270"/>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71"/>
      <c r="CW3" s="211"/>
    </row>
    <row r="4" spans="1:115" ht="30" customHeight="1" thickBot="1" x14ac:dyDescent="0.3">
      <c r="A4" s="239" t="str">
        <f t="shared" si="0"/>
        <v>Sem Jogador Adicionado</v>
      </c>
      <c r="B4" s="238" t="str">
        <f t="shared" si="60"/>
        <v>VAZIO</v>
      </c>
      <c r="C4" s="237">
        <f t="shared" si="1"/>
        <v>0</v>
      </c>
      <c r="D4" s="237">
        <f t="shared" si="61"/>
        <v>0</v>
      </c>
      <c r="E4" s="5">
        <f t="shared" si="2"/>
        <v>0</v>
      </c>
      <c r="F4" s="24">
        <f t="shared" si="3"/>
        <v>0</v>
      </c>
      <c r="G4" s="24">
        <f t="shared" si="4"/>
        <v>0</v>
      </c>
      <c r="H4" s="5">
        <f t="shared" si="5"/>
        <v>0</v>
      </c>
      <c r="I4" s="20">
        <f t="shared" si="6"/>
        <v>0</v>
      </c>
      <c r="J4" s="325">
        <f t="shared" si="7"/>
        <v>0</v>
      </c>
      <c r="K4" s="334">
        <f t="shared" si="8"/>
        <v>0</v>
      </c>
      <c r="L4" s="6">
        <f t="shared" si="9"/>
        <v>0</v>
      </c>
      <c r="M4" s="6">
        <f t="shared" si="10"/>
        <v>0</v>
      </c>
      <c r="N4" s="20">
        <f t="shared" si="11"/>
        <v>0</v>
      </c>
      <c r="O4" s="235">
        <f t="shared" si="12"/>
        <v>0</v>
      </c>
      <c r="P4" s="236">
        <f t="shared" si="13"/>
        <v>0</v>
      </c>
      <c r="Q4" s="298">
        <f t="shared" si="14"/>
        <v>0</v>
      </c>
      <c r="R4" s="300">
        <f t="shared" si="15"/>
        <v>0</v>
      </c>
      <c r="S4" s="6">
        <f t="shared" si="16"/>
        <v>0</v>
      </c>
      <c r="T4" s="5">
        <f t="shared" si="17"/>
        <v>0</v>
      </c>
      <c r="U4" s="6">
        <f t="shared" si="18"/>
        <v>0</v>
      </c>
      <c r="V4" s="6">
        <f t="shared" si="19"/>
        <v>0</v>
      </c>
      <c r="W4" s="21">
        <f t="shared" si="20"/>
        <v>0</v>
      </c>
      <c r="X4" s="5">
        <f t="shared" si="21"/>
        <v>0</v>
      </c>
      <c r="Y4" s="5">
        <f t="shared" si="22"/>
        <v>0</v>
      </c>
      <c r="Z4" s="5">
        <f t="shared" si="23"/>
        <v>0</v>
      </c>
      <c r="AA4" s="5">
        <f t="shared" si="24"/>
        <v>0</v>
      </c>
      <c r="AB4" s="5">
        <f t="shared" si="25"/>
        <v>0</v>
      </c>
      <c r="AC4" s="5">
        <f t="shared" si="26"/>
        <v>0</v>
      </c>
      <c r="AD4" s="6">
        <f t="shared" si="27"/>
        <v>0</v>
      </c>
      <c r="AE4" s="5">
        <f t="shared" si="28"/>
        <v>0</v>
      </c>
      <c r="AF4" s="5">
        <f t="shared" si="29"/>
        <v>0</v>
      </c>
      <c r="AG4" s="20">
        <f t="shared" si="30"/>
        <v>0</v>
      </c>
      <c r="AH4" s="21">
        <f t="shared" si="31"/>
        <v>0</v>
      </c>
      <c r="AI4" s="6">
        <f t="shared" si="32"/>
        <v>0</v>
      </c>
      <c r="AJ4" s="5">
        <f t="shared" si="33"/>
        <v>0</v>
      </c>
      <c r="AK4" s="6">
        <f t="shared" si="34"/>
        <v>0</v>
      </c>
      <c r="AL4" s="5">
        <f t="shared" si="35"/>
        <v>0</v>
      </c>
      <c r="AM4" s="6">
        <f t="shared" si="36"/>
        <v>0</v>
      </c>
      <c r="AN4" s="5">
        <f t="shared" si="37"/>
        <v>0</v>
      </c>
      <c r="AO4" s="6">
        <f t="shared" si="38"/>
        <v>0</v>
      </c>
      <c r="AP4" s="24">
        <f t="shared" si="39"/>
        <v>0</v>
      </c>
      <c r="AQ4" s="6">
        <f t="shared" si="40"/>
        <v>0</v>
      </c>
      <c r="AR4" s="185">
        <f t="shared" si="41"/>
        <v>0</v>
      </c>
      <c r="AS4" s="21">
        <f t="shared" si="42"/>
        <v>0</v>
      </c>
      <c r="AT4" s="195">
        <f t="shared" si="43"/>
        <v>0</v>
      </c>
      <c r="AU4" s="185">
        <f t="shared" si="44"/>
        <v>0</v>
      </c>
      <c r="AV4" s="6">
        <f t="shared" si="45"/>
        <v>0</v>
      </c>
      <c r="AW4" s="5">
        <f t="shared" si="46"/>
        <v>0</v>
      </c>
      <c r="AX4" s="21">
        <f t="shared" si="47"/>
        <v>0</v>
      </c>
      <c r="AY4" s="298">
        <f t="shared" si="48"/>
        <v>0</v>
      </c>
      <c r="AZ4" s="300">
        <f t="shared" si="49"/>
        <v>0</v>
      </c>
      <c r="BA4" s="298">
        <f t="shared" si="50"/>
        <v>0</v>
      </c>
      <c r="BB4" s="298">
        <f t="shared" si="51"/>
        <v>0</v>
      </c>
      <c r="BC4" s="290">
        <f t="shared" si="52"/>
        <v>0</v>
      </c>
      <c r="BD4" s="2">
        <f t="shared" si="53"/>
        <v>0</v>
      </c>
      <c r="BE4" s="5">
        <f t="shared" si="54"/>
        <v>0</v>
      </c>
      <c r="BF4" s="5">
        <f t="shared" si="55"/>
        <v>0</v>
      </c>
      <c r="BG4" s="5">
        <f t="shared" si="56"/>
        <v>0</v>
      </c>
      <c r="BH4" s="2">
        <f t="shared" si="57"/>
        <v>0</v>
      </c>
      <c r="BI4" s="5">
        <f t="shared" si="58"/>
        <v>0</v>
      </c>
      <c r="BJ4" s="5">
        <f t="shared" si="59"/>
        <v>6</v>
      </c>
      <c r="BK4" s="270"/>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71"/>
      <c r="CW4" s="266">
        <v>0</v>
      </c>
      <c r="CX4" s="266">
        <v>0</v>
      </c>
      <c r="CY4" s="266">
        <v>0</v>
      </c>
      <c r="CZ4" s="266">
        <v>0</v>
      </c>
      <c r="DA4" s="266">
        <v>0</v>
      </c>
      <c r="DB4" s="266">
        <v>0</v>
      </c>
      <c r="DC4" s="266" t="s">
        <v>697</v>
      </c>
      <c r="DD4" s="266">
        <v>0</v>
      </c>
      <c r="DE4" s="266">
        <v>55</v>
      </c>
      <c r="DF4" s="266">
        <v>52</v>
      </c>
      <c r="DG4" s="266">
        <v>2</v>
      </c>
      <c r="DH4" s="266">
        <v>3</v>
      </c>
      <c r="DI4" s="266">
        <v>1</v>
      </c>
      <c r="DJ4" s="266">
        <v>1</v>
      </c>
      <c r="DK4" s="271">
        <v>1</v>
      </c>
    </row>
    <row r="5" spans="1:115" ht="30" customHeight="1" thickBot="1" x14ac:dyDescent="0.3">
      <c r="A5" s="239" t="str">
        <f t="shared" si="0"/>
        <v>Sem Jogador Adicionado</v>
      </c>
      <c r="B5" s="238" t="str">
        <f t="shared" si="60"/>
        <v>VAZIO</v>
      </c>
      <c r="C5" s="237">
        <f t="shared" si="1"/>
        <v>0</v>
      </c>
      <c r="D5" s="237">
        <f t="shared" si="61"/>
        <v>0</v>
      </c>
      <c r="E5" s="5">
        <f t="shared" si="2"/>
        <v>0</v>
      </c>
      <c r="F5" s="24">
        <f t="shared" si="3"/>
        <v>0</v>
      </c>
      <c r="G5" s="24">
        <f t="shared" si="4"/>
        <v>0</v>
      </c>
      <c r="H5" s="5">
        <f t="shared" si="5"/>
        <v>0</v>
      </c>
      <c r="I5" s="20">
        <f t="shared" si="6"/>
        <v>0</v>
      </c>
      <c r="J5" s="325">
        <f t="shared" si="7"/>
        <v>0</v>
      </c>
      <c r="K5" s="334">
        <f t="shared" si="8"/>
        <v>0</v>
      </c>
      <c r="L5" s="6">
        <f t="shared" si="9"/>
        <v>0</v>
      </c>
      <c r="M5" s="6">
        <f t="shared" si="10"/>
        <v>0</v>
      </c>
      <c r="N5" s="20">
        <f t="shared" si="11"/>
        <v>0</v>
      </c>
      <c r="O5" s="235">
        <f t="shared" si="12"/>
        <v>0</v>
      </c>
      <c r="P5" s="236">
        <f t="shared" si="13"/>
        <v>0</v>
      </c>
      <c r="Q5" s="298">
        <f t="shared" si="14"/>
        <v>0</v>
      </c>
      <c r="R5" s="300">
        <f t="shared" si="15"/>
        <v>0</v>
      </c>
      <c r="S5" s="6">
        <f t="shared" si="16"/>
        <v>0</v>
      </c>
      <c r="T5" s="5">
        <f t="shared" si="17"/>
        <v>0</v>
      </c>
      <c r="U5" s="6">
        <f t="shared" si="18"/>
        <v>0</v>
      </c>
      <c r="V5" s="6">
        <f t="shared" si="19"/>
        <v>0</v>
      </c>
      <c r="W5" s="21">
        <f t="shared" si="20"/>
        <v>0</v>
      </c>
      <c r="X5" s="5">
        <f t="shared" si="21"/>
        <v>0</v>
      </c>
      <c r="Y5" s="5">
        <f t="shared" si="22"/>
        <v>0</v>
      </c>
      <c r="Z5" s="5">
        <f t="shared" si="23"/>
        <v>0</v>
      </c>
      <c r="AA5" s="5">
        <f t="shared" si="24"/>
        <v>0</v>
      </c>
      <c r="AB5" s="5">
        <f t="shared" si="25"/>
        <v>0</v>
      </c>
      <c r="AC5" s="5">
        <f t="shared" si="26"/>
        <v>0</v>
      </c>
      <c r="AD5" s="6">
        <f t="shared" si="27"/>
        <v>0</v>
      </c>
      <c r="AE5" s="5">
        <f t="shared" si="28"/>
        <v>0</v>
      </c>
      <c r="AF5" s="5">
        <f t="shared" si="29"/>
        <v>0</v>
      </c>
      <c r="AG5" s="20">
        <f t="shared" si="30"/>
        <v>0</v>
      </c>
      <c r="AH5" s="21">
        <f t="shared" si="31"/>
        <v>0</v>
      </c>
      <c r="AI5" s="6">
        <f t="shared" si="32"/>
        <v>0</v>
      </c>
      <c r="AJ5" s="5">
        <f t="shared" si="33"/>
        <v>0</v>
      </c>
      <c r="AK5" s="6">
        <f t="shared" si="34"/>
        <v>0</v>
      </c>
      <c r="AL5" s="5">
        <f t="shared" si="35"/>
        <v>0</v>
      </c>
      <c r="AM5" s="6">
        <f t="shared" si="36"/>
        <v>0</v>
      </c>
      <c r="AN5" s="5">
        <f t="shared" si="37"/>
        <v>0</v>
      </c>
      <c r="AO5" s="6">
        <f t="shared" si="38"/>
        <v>0</v>
      </c>
      <c r="AP5" s="24">
        <f t="shared" si="39"/>
        <v>0</v>
      </c>
      <c r="AQ5" s="6">
        <f t="shared" si="40"/>
        <v>0</v>
      </c>
      <c r="AR5" s="185">
        <f t="shared" si="41"/>
        <v>0</v>
      </c>
      <c r="AS5" s="21">
        <f t="shared" si="42"/>
        <v>0</v>
      </c>
      <c r="AT5" s="195">
        <f t="shared" si="43"/>
        <v>0</v>
      </c>
      <c r="AU5" s="185">
        <f t="shared" si="44"/>
        <v>0</v>
      </c>
      <c r="AV5" s="6">
        <f t="shared" si="45"/>
        <v>0</v>
      </c>
      <c r="AW5" s="5">
        <f t="shared" si="46"/>
        <v>0</v>
      </c>
      <c r="AX5" s="21">
        <f t="shared" si="47"/>
        <v>0</v>
      </c>
      <c r="AY5" s="298">
        <f t="shared" si="48"/>
        <v>0</v>
      </c>
      <c r="AZ5" s="300">
        <f t="shared" si="49"/>
        <v>0</v>
      </c>
      <c r="BA5" s="298">
        <f t="shared" si="50"/>
        <v>0</v>
      </c>
      <c r="BB5" s="298">
        <f t="shared" si="51"/>
        <v>0</v>
      </c>
      <c r="BC5" s="290">
        <f t="shared" si="52"/>
        <v>0</v>
      </c>
      <c r="BD5" s="2">
        <f t="shared" si="53"/>
        <v>0</v>
      </c>
      <c r="BE5" s="5">
        <f t="shared" si="54"/>
        <v>0</v>
      </c>
      <c r="BF5" s="5">
        <f t="shared" si="55"/>
        <v>0</v>
      </c>
      <c r="BG5" s="5">
        <f t="shared" si="56"/>
        <v>0</v>
      </c>
      <c r="BH5" s="2">
        <f t="shared" si="57"/>
        <v>0</v>
      </c>
      <c r="BI5" s="5">
        <f t="shared" si="58"/>
        <v>0</v>
      </c>
      <c r="BJ5" s="5">
        <f t="shared" si="59"/>
        <v>6</v>
      </c>
      <c r="BK5" s="268"/>
      <c r="BL5" s="264"/>
      <c r="BM5" s="264"/>
      <c r="BN5" s="264"/>
      <c r="BO5" s="264"/>
      <c r="BP5" s="264"/>
      <c r="BQ5" s="264"/>
      <c r="BR5" s="264"/>
      <c r="BS5" s="264"/>
      <c r="BT5" s="264"/>
      <c r="BU5" s="264"/>
      <c r="BV5" s="264"/>
      <c r="BW5" s="264"/>
      <c r="BX5" s="264"/>
      <c r="BY5" s="264"/>
      <c r="BZ5" s="264"/>
      <c r="CA5" s="264"/>
      <c r="CB5" s="264"/>
      <c r="CC5" s="264"/>
      <c r="CD5" s="264"/>
      <c r="CE5" s="264"/>
      <c r="CF5" s="264"/>
      <c r="CG5" s="264"/>
      <c r="CH5" s="264"/>
      <c r="CI5" s="264"/>
      <c r="CJ5" s="264"/>
      <c r="CK5" s="264"/>
      <c r="CL5" s="264"/>
      <c r="CM5" s="264"/>
      <c r="CN5" s="264"/>
      <c r="CO5" s="264"/>
      <c r="CP5" s="264"/>
      <c r="CQ5" s="264"/>
      <c r="CR5" s="264"/>
      <c r="CS5" s="264"/>
      <c r="CT5" s="264"/>
      <c r="CU5" s="264"/>
      <c r="CV5" s="269"/>
      <c r="CW5" s="211"/>
    </row>
    <row r="6" spans="1:115" ht="30" customHeight="1" thickBot="1" x14ac:dyDescent="0.3">
      <c r="A6" s="239" t="str">
        <f t="shared" si="0"/>
        <v>Sem Jogador Adicionado</v>
      </c>
      <c r="B6" s="238" t="str">
        <f t="shared" si="60"/>
        <v>VAZIO</v>
      </c>
      <c r="C6" s="237">
        <f t="shared" si="1"/>
        <v>0</v>
      </c>
      <c r="D6" s="237">
        <f t="shared" si="61"/>
        <v>0</v>
      </c>
      <c r="E6" s="5">
        <f t="shared" si="2"/>
        <v>0</v>
      </c>
      <c r="F6" s="24">
        <f t="shared" si="3"/>
        <v>0</v>
      </c>
      <c r="G6" s="24">
        <f t="shared" si="4"/>
        <v>0</v>
      </c>
      <c r="H6" s="5">
        <f t="shared" si="5"/>
        <v>0</v>
      </c>
      <c r="I6" s="20">
        <f t="shared" si="6"/>
        <v>0</v>
      </c>
      <c r="J6" s="325">
        <f t="shared" si="7"/>
        <v>0</v>
      </c>
      <c r="K6" s="334">
        <f t="shared" si="8"/>
        <v>0</v>
      </c>
      <c r="L6" s="6">
        <f t="shared" si="9"/>
        <v>0</v>
      </c>
      <c r="M6" s="6">
        <f t="shared" si="10"/>
        <v>0</v>
      </c>
      <c r="N6" s="20">
        <f t="shared" si="11"/>
        <v>0</v>
      </c>
      <c r="O6" s="235">
        <f t="shared" si="12"/>
        <v>0</v>
      </c>
      <c r="P6" s="236">
        <f t="shared" si="13"/>
        <v>0</v>
      </c>
      <c r="Q6" s="298">
        <f t="shared" si="14"/>
        <v>0</v>
      </c>
      <c r="R6" s="300">
        <f t="shared" si="15"/>
        <v>0</v>
      </c>
      <c r="S6" s="6">
        <f t="shared" si="16"/>
        <v>0</v>
      </c>
      <c r="T6" s="5">
        <f t="shared" si="17"/>
        <v>0</v>
      </c>
      <c r="U6" s="6">
        <f t="shared" si="18"/>
        <v>0</v>
      </c>
      <c r="V6" s="6">
        <f t="shared" si="19"/>
        <v>0</v>
      </c>
      <c r="W6" s="21">
        <f t="shared" si="20"/>
        <v>0</v>
      </c>
      <c r="X6" s="5">
        <f t="shared" si="21"/>
        <v>0</v>
      </c>
      <c r="Y6" s="5">
        <f t="shared" si="22"/>
        <v>0</v>
      </c>
      <c r="Z6" s="5">
        <f t="shared" si="23"/>
        <v>0</v>
      </c>
      <c r="AA6" s="5">
        <f t="shared" si="24"/>
        <v>0</v>
      </c>
      <c r="AB6" s="5">
        <f t="shared" si="25"/>
        <v>0</v>
      </c>
      <c r="AC6" s="5">
        <f t="shared" si="26"/>
        <v>0</v>
      </c>
      <c r="AD6" s="6">
        <f t="shared" si="27"/>
        <v>0</v>
      </c>
      <c r="AE6" s="5">
        <f t="shared" si="28"/>
        <v>0</v>
      </c>
      <c r="AF6" s="5">
        <f t="shared" si="29"/>
        <v>0</v>
      </c>
      <c r="AG6" s="20">
        <f t="shared" si="30"/>
        <v>0</v>
      </c>
      <c r="AH6" s="21">
        <f t="shared" si="31"/>
        <v>0</v>
      </c>
      <c r="AI6" s="6">
        <f t="shared" si="32"/>
        <v>0</v>
      </c>
      <c r="AJ6" s="5">
        <f t="shared" si="33"/>
        <v>0</v>
      </c>
      <c r="AK6" s="6">
        <f t="shared" si="34"/>
        <v>0</v>
      </c>
      <c r="AL6" s="5">
        <f t="shared" si="35"/>
        <v>0</v>
      </c>
      <c r="AM6" s="6">
        <f t="shared" si="36"/>
        <v>0</v>
      </c>
      <c r="AN6" s="5">
        <f t="shared" si="37"/>
        <v>0</v>
      </c>
      <c r="AO6" s="6">
        <f t="shared" si="38"/>
        <v>0</v>
      </c>
      <c r="AP6" s="24">
        <f t="shared" si="39"/>
        <v>0</v>
      </c>
      <c r="AQ6" s="6">
        <f t="shared" si="40"/>
        <v>0</v>
      </c>
      <c r="AR6" s="185">
        <f t="shared" si="41"/>
        <v>0</v>
      </c>
      <c r="AS6" s="21">
        <f t="shared" si="42"/>
        <v>0</v>
      </c>
      <c r="AT6" s="195">
        <f t="shared" si="43"/>
        <v>0</v>
      </c>
      <c r="AU6" s="185">
        <f t="shared" si="44"/>
        <v>0</v>
      </c>
      <c r="AV6" s="6">
        <f t="shared" si="45"/>
        <v>0</v>
      </c>
      <c r="AW6" s="5">
        <f t="shared" si="46"/>
        <v>0</v>
      </c>
      <c r="AX6" s="21">
        <f t="shared" si="47"/>
        <v>0</v>
      </c>
      <c r="AY6" s="298">
        <f t="shared" si="48"/>
        <v>0</v>
      </c>
      <c r="AZ6" s="300">
        <f t="shared" si="49"/>
        <v>0</v>
      </c>
      <c r="BA6" s="298">
        <f t="shared" si="50"/>
        <v>0</v>
      </c>
      <c r="BB6" s="298">
        <f t="shared" si="51"/>
        <v>0</v>
      </c>
      <c r="BC6" s="290">
        <f t="shared" si="52"/>
        <v>0</v>
      </c>
      <c r="BD6" s="2">
        <f t="shared" si="53"/>
        <v>0</v>
      </c>
      <c r="BE6" s="5">
        <f t="shared" si="54"/>
        <v>0</v>
      </c>
      <c r="BF6" s="5">
        <f t="shared" si="55"/>
        <v>0</v>
      </c>
      <c r="BG6" s="5">
        <f t="shared" si="56"/>
        <v>0</v>
      </c>
      <c r="BH6" s="2">
        <f t="shared" si="57"/>
        <v>0</v>
      </c>
      <c r="BI6" s="5">
        <f t="shared" si="58"/>
        <v>0</v>
      </c>
      <c r="BJ6" s="5">
        <f t="shared" si="59"/>
        <v>6</v>
      </c>
      <c r="BK6" s="268"/>
      <c r="BL6" s="264"/>
      <c r="BM6" s="264"/>
      <c r="BN6" s="264"/>
      <c r="BO6" s="264"/>
      <c r="BP6" s="264"/>
      <c r="BQ6" s="264"/>
      <c r="BR6" s="264"/>
      <c r="BS6" s="264"/>
      <c r="BT6" s="264"/>
      <c r="BU6" s="264"/>
      <c r="BV6" s="264"/>
      <c r="BW6" s="264"/>
      <c r="BX6" s="264"/>
      <c r="BY6" s="264"/>
      <c r="BZ6" s="264"/>
      <c r="CA6" s="264"/>
      <c r="CB6" s="264"/>
      <c r="CC6" s="264"/>
      <c r="CD6" s="264"/>
      <c r="CE6" s="264"/>
      <c r="CF6" s="264"/>
      <c r="CG6" s="264"/>
      <c r="CH6" s="264"/>
      <c r="CI6" s="264"/>
      <c r="CJ6" s="264"/>
      <c r="CK6" s="264"/>
      <c r="CL6" s="264"/>
      <c r="CM6" s="264"/>
      <c r="CN6" s="264"/>
      <c r="CO6" s="264"/>
      <c r="CP6" s="264"/>
      <c r="CQ6" s="264"/>
      <c r="CR6" s="264"/>
      <c r="CS6" s="264"/>
      <c r="CT6" s="264"/>
      <c r="CU6" s="264"/>
      <c r="CV6" s="269"/>
      <c r="CW6" s="211"/>
    </row>
    <row r="7" spans="1:115" ht="30" customHeight="1" thickBot="1" x14ac:dyDescent="0.3">
      <c r="A7" s="239" t="str">
        <f t="shared" si="0"/>
        <v>Sem Jogador Adicionado</v>
      </c>
      <c r="B7" s="238" t="str">
        <f t="shared" si="60"/>
        <v>VAZIO</v>
      </c>
      <c r="C7" s="237">
        <f t="shared" si="1"/>
        <v>0</v>
      </c>
      <c r="D7" s="237">
        <f t="shared" si="61"/>
        <v>0</v>
      </c>
      <c r="E7" s="5">
        <f t="shared" si="2"/>
        <v>0</v>
      </c>
      <c r="F7" s="24">
        <f t="shared" si="3"/>
        <v>0</v>
      </c>
      <c r="G7" s="24">
        <f t="shared" si="4"/>
        <v>0</v>
      </c>
      <c r="H7" s="5">
        <f t="shared" si="5"/>
        <v>0</v>
      </c>
      <c r="I7" s="20">
        <f t="shared" si="6"/>
        <v>0</v>
      </c>
      <c r="J7" s="325">
        <f t="shared" si="7"/>
        <v>0</v>
      </c>
      <c r="K7" s="334">
        <f t="shared" si="8"/>
        <v>0</v>
      </c>
      <c r="L7" s="6">
        <f t="shared" si="9"/>
        <v>0</v>
      </c>
      <c r="M7" s="6">
        <f t="shared" si="10"/>
        <v>0</v>
      </c>
      <c r="N7" s="20">
        <f t="shared" si="11"/>
        <v>0</v>
      </c>
      <c r="O7" s="235">
        <f t="shared" si="12"/>
        <v>0</v>
      </c>
      <c r="P7" s="236">
        <f t="shared" si="13"/>
        <v>0</v>
      </c>
      <c r="Q7" s="298">
        <f t="shared" si="14"/>
        <v>0</v>
      </c>
      <c r="R7" s="300">
        <f t="shared" si="15"/>
        <v>0</v>
      </c>
      <c r="S7" s="6">
        <f t="shared" si="16"/>
        <v>0</v>
      </c>
      <c r="T7" s="5">
        <f t="shared" si="17"/>
        <v>0</v>
      </c>
      <c r="U7" s="6">
        <f t="shared" si="18"/>
        <v>0</v>
      </c>
      <c r="V7" s="6">
        <f t="shared" si="19"/>
        <v>0</v>
      </c>
      <c r="W7" s="21">
        <f t="shared" si="20"/>
        <v>0</v>
      </c>
      <c r="X7" s="5">
        <f t="shared" si="21"/>
        <v>0</v>
      </c>
      <c r="Y7" s="5">
        <f t="shared" si="22"/>
        <v>0</v>
      </c>
      <c r="Z7" s="5">
        <f t="shared" si="23"/>
        <v>0</v>
      </c>
      <c r="AA7" s="5">
        <f t="shared" si="24"/>
        <v>0</v>
      </c>
      <c r="AB7" s="5">
        <f t="shared" si="25"/>
        <v>0</v>
      </c>
      <c r="AC7" s="5">
        <f t="shared" si="26"/>
        <v>0</v>
      </c>
      <c r="AD7" s="6">
        <f t="shared" si="27"/>
        <v>0</v>
      </c>
      <c r="AE7" s="5">
        <f t="shared" si="28"/>
        <v>0</v>
      </c>
      <c r="AF7" s="5">
        <f t="shared" si="29"/>
        <v>0</v>
      </c>
      <c r="AG7" s="20">
        <f t="shared" si="30"/>
        <v>0</v>
      </c>
      <c r="AH7" s="21">
        <f t="shared" si="31"/>
        <v>0</v>
      </c>
      <c r="AI7" s="6">
        <f t="shared" si="32"/>
        <v>0</v>
      </c>
      <c r="AJ7" s="5">
        <f t="shared" si="33"/>
        <v>0</v>
      </c>
      <c r="AK7" s="6">
        <f t="shared" si="34"/>
        <v>0</v>
      </c>
      <c r="AL7" s="5">
        <f t="shared" si="35"/>
        <v>0</v>
      </c>
      <c r="AM7" s="6">
        <f t="shared" si="36"/>
        <v>0</v>
      </c>
      <c r="AN7" s="5">
        <f t="shared" si="37"/>
        <v>0</v>
      </c>
      <c r="AO7" s="6">
        <f t="shared" si="38"/>
        <v>0</v>
      </c>
      <c r="AP7" s="24">
        <f t="shared" si="39"/>
        <v>0</v>
      </c>
      <c r="AQ7" s="6">
        <f t="shared" si="40"/>
        <v>0</v>
      </c>
      <c r="AR7" s="185">
        <f t="shared" si="41"/>
        <v>0</v>
      </c>
      <c r="AS7" s="21">
        <f t="shared" si="42"/>
        <v>0</v>
      </c>
      <c r="AT7" s="195">
        <f t="shared" si="43"/>
        <v>0</v>
      </c>
      <c r="AU7" s="185">
        <f t="shared" si="44"/>
        <v>0</v>
      </c>
      <c r="AV7" s="6">
        <f t="shared" si="45"/>
        <v>0</v>
      </c>
      <c r="AW7" s="5">
        <f t="shared" si="46"/>
        <v>0</v>
      </c>
      <c r="AX7" s="21">
        <f t="shared" si="47"/>
        <v>0</v>
      </c>
      <c r="AY7" s="298">
        <f t="shared" si="48"/>
        <v>0</v>
      </c>
      <c r="AZ7" s="300">
        <f t="shared" si="49"/>
        <v>0</v>
      </c>
      <c r="BA7" s="298">
        <f t="shared" si="50"/>
        <v>0</v>
      </c>
      <c r="BB7" s="298">
        <f t="shared" si="51"/>
        <v>0</v>
      </c>
      <c r="BC7" s="290">
        <f t="shared" si="52"/>
        <v>0</v>
      </c>
      <c r="BD7" s="2">
        <f t="shared" si="53"/>
        <v>0</v>
      </c>
      <c r="BE7" s="5">
        <f t="shared" si="54"/>
        <v>0</v>
      </c>
      <c r="BF7" s="5">
        <f t="shared" si="55"/>
        <v>0</v>
      </c>
      <c r="BG7" s="5">
        <f t="shared" si="56"/>
        <v>0</v>
      </c>
      <c r="BH7" s="2">
        <f t="shared" si="57"/>
        <v>0</v>
      </c>
      <c r="BI7" s="5">
        <f t="shared" si="58"/>
        <v>0</v>
      </c>
      <c r="BJ7" s="5">
        <f t="shared" si="59"/>
        <v>6</v>
      </c>
      <c r="BK7" s="270"/>
      <c r="BL7" s="266"/>
      <c r="BM7" s="266"/>
      <c r="BN7" s="266"/>
      <c r="BO7" s="266"/>
      <c r="BP7" s="266"/>
      <c r="BQ7" s="266"/>
      <c r="BR7" s="266"/>
      <c r="BS7" s="266"/>
      <c r="BT7" s="266"/>
      <c r="BU7" s="266"/>
      <c r="BV7" s="266"/>
      <c r="BW7" s="266"/>
      <c r="BX7" s="266"/>
      <c r="BY7" s="266"/>
      <c r="BZ7" s="266"/>
      <c r="CA7" s="266"/>
      <c r="CB7" s="266"/>
      <c r="CC7" s="266"/>
      <c r="CD7" s="266"/>
      <c r="CE7" s="266"/>
      <c r="CF7" s="266"/>
      <c r="CG7" s="266"/>
      <c r="CH7" s="266"/>
      <c r="CI7" s="266"/>
      <c r="CJ7" s="266"/>
      <c r="CK7" s="266"/>
      <c r="CL7" s="266"/>
      <c r="CM7" s="266"/>
      <c r="CN7" s="266"/>
      <c r="CO7" s="266"/>
      <c r="CP7" s="266"/>
      <c r="CQ7" s="266"/>
      <c r="CR7" s="266"/>
      <c r="CS7" s="266"/>
      <c r="CT7" s="266"/>
      <c r="CU7" s="266"/>
      <c r="CV7" s="271"/>
      <c r="CW7" s="211"/>
    </row>
    <row r="8" spans="1:115" ht="30" customHeight="1" thickBot="1" x14ac:dyDescent="0.3">
      <c r="A8" s="239" t="str">
        <f t="shared" si="0"/>
        <v>Sem Jogador Adicionado</v>
      </c>
      <c r="B8" s="238" t="str">
        <f t="shared" si="60"/>
        <v>VAZIO</v>
      </c>
      <c r="C8" s="237">
        <f t="shared" si="1"/>
        <v>0</v>
      </c>
      <c r="D8" s="237">
        <f t="shared" si="61"/>
        <v>0</v>
      </c>
      <c r="E8" s="5">
        <f t="shared" si="2"/>
        <v>0</v>
      </c>
      <c r="F8" s="24">
        <f t="shared" si="3"/>
        <v>0</v>
      </c>
      <c r="G8" s="24">
        <f t="shared" si="4"/>
        <v>0</v>
      </c>
      <c r="H8" s="5">
        <f t="shared" si="5"/>
        <v>0</v>
      </c>
      <c r="I8" s="20">
        <f t="shared" si="6"/>
        <v>0</v>
      </c>
      <c r="J8" s="325">
        <f t="shared" si="7"/>
        <v>0</v>
      </c>
      <c r="K8" s="334">
        <f t="shared" si="8"/>
        <v>0</v>
      </c>
      <c r="L8" s="6">
        <f t="shared" si="9"/>
        <v>0</v>
      </c>
      <c r="M8" s="6">
        <f t="shared" si="10"/>
        <v>0</v>
      </c>
      <c r="N8" s="20">
        <f t="shared" si="11"/>
        <v>0</v>
      </c>
      <c r="O8" s="235">
        <f t="shared" si="12"/>
        <v>0</v>
      </c>
      <c r="P8" s="236">
        <f t="shared" si="13"/>
        <v>0</v>
      </c>
      <c r="Q8" s="298">
        <f t="shared" si="14"/>
        <v>0</v>
      </c>
      <c r="R8" s="300">
        <f t="shared" si="15"/>
        <v>0</v>
      </c>
      <c r="S8" s="6">
        <f t="shared" si="16"/>
        <v>0</v>
      </c>
      <c r="T8" s="5">
        <f t="shared" si="17"/>
        <v>0</v>
      </c>
      <c r="U8" s="6">
        <f t="shared" si="18"/>
        <v>0</v>
      </c>
      <c r="V8" s="6">
        <f t="shared" si="19"/>
        <v>0</v>
      </c>
      <c r="W8" s="21">
        <f t="shared" si="20"/>
        <v>0</v>
      </c>
      <c r="X8" s="5">
        <f t="shared" si="21"/>
        <v>0</v>
      </c>
      <c r="Y8" s="5">
        <f t="shared" si="22"/>
        <v>0</v>
      </c>
      <c r="Z8" s="5">
        <f t="shared" si="23"/>
        <v>0</v>
      </c>
      <c r="AA8" s="5">
        <f t="shared" si="24"/>
        <v>0</v>
      </c>
      <c r="AB8" s="5">
        <f t="shared" si="25"/>
        <v>0</v>
      </c>
      <c r="AC8" s="5">
        <f t="shared" si="26"/>
        <v>0</v>
      </c>
      <c r="AD8" s="6">
        <f t="shared" si="27"/>
        <v>0</v>
      </c>
      <c r="AE8" s="5">
        <f t="shared" si="28"/>
        <v>0</v>
      </c>
      <c r="AF8" s="5">
        <f t="shared" si="29"/>
        <v>0</v>
      </c>
      <c r="AG8" s="20">
        <f t="shared" si="30"/>
        <v>0</v>
      </c>
      <c r="AH8" s="21">
        <f t="shared" si="31"/>
        <v>0</v>
      </c>
      <c r="AI8" s="6">
        <f t="shared" si="32"/>
        <v>0</v>
      </c>
      <c r="AJ8" s="5">
        <f t="shared" si="33"/>
        <v>0</v>
      </c>
      <c r="AK8" s="6">
        <f t="shared" si="34"/>
        <v>0</v>
      </c>
      <c r="AL8" s="5">
        <f t="shared" si="35"/>
        <v>0</v>
      </c>
      <c r="AM8" s="6">
        <f t="shared" si="36"/>
        <v>0</v>
      </c>
      <c r="AN8" s="5">
        <f t="shared" si="37"/>
        <v>0</v>
      </c>
      <c r="AO8" s="6">
        <f t="shared" si="38"/>
        <v>0</v>
      </c>
      <c r="AP8" s="24">
        <f t="shared" si="39"/>
        <v>0</v>
      </c>
      <c r="AQ8" s="6">
        <f t="shared" si="40"/>
        <v>0</v>
      </c>
      <c r="AR8" s="185">
        <f t="shared" si="41"/>
        <v>0</v>
      </c>
      <c r="AS8" s="21">
        <f t="shared" si="42"/>
        <v>0</v>
      </c>
      <c r="AT8" s="195">
        <f t="shared" si="43"/>
        <v>0</v>
      </c>
      <c r="AU8" s="185">
        <f t="shared" si="44"/>
        <v>0</v>
      </c>
      <c r="AV8" s="6">
        <f t="shared" si="45"/>
        <v>0</v>
      </c>
      <c r="AW8" s="5">
        <f t="shared" si="46"/>
        <v>0</v>
      </c>
      <c r="AX8" s="21">
        <f t="shared" si="47"/>
        <v>0</v>
      </c>
      <c r="AY8" s="298">
        <f t="shared" si="48"/>
        <v>0</v>
      </c>
      <c r="AZ8" s="300">
        <f t="shared" si="49"/>
        <v>0</v>
      </c>
      <c r="BA8" s="298">
        <f t="shared" si="50"/>
        <v>0</v>
      </c>
      <c r="BB8" s="298">
        <f t="shared" si="51"/>
        <v>0</v>
      </c>
      <c r="BC8" s="290">
        <f t="shared" si="52"/>
        <v>0</v>
      </c>
      <c r="BD8" s="2">
        <f t="shared" si="53"/>
        <v>0</v>
      </c>
      <c r="BE8" s="5">
        <f t="shared" si="54"/>
        <v>0</v>
      </c>
      <c r="BF8" s="5">
        <f t="shared" si="55"/>
        <v>0</v>
      </c>
      <c r="BG8" s="5">
        <f t="shared" si="56"/>
        <v>0</v>
      </c>
      <c r="BH8" s="2">
        <f t="shared" si="57"/>
        <v>0</v>
      </c>
      <c r="BI8" s="5">
        <f t="shared" si="58"/>
        <v>0</v>
      </c>
      <c r="BJ8" s="5">
        <f t="shared" si="59"/>
        <v>6</v>
      </c>
      <c r="BK8" s="268"/>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c r="CM8" s="264"/>
      <c r="CN8" s="264"/>
      <c r="CO8" s="264"/>
      <c r="CP8" s="264"/>
      <c r="CQ8" s="264"/>
      <c r="CR8" s="264"/>
      <c r="CS8" s="264"/>
      <c r="CT8" s="264"/>
      <c r="CU8" s="264"/>
      <c r="CV8" s="269"/>
      <c r="CW8" s="211"/>
    </row>
    <row r="9" spans="1:115" ht="30" customHeight="1" thickBot="1" x14ac:dyDescent="0.3">
      <c r="A9" s="239" t="str">
        <f t="shared" si="0"/>
        <v>Sem Jogador Adicionado</v>
      </c>
      <c r="B9" s="238" t="str">
        <f t="shared" si="60"/>
        <v>VAZIO</v>
      </c>
      <c r="C9" s="237">
        <f t="shared" si="1"/>
        <v>0</v>
      </c>
      <c r="D9" s="237">
        <f t="shared" si="61"/>
        <v>0</v>
      </c>
      <c r="E9" s="5">
        <f t="shared" si="2"/>
        <v>0</v>
      </c>
      <c r="F9" s="24">
        <f t="shared" si="3"/>
        <v>0</v>
      </c>
      <c r="G9" s="24">
        <f t="shared" si="4"/>
        <v>0</v>
      </c>
      <c r="H9" s="5">
        <f t="shared" si="5"/>
        <v>0</v>
      </c>
      <c r="I9" s="20">
        <f t="shared" si="6"/>
        <v>0</v>
      </c>
      <c r="J9" s="325">
        <f t="shared" si="7"/>
        <v>0</v>
      </c>
      <c r="K9" s="334">
        <f t="shared" si="8"/>
        <v>0</v>
      </c>
      <c r="L9" s="6">
        <f t="shared" si="9"/>
        <v>0</v>
      </c>
      <c r="M9" s="6">
        <f t="shared" si="10"/>
        <v>0</v>
      </c>
      <c r="N9" s="20">
        <f t="shared" si="11"/>
        <v>0</v>
      </c>
      <c r="O9" s="235">
        <f t="shared" si="12"/>
        <v>0</v>
      </c>
      <c r="P9" s="236">
        <f t="shared" si="13"/>
        <v>0</v>
      </c>
      <c r="Q9" s="298">
        <f t="shared" si="14"/>
        <v>0</v>
      </c>
      <c r="R9" s="300">
        <f t="shared" si="15"/>
        <v>0</v>
      </c>
      <c r="S9" s="6">
        <f t="shared" si="16"/>
        <v>0</v>
      </c>
      <c r="T9" s="5">
        <f t="shared" si="17"/>
        <v>0</v>
      </c>
      <c r="U9" s="6">
        <f t="shared" si="18"/>
        <v>0</v>
      </c>
      <c r="V9" s="6">
        <f t="shared" si="19"/>
        <v>0</v>
      </c>
      <c r="W9" s="21">
        <f t="shared" si="20"/>
        <v>0</v>
      </c>
      <c r="X9" s="5">
        <f t="shared" si="21"/>
        <v>0</v>
      </c>
      <c r="Y9" s="5">
        <f t="shared" si="22"/>
        <v>0</v>
      </c>
      <c r="Z9" s="5">
        <f t="shared" si="23"/>
        <v>0</v>
      </c>
      <c r="AA9" s="5">
        <f t="shared" si="24"/>
        <v>0</v>
      </c>
      <c r="AB9" s="5">
        <f t="shared" si="25"/>
        <v>0</v>
      </c>
      <c r="AC9" s="5">
        <f t="shared" si="26"/>
        <v>0</v>
      </c>
      <c r="AD9" s="6">
        <f t="shared" si="27"/>
        <v>0</v>
      </c>
      <c r="AE9" s="5">
        <f t="shared" si="28"/>
        <v>0</v>
      </c>
      <c r="AF9" s="5">
        <f t="shared" si="29"/>
        <v>0</v>
      </c>
      <c r="AG9" s="20">
        <f t="shared" si="30"/>
        <v>0</v>
      </c>
      <c r="AH9" s="21">
        <f t="shared" si="31"/>
        <v>0</v>
      </c>
      <c r="AI9" s="6">
        <f t="shared" si="32"/>
        <v>0</v>
      </c>
      <c r="AJ9" s="5">
        <f t="shared" si="33"/>
        <v>0</v>
      </c>
      <c r="AK9" s="6">
        <f t="shared" si="34"/>
        <v>0</v>
      </c>
      <c r="AL9" s="5">
        <f t="shared" si="35"/>
        <v>0</v>
      </c>
      <c r="AM9" s="6">
        <f t="shared" si="36"/>
        <v>0</v>
      </c>
      <c r="AN9" s="5">
        <f t="shared" si="37"/>
        <v>0</v>
      </c>
      <c r="AO9" s="6">
        <f t="shared" si="38"/>
        <v>0</v>
      </c>
      <c r="AP9" s="24">
        <f t="shared" si="39"/>
        <v>0</v>
      </c>
      <c r="AQ9" s="6">
        <f t="shared" si="40"/>
        <v>0</v>
      </c>
      <c r="AR9" s="185">
        <f t="shared" si="41"/>
        <v>0</v>
      </c>
      <c r="AS9" s="21">
        <f t="shared" si="42"/>
        <v>0</v>
      </c>
      <c r="AT9" s="195">
        <f t="shared" si="43"/>
        <v>0</v>
      </c>
      <c r="AU9" s="185">
        <f t="shared" si="44"/>
        <v>0</v>
      </c>
      <c r="AV9" s="6">
        <f t="shared" si="45"/>
        <v>0</v>
      </c>
      <c r="AW9" s="5">
        <f t="shared" si="46"/>
        <v>0</v>
      </c>
      <c r="AX9" s="21">
        <f t="shared" si="47"/>
        <v>0</v>
      </c>
      <c r="AY9" s="298">
        <f t="shared" si="48"/>
        <v>0</v>
      </c>
      <c r="AZ9" s="300">
        <f t="shared" si="49"/>
        <v>0</v>
      </c>
      <c r="BA9" s="298">
        <f t="shared" si="50"/>
        <v>0</v>
      </c>
      <c r="BB9" s="298">
        <f t="shared" si="51"/>
        <v>0</v>
      </c>
      <c r="BC9" s="290">
        <f t="shared" si="52"/>
        <v>0</v>
      </c>
      <c r="BD9" s="2">
        <f t="shared" si="53"/>
        <v>0</v>
      </c>
      <c r="BE9" s="5">
        <f t="shared" si="54"/>
        <v>0</v>
      </c>
      <c r="BF9" s="5">
        <f t="shared" si="55"/>
        <v>0</v>
      </c>
      <c r="BG9" s="5">
        <f t="shared" si="56"/>
        <v>0</v>
      </c>
      <c r="BH9" s="2">
        <f t="shared" si="57"/>
        <v>0</v>
      </c>
      <c r="BI9" s="5">
        <f t="shared" si="58"/>
        <v>0</v>
      </c>
      <c r="BJ9" s="5">
        <f t="shared" si="59"/>
        <v>6</v>
      </c>
      <c r="BK9" s="270"/>
      <c r="BL9" s="266"/>
      <c r="BM9" s="266"/>
      <c r="BN9" s="266"/>
      <c r="BO9" s="266"/>
      <c r="BP9" s="266"/>
      <c r="BQ9" s="266"/>
      <c r="BR9" s="266"/>
      <c r="BS9" s="266"/>
      <c r="BT9" s="266"/>
      <c r="BU9" s="266"/>
      <c r="BV9" s="266"/>
      <c r="BW9" s="266"/>
      <c r="BX9" s="266"/>
      <c r="BY9" s="266"/>
      <c r="BZ9" s="266"/>
      <c r="CA9" s="266"/>
      <c r="CB9" s="266"/>
      <c r="CC9" s="266"/>
      <c r="CD9" s="266"/>
      <c r="CE9" s="266"/>
      <c r="CF9" s="266"/>
      <c r="CG9" s="266"/>
      <c r="CH9" s="266"/>
      <c r="CI9" s="266"/>
      <c r="CJ9" s="266"/>
      <c r="CK9" s="266"/>
      <c r="CL9" s="266"/>
      <c r="CM9" s="266"/>
      <c r="CN9" s="266"/>
      <c r="CO9" s="266"/>
      <c r="CP9" s="266"/>
      <c r="CQ9" s="266"/>
      <c r="CR9" s="266"/>
      <c r="CS9" s="266"/>
      <c r="CT9" s="266"/>
      <c r="CU9" s="266"/>
      <c r="CV9" s="271"/>
      <c r="CW9" s="211"/>
    </row>
    <row r="10" spans="1:115" ht="30" customHeight="1" thickBot="1" x14ac:dyDescent="0.3">
      <c r="A10" s="239" t="str">
        <f t="shared" si="0"/>
        <v>Sem Jogador Adicionado</v>
      </c>
      <c r="B10" s="238" t="str">
        <f t="shared" si="60"/>
        <v>VAZIO</v>
      </c>
      <c r="C10" s="237">
        <f t="shared" si="1"/>
        <v>0</v>
      </c>
      <c r="D10" s="237">
        <f t="shared" si="61"/>
        <v>0</v>
      </c>
      <c r="E10" s="5">
        <f t="shared" si="2"/>
        <v>0</v>
      </c>
      <c r="F10" s="24">
        <f t="shared" si="3"/>
        <v>0</v>
      </c>
      <c r="G10" s="24">
        <f t="shared" si="4"/>
        <v>0</v>
      </c>
      <c r="H10" s="5">
        <f t="shared" si="5"/>
        <v>0</v>
      </c>
      <c r="I10" s="20">
        <f t="shared" si="6"/>
        <v>0</v>
      </c>
      <c r="J10" s="325">
        <f t="shared" si="7"/>
        <v>0</v>
      </c>
      <c r="K10" s="334">
        <f t="shared" si="8"/>
        <v>0</v>
      </c>
      <c r="L10" s="6">
        <f t="shared" si="9"/>
        <v>0</v>
      </c>
      <c r="M10" s="6">
        <f t="shared" si="10"/>
        <v>0</v>
      </c>
      <c r="N10" s="20">
        <f t="shared" si="11"/>
        <v>0</v>
      </c>
      <c r="O10" s="235">
        <f t="shared" si="12"/>
        <v>0</v>
      </c>
      <c r="P10" s="236">
        <f t="shared" si="13"/>
        <v>0</v>
      </c>
      <c r="Q10" s="298">
        <f t="shared" si="14"/>
        <v>0</v>
      </c>
      <c r="R10" s="300">
        <f t="shared" si="15"/>
        <v>0</v>
      </c>
      <c r="S10" s="6">
        <f t="shared" si="16"/>
        <v>0</v>
      </c>
      <c r="T10" s="5">
        <f t="shared" si="17"/>
        <v>0</v>
      </c>
      <c r="U10" s="6">
        <f t="shared" si="18"/>
        <v>0</v>
      </c>
      <c r="V10" s="6">
        <f t="shared" si="19"/>
        <v>0</v>
      </c>
      <c r="W10" s="21">
        <f t="shared" si="20"/>
        <v>0</v>
      </c>
      <c r="X10" s="5">
        <f t="shared" si="21"/>
        <v>0</v>
      </c>
      <c r="Y10" s="5">
        <f t="shared" si="22"/>
        <v>0</v>
      </c>
      <c r="Z10" s="5">
        <f t="shared" si="23"/>
        <v>0</v>
      </c>
      <c r="AA10" s="5">
        <f t="shared" si="24"/>
        <v>0</v>
      </c>
      <c r="AB10" s="5">
        <f t="shared" si="25"/>
        <v>0</v>
      </c>
      <c r="AC10" s="5">
        <f t="shared" si="26"/>
        <v>0</v>
      </c>
      <c r="AD10" s="6">
        <f t="shared" si="27"/>
        <v>0</v>
      </c>
      <c r="AE10" s="5">
        <f t="shared" si="28"/>
        <v>0</v>
      </c>
      <c r="AF10" s="5">
        <f t="shared" si="29"/>
        <v>0</v>
      </c>
      <c r="AG10" s="20">
        <f t="shared" si="30"/>
        <v>0</v>
      </c>
      <c r="AH10" s="21">
        <f t="shared" si="31"/>
        <v>0</v>
      </c>
      <c r="AI10" s="6">
        <f t="shared" si="32"/>
        <v>0</v>
      </c>
      <c r="AJ10" s="5">
        <f t="shared" si="33"/>
        <v>0</v>
      </c>
      <c r="AK10" s="6">
        <f t="shared" si="34"/>
        <v>0</v>
      </c>
      <c r="AL10" s="5">
        <f t="shared" si="35"/>
        <v>0</v>
      </c>
      <c r="AM10" s="6">
        <f t="shared" si="36"/>
        <v>0</v>
      </c>
      <c r="AN10" s="5">
        <f t="shared" si="37"/>
        <v>0</v>
      </c>
      <c r="AO10" s="6">
        <f t="shared" si="38"/>
        <v>0</v>
      </c>
      <c r="AP10" s="24">
        <f t="shared" si="39"/>
        <v>0</v>
      </c>
      <c r="AQ10" s="6">
        <f t="shared" si="40"/>
        <v>0</v>
      </c>
      <c r="AR10" s="185">
        <f t="shared" si="41"/>
        <v>0</v>
      </c>
      <c r="AS10" s="21">
        <f t="shared" si="42"/>
        <v>0</v>
      </c>
      <c r="AT10" s="195">
        <f t="shared" si="43"/>
        <v>0</v>
      </c>
      <c r="AU10" s="185">
        <f t="shared" si="44"/>
        <v>0</v>
      </c>
      <c r="AV10" s="6">
        <f t="shared" si="45"/>
        <v>0</v>
      </c>
      <c r="AW10" s="5">
        <f t="shared" si="46"/>
        <v>0</v>
      </c>
      <c r="AX10" s="21">
        <f t="shared" si="47"/>
        <v>0</v>
      </c>
      <c r="AY10" s="298">
        <f t="shared" si="48"/>
        <v>0</v>
      </c>
      <c r="AZ10" s="300">
        <f t="shared" si="49"/>
        <v>0</v>
      </c>
      <c r="BA10" s="298">
        <f t="shared" si="50"/>
        <v>0</v>
      </c>
      <c r="BB10" s="298">
        <f t="shared" si="51"/>
        <v>0</v>
      </c>
      <c r="BC10" s="290">
        <f t="shared" si="52"/>
        <v>0</v>
      </c>
      <c r="BD10" s="2">
        <f t="shared" si="53"/>
        <v>0</v>
      </c>
      <c r="BE10" s="5">
        <f t="shared" si="54"/>
        <v>0</v>
      </c>
      <c r="BF10" s="5">
        <f t="shared" si="55"/>
        <v>0</v>
      </c>
      <c r="BG10" s="5">
        <f t="shared" si="56"/>
        <v>0</v>
      </c>
      <c r="BH10" s="2">
        <f t="shared" si="57"/>
        <v>0</v>
      </c>
      <c r="BI10" s="5">
        <f t="shared" si="58"/>
        <v>0</v>
      </c>
      <c r="BJ10" s="5">
        <f t="shared" si="59"/>
        <v>6</v>
      </c>
      <c r="BK10" s="268"/>
      <c r="BL10" s="264"/>
      <c r="BM10" s="264"/>
      <c r="BN10" s="264"/>
      <c r="BO10" s="264"/>
      <c r="BP10" s="264"/>
      <c r="BQ10" s="264"/>
      <c r="BR10" s="264"/>
      <c r="BS10" s="264"/>
      <c r="BT10" s="264"/>
      <c r="BU10" s="264"/>
      <c r="BV10" s="264"/>
      <c r="BW10" s="264"/>
      <c r="BX10" s="264"/>
      <c r="BY10" s="264"/>
      <c r="BZ10" s="264"/>
      <c r="CA10" s="264"/>
      <c r="CB10" s="264"/>
      <c r="CC10" s="264"/>
      <c r="CD10" s="264"/>
      <c r="CE10" s="264"/>
      <c r="CF10" s="264"/>
      <c r="CG10" s="264"/>
      <c r="CH10" s="264"/>
      <c r="CI10" s="264"/>
      <c r="CJ10" s="264"/>
      <c r="CK10" s="264"/>
      <c r="CL10" s="264"/>
      <c r="CM10" s="264"/>
      <c r="CN10" s="264"/>
      <c r="CO10" s="264"/>
      <c r="CP10" s="264"/>
      <c r="CQ10" s="264"/>
      <c r="CR10" s="264"/>
      <c r="CS10" s="264"/>
      <c r="CT10" s="264"/>
      <c r="CU10" s="264"/>
      <c r="CV10" s="269"/>
      <c r="CW10" s="211"/>
    </row>
    <row r="11" spans="1:115" ht="30" customHeight="1" thickBot="1" x14ac:dyDescent="0.3">
      <c r="A11" s="239" t="str">
        <f t="shared" si="0"/>
        <v>Sem Jogador Adicionado</v>
      </c>
      <c r="B11" s="238" t="str">
        <f t="shared" si="60"/>
        <v>VAZIO</v>
      </c>
      <c r="C11" s="237">
        <f t="shared" si="1"/>
        <v>0</v>
      </c>
      <c r="D11" s="237">
        <f t="shared" si="61"/>
        <v>0</v>
      </c>
      <c r="E11" s="5">
        <f t="shared" si="2"/>
        <v>0</v>
      </c>
      <c r="F11" s="24">
        <f t="shared" si="3"/>
        <v>0</v>
      </c>
      <c r="G11" s="24">
        <f t="shared" si="4"/>
        <v>0</v>
      </c>
      <c r="H11" s="5">
        <f t="shared" si="5"/>
        <v>0</v>
      </c>
      <c r="I11" s="20">
        <f t="shared" si="6"/>
        <v>0</v>
      </c>
      <c r="J11" s="325">
        <f t="shared" si="7"/>
        <v>0</v>
      </c>
      <c r="K11" s="334">
        <f t="shared" si="8"/>
        <v>0</v>
      </c>
      <c r="L11" s="6">
        <f t="shared" si="9"/>
        <v>0</v>
      </c>
      <c r="M11" s="6">
        <f t="shared" si="10"/>
        <v>0</v>
      </c>
      <c r="N11" s="20">
        <f t="shared" si="11"/>
        <v>0</v>
      </c>
      <c r="O11" s="235">
        <f t="shared" si="12"/>
        <v>0</v>
      </c>
      <c r="P11" s="236">
        <f t="shared" si="13"/>
        <v>0</v>
      </c>
      <c r="Q11" s="298">
        <f t="shared" si="14"/>
        <v>0</v>
      </c>
      <c r="R11" s="300">
        <f t="shared" si="15"/>
        <v>0</v>
      </c>
      <c r="S11" s="6">
        <f t="shared" si="16"/>
        <v>0</v>
      </c>
      <c r="T11" s="5">
        <f t="shared" si="17"/>
        <v>0</v>
      </c>
      <c r="U11" s="6">
        <f t="shared" si="18"/>
        <v>0</v>
      </c>
      <c r="V11" s="6">
        <f t="shared" si="19"/>
        <v>0</v>
      </c>
      <c r="W11" s="21">
        <f t="shared" si="20"/>
        <v>0</v>
      </c>
      <c r="X11" s="5">
        <f t="shared" si="21"/>
        <v>0</v>
      </c>
      <c r="Y11" s="5">
        <f t="shared" si="22"/>
        <v>0</v>
      </c>
      <c r="Z11" s="5">
        <f t="shared" si="23"/>
        <v>0</v>
      </c>
      <c r="AA11" s="5">
        <f t="shared" si="24"/>
        <v>0</v>
      </c>
      <c r="AB11" s="5">
        <f t="shared" si="25"/>
        <v>0</v>
      </c>
      <c r="AC11" s="5">
        <f t="shared" si="26"/>
        <v>0</v>
      </c>
      <c r="AD11" s="6">
        <f t="shared" si="27"/>
        <v>0</v>
      </c>
      <c r="AE11" s="5">
        <f t="shared" si="28"/>
        <v>0</v>
      </c>
      <c r="AF11" s="5">
        <f t="shared" si="29"/>
        <v>0</v>
      </c>
      <c r="AG11" s="20">
        <f t="shared" si="30"/>
        <v>0</v>
      </c>
      <c r="AH11" s="21">
        <f t="shared" si="31"/>
        <v>0</v>
      </c>
      <c r="AI11" s="6">
        <f t="shared" si="32"/>
        <v>0</v>
      </c>
      <c r="AJ11" s="5">
        <f t="shared" si="33"/>
        <v>0</v>
      </c>
      <c r="AK11" s="6">
        <f t="shared" si="34"/>
        <v>0</v>
      </c>
      <c r="AL11" s="5">
        <f t="shared" si="35"/>
        <v>0</v>
      </c>
      <c r="AM11" s="6">
        <f t="shared" si="36"/>
        <v>0</v>
      </c>
      <c r="AN11" s="5">
        <f t="shared" si="37"/>
        <v>0</v>
      </c>
      <c r="AO11" s="6">
        <f t="shared" si="38"/>
        <v>0</v>
      </c>
      <c r="AP11" s="24">
        <f t="shared" si="39"/>
        <v>0</v>
      </c>
      <c r="AQ11" s="6">
        <f t="shared" si="40"/>
        <v>0</v>
      </c>
      <c r="AR11" s="185">
        <f t="shared" si="41"/>
        <v>0</v>
      </c>
      <c r="AS11" s="21">
        <f t="shared" si="42"/>
        <v>0</v>
      </c>
      <c r="AT11" s="195">
        <f t="shared" si="43"/>
        <v>0</v>
      </c>
      <c r="AU11" s="185">
        <f t="shared" si="44"/>
        <v>0</v>
      </c>
      <c r="AV11" s="6">
        <f t="shared" si="45"/>
        <v>0</v>
      </c>
      <c r="AW11" s="5">
        <f t="shared" si="46"/>
        <v>0</v>
      </c>
      <c r="AX11" s="21">
        <f t="shared" si="47"/>
        <v>0</v>
      </c>
      <c r="AY11" s="298">
        <f t="shared" si="48"/>
        <v>0</v>
      </c>
      <c r="AZ11" s="300">
        <f t="shared" si="49"/>
        <v>0</v>
      </c>
      <c r="BA11" s="298">
        <f t="shared" si="50"/>
        <v>0</v>
      </c>
      <c r="BB11" s="298">
        <f t="shared" si="51"/>
        <v>0</v>
      </c>
      <c r="BC11" s="290">
        <f t="shared" si="52"/>
        <v>0</v>
      </c>
      <c r="BD11" s="2">
        <f t="shared" si="53"/>
        <v>0</v>
      </c>
      <c r="BE11" s="5">
        <f t="shared" si="54"/>
        <v>0</v>
      </c>
      <c r="BF11" s="5">
        <f t="shared" si="55"/>
        <v>0</v>
      </c>
      <c r="BG11" s="5">
        <f t="shared" si="56"/>
        <v>0</v>
      </c>
      <c r="BH11" s="2">
        <f t="shared" si="57"/>
        <v>0</v>
      </c>
      <c r="BI11" s="5">
        <f t="shared" si="58"/>
        <v>0</v>
      </c>
      <c r="BJ11" s="5">
        <f t="shared" si="59"/>
        <v>6</v>
      </c>
      <c r="BK11" s="270"/>
      <c r="BL11" s="264"/>
      <c r="BM11" s="266"/>
      <c r="BN11" s="266"/>
      <c r="BO11" s="266"/>
      <c r="BP11" s="266"/>
      <c r="BQ11" s="266"/>
      <c r="BR11" s="266"/>
      <c r="BS11" s="266"/>
      <c r="BT11" s="266"/>
      <c r="BU11" s="266"/>
      <c r="BV11" s="266"/>
      <c r="BW11" s="266"/>
      <c r="BX11" s="266"/>
      <c r="BY11" s="266"/>
      <c r="BZ11" s="266"/>
      <c r="CA11" s="266"/>
      <c r="CB11" s="266"/>
      <c r="CC11" s="266"/>
      <c r="CD11" s="266"/>
      <c r="CE11" s="266"/>
      <c r="CF11" s="266"/>
      <c r="CG11" s="266"/>
      <c r="CH11" s="266"/>
      <c r="CI11" s="266"/>
      <c r="CJ11" s="266"/>
      <c r="CK11" s="266"/>
      <c r="CL11" s="266"/>
      <c r="CM11" s="266"/>
      <c r="CN11" s="266"/>
      <c r="CO11" s="266"/>
      <c r="CP11" s="266"/>
      <c r="CQ11" s="266"/>
      <c r="CR11" s="266"/>
      <c r="CS11" s="266"/>
      <c r="CT11" s="266"/>
      <c r="CU11" s="266"/>
      <c r="CV11" s="271"/>
      <c r="CW11" s="211"/>
    </row>
    <row r="12" spans="1:115" ht="30" customHeight="1" thickBot="1" x14ac:dyDescent="0.3">
      <c r="A12" s="239" t="str">
        <f t="shared" si="0"/>
        <v>Sem Jogador Adicionado</v>
      </c>
      <c r="B12" s="238" t="str">
        <f t="shared" si="60"/>
        <v>VAZIO</v>
      </c>
      <c r="C12" s="237">
        <f t="shared" si="1"/>
        <v>0</v>
      </c>
      <c r="D12" s="237">
        <f t="shared" si="61"/>
        <v>0</v>
      </c>
      <c r="E12" s="5">
        <f t="shared" si="2"/>
        <v>0</v>
      </c>
      <c r="F12" s="24">
        <f t="shared" si="3"/>
        <v>0</v>
      </c>
      <c r="G12" s="24">
        <f t="shared" si="4"/>
        <v>0</v>
      </c>
      <c r="H12" s="5">
        <f t="shared" si="5"/>
        <v>0</v>
      </c>
      <c r="I12" s="20">
        <f t="shared" si="6"/>
        <v>0</v>
      </c>
      <c r="J12" s="325">
        <f t="shared" si="7"/>
        <v>0</v>
      </c>
      <c r="K12" s="334">
        <f t="shared" si="8"/>
        <v>0</v>
      </c>
      <c r="L12" s="6">
        <f t="shared" si="9"/>
        <v>0</v>
      </c>
      <c r="M12" s="6">
        <f t="shared" si="10"/>
        <v>0</v>
      </c>
      <c r="N12" s="20">
        <f t="shared" si="11"/>
        <v>0</v>
      </c>
      <c r="O12" s="235">
        <f t="shared" si="12"/>
        <v>0</v>
      </c>
      <c r="P12" s="236">
        <f t="shared" si="13"/>
        <v>0</v>
      </c>
      <c r="Q12" s="298">
        <f t="shared" si="14"/>
        <v>0</v>
      </c>
      <c r="R12" s="300">
        <f t="shared" si="15"/>
        <v>0</v>
      </c>
      <c r="S12" s="6">
        <f t="shared" si="16"/>
        <v>0</v>
      </c>
      <c r="T12" s="5">
        <f t="shared" si="17"/>
        <v>0</v>
      </c>
      <c r="U12" s="6">
        <f t="shared" si="18"/>
        <v>0</v>
      </c>
      <c r="V12" s="6">
        <f t="shared" si="19"/>
        <v>0</v>
      </c>
      <c r="W12" s="21">
        <f t="shared" si="20"/>
        <v>0</v>
      </c>
      <c r="X12" s="5">
        <f t="shared" si="21"/>
        <v>0</v>
      </c>
      <c r="Y12" s="5">
        <f t="shared" si="22"/>
        <v>0</v>
      </c>
      <c r="Z12" s="5">
        <f t="shared" si="23"/>
        <v>0</v>
      </c>
      <c r="AA12" s="5">
        <f t="shared" si="24"/>
        <v>0</v>
      </c>
      <c r="AB12" s="5">
        <f t="shared" si="25"/>
        <v>0</v>
      </c>
      <c r="AC12" s="5">
        <f t="shared" si="26"/>
        <v>0</v>
      </c>
      <c r="AD12" s="6">
        <f t="shared" si="27"/>
        <v>0</v>
      </c>
      <c r="AE12" s="5">
        <f t="shared" si="28"/>
        <v>0</v>
      </c>
      <c r="AF12" s="5">
        <f t="shared" si="29"/>
        <v>0</v>
      </c>
      <c r="AG12" s="20">
        <f t="shared" si="30"/>
        <v>0</v>
      </c>
      <c r="AH12" s="21">
        <f t="shared" si="31"/>
        <v>0</v>
      </c>
      <c r="AI12" s="6">
        <f t="shared" si="32"/>
        <v>0</v>
      </c>
      <c r="AJ12" s="5">
        <f t="shared" si="33"/>
        <v>0</v>
      </c>
      <c r="AK12" s="6">
        <f t="shared" si="34"/>
        <v>0</v>
      </c>
      <c r="AL12" s="5">
        <f t="shared" si="35"/>
        <v>0</v>
      </c>
      <c r="AM12" s="6">
        <f t="shared" si="36"/>
        <v>0</v>
      </c>
      <c r="AN12" s="5">
        <f t="shared" si="37"/>
        <v>0</v>
      </c>
      <c r="AO12" s="6">
        <f t="shared" si="38"/>
        <v>0</v>
      </c>
      <c r="AP12" s="24">
        <f t="shared" si="39"/>
        <v>0</v>
      </c>
      <c r="AQ12" s="6">
        <f t="shared" si="40"/>
        <v>0</v>
      </c>
      <c r="AR12" s="185">
        <f t="shared" si="41"/>
        <v>0</v>
      </c>
      <c r="AS12" s="21">
        <f t="shared" si="42"/>
        <v>0</v>
      </c>
      <c r="AT12" s="195">
        <f t="shared" si="43"/>
        <v>0</v>
      </c>
      <c r="AU12" s="185">
        <f t="shared" si="44"/>
        <v>0</v>
      </c>
      <c r="AV12" s="6">
        <f t="shared" si="45"/>
        <v>0</v>
      </c>
      <c r="AW12" s="5">
        <f t="shared" si="46"/>
        <v>0</v>
      </c>
      <c r="AX12" s="21">
        <f t="shared" si="47"/>
        <v>0</v>
      </c>
      <c r="AY12" s="298">
        <f t="shared" si="48"/>
        <v>0</v>
      </c>
      <c r="AZ12" s="300">
        <f t="shared" si="49"/>
        <v>0</v>
      </c>
      <c r="BA12" s="298">
        <f t="shared" si="50"/>
        <v>0</v>
      </c>
      <c r="BB12" s="298">
        <f t="shared" si="51"/>
        <v>0</v>
      </c>
      <c r="BC12" s="290">
        <f t="shared" si="52"/>
        <v>0</v>
      </c>
      <c r="BD12" s="2">
        <f t="shared" si="53"/>
        <v>0</v>
      </c>
      <c r="BE12" s="5">
        <f t="shared" si="54"/>
        <v>0</v>
      </c>
      <c r="BF12" s="5">
        <f t="shared" si="55"/>
        <v>0</v>
      </c>
      <c r="BG12" s="5">
        <f t="shared" si="56"/>
        <v>0</v>
      </c>
      <c r="BH12" s="2">
        <f t="shared" si="57"/>
        <v>0</v>
      </c>
      <c r="BI12" s="5">
        <f t="shared" si="58"/>
        <v>0</v>
      </c>
      <c r="BJ12" s="5">
        <f t="shared" si="59"/>
        <v>6</v>
      </c>
      <c r="BK12" s="268"/>
      <c r="BL12" s="264"/>
      <c r="BM12" s="264"/>
      <c r="BN12" s="264"/>
      <c r="BO12" s="264"/>
      <c r="BP12" s="264"/>
      <c r="BQ12" s="264"/>
      <c r="BR12" s="264"/>
      <c r="BS12" s="264"/>
      <c r="BT12" s="264"/>
      <c r="BU12" s="264"/>
      <c r="BV12" s="264"/>
      <c r="BW12" s="264"/>
      <c r="BX12" s="264"/>
      <c r="BY12" s="264"/>
      <c r="BZ12" s="264"/>
      <c r="CA12" s="264"/>
      <c r="CB12" s="264"/>
      <c r="CC12" s="264"/>
      <c r="CD12" s="264"/>
      <c r="CE12" s="264"/>
      <c r="CF12" s="264"/>
      <c r="CG12" s="264"/>
      <c r="CH12" s="264"/>
      <c r="CI12" s="264"/>
      <c r="CJ12" s="264"/>
      <c r="CK12" s="264"/>
      <c r="CL12" s="264"/>
      <c r="CM12" s="264"/>
      <c r="CN12" s="264"/>
      <c r="CO12" s="264"/>
      <c r="CP12" s="264"/>
      <c r="CQ12" s="264"/>
      <c r="CR12" s="264"/>
      <c r="CS12" s="264"/>
      <c r="CT12" s="264"/>
      <c r="CU12" s="264"/>
      <c r="CV12" s="269"/>
      <c r="CW12" s="211"/>
    </row>
    <row r="13" spans="1:115" ht="8.25" customHeight="1" thickBot="1" x14ac:dyDescent="0.3">
      <c r="A13" s="211"/>
      <c r="B13" s="211"/>
      <c r="C13" s="211"/>
      <c r="D13" s="211"/>
      <c r="E13" s="211"/>
      <c r="F13" s="211"/>
      <c r="G13" s="211"/>
      <c r="H13" s="211"/>
      <c r="I13" s="211"/>
      <c r="J13" s="253" t="s">
        <v>526</v>
      </c>
      <c r="K13" s="253"/>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11"/>
      <c r="BH13" s="211"/>
      <c r="BI13" s="211"/>
      <c r="BJ13" s="211"/>
      <c r="BK13" s="211"/>
      <c r="BL13" s="211"/>
      <c r="BM13" s="211"/>
      <c r="BN13" s="211"/>
      <c r="BO13" s="211"/>
      <c r="BP13" s="211"/>
      <c r="BQ13" s="211"/>
      <c r="BR13" s="211"/>
      <c r="BS13" s="211"/>
      <c r="BT13" s="211"/>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row>
    <row r="14" spans="1:115" ht="24.95" customHeight="1" thickBot="1" x14ac:dyDescent="0.3">
      <c r="A14" s="428" t="s">
        <v>486</v>
      </c>
      <c r="B14" s="429"/>
      <c r="C14" s="234" t="s">
        <v>485</v>
      </c>
      <c r="D14" s="233">
        <f>IFERROR(AVERAGE(BN2:BN12),0)</f>
        <v>0</v>
      </c>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11"/>
      <c r="BG14" s="211"/>
      <c r="BH14" s="211"/>
      <c r="BI14" s="211"/>
      <c r="BJ14" s="211"/>
      <c r="BK14" s="211"/>
      <c r="BL14" s="211"/>
      <c r="BM14" s="211"/>
      <c r="BN14" s="211"/>
      <c r="BO14" s="211"/>
      <c r="BP14" s="211"/>
      <c r="BQ14" s="211"/>
      <c r="BR14" s="211"/>
      <c r="BS14" s="211"/>
      <c r="BT14" s="211"/>
      <c r="BU14" s="211"/>
      <c r="BV14" s="211"/>
      <c r="BW14" s="211"/>
      <c r="BX14" s="211"/>
      <c r="BY14" s="211"/>
      <c r="BZ14" s="211"/>
      <c r="CA14" s="211"/>
      <c r="CB14" s="211"/>
      <c r="CC14" s="211"/>
      <c r="CD14" s="211"/>
      <c r="CE14" s="211"/>
      <c r="CF14" s="211"/>
      <c r="CG14" s="211"/>
      <c r="CH14" s="211"/>
      <c r="CI14" s="211"/>
      <c r="CJ14" s="211"/>
      <c r="CK14" s="211"/>
      <c r="CL14" s="211"/>
      <c r="CM14" s="211"/>
      <c r="CN14" s="211"/>
      <c r="CO14" s="211"/>
      <c r="CP14" s="211"/>
      <c r="CQ14" s="211"/>
      <c r="CR14" s="211"/>
      <c r="CS14" s="211"/>
      <c r="CT14" s="211"/>
      <c r="CU14" s="211"/>
      <c r="CV14" s="211"/>
      <c r="CW14" s="211"/>
    </row>
    <row r="15" spans="1:115" ht="40.5" customHeight="1" thickBot="1" x14ac:dyDescent="0.3">
      <c r="A15" s="228" t="s">
        <v>484</v>
      </c>
      <c r="B15" s="223">
        <f>SUM(F2:F12)</f>
        <v>0</v>
      </c>
      <c r="C15" s="232" t="s">
        <v>483</v>
      </c>
      <c r="D15" s="229">
        <f>SUM(AP2:AP12)</f>
        <v>0</v>
      </c>
      <c r="E15" s="211"/>
      <c r="F15" s="211"/>
      <c r="G15" s="211"/>
      <c r="H15" s="211"/>
      <c r="I15" s="211"/>
      <c r="J15" s="211"/>
      <c r="K15" s="211"/>
      <c r="L15" s="211"/>
      <c r="M15" s="211"/>
      <c r="N15" s="211"/>
      <c r="O15" s="211"/>
      <c r="P15" s="211"/>
      <c r="Q15" s="211"/>
      <c r="R15" s="211"/>
      <c r="S15" s="211"/>
      <c r="T15" s="211"/>
      <c r="U15" s="211"/>
      <c r="V15" s="211"/>
      <c r="W15" s="211"/>
      <c r="X15" s="211"/>
      <c r="Y15" s="211"/>
      <c r="Z15" s="211"/>
      <c r="AA15" s="211"/>
      <c r="AB15" s="211"/>
      <c r="AC15" s="211"/>
      <c r="AD15" s="211"/>
      <c r="AE15" s="211"/>
      <c r="AF15" s="211"/>
      <c r="AG15" s="211"/>
      <c r="AH15" s="211"/>
      <c r="AI15" s="211"/>
      <c r="AJ15" s="211"/>
      <c r="AK15" s="211"/>
      <c r="AL15" s="211"/>
      <c r="AM15" s="211"/>
      <c r="AN15" s="211"/>
      <c r="AO15" s="211"/>
      <c r="AP15" s="211"/>
      <c r="AQ15" s="211"/>
      <c r="AR15" s="211"/>
      <c r="AS15" s="211"/>
      <c r="AT15" s="211"/>
      <c r="AU15" s="211"/>
      <c r="AV15" s="211"/>
      <c r="AW15" s="211"/>
      <c r="AX15" s="211"/>
      <c r="AY15" s="211"/>
      <c r="AZ15" s="211"/>
      <c r="BA15" s="211"/>
      <c r="BB15" s="211"/>
      <c r="BC15" s="211"/>
      <c r="BD15" s="211"/>
      <c r="BE15" s="211"/>
      <c r="BF15" s="211"/>
      <c r="BG15" s="211"/>
      <c r="BH15" s="211"/>
      <c r="BI15" s="211"/>
      <c r="BJ15" s="211"/>
      <c r="BK15" s="211"/>
      <c r="BL15" s="211"/>
      <c r="BM15" s="211"/>
      <c r="BN15" s="211"/>
      <c r="BO15" s="211"/>
      <c r="BP15" s="211"/>
      <c r="BQ15" s="211"/>
      <c r="BR15" s="211"/>
      <c r="BS15" s="211"/>
      <c r="BT15" s="211"/>
      <c r="BU15" s="211"/>
      <c r="BV15" s="211"/>
      <c r="BW15" s="211"/>
      <c r="BX15" s="211"/>
      <c r="BY15" s="211"/>
      <c r="BZ15" s="211"/>
      <c r="CA15" s="211"/>
      <c r="CB15" s="211"/>
      <c r="CC15" s="211"/>
      <c r="CD15" s="211"/>
      <c r="CE15" s="211"/>
      <c r="CF15" s="211"/>
      <c r="CG15" s="211"/>
      <c r="CH15" s="211"/>
      <c r="CI15" s="211"/>
      <c r="CJ15" s="211"/>
      <c r="CK15" s="211"/>
      <c r="CL15" s="211"/>
      <c r="CM15" s="211"/>
      <c r="CN15" s="211"/>
      <c r="CO15" s="211"/>
      <c r="CP15" s="211"/>
      <c r="CQ15" s="211"/>
      <c r="CR15" s="211"/>
      <c r="CS15" s="211"/>
      <c r="CT15" s="211"/>
      <c r="CU15" s="211"/>
      <c r="CV15" s="211"/>
      <c r="CW15" s="211"/>
    </row>
    <row r="16" spans="1:115" ht="31.5" customHeight="1" thickBot="1" x14ac:dyDescent="0.3">
      <c r="A16" s="228" t="s">
        <v>482</v>
      </c>
      <c r="B16" s="231">
        <f>SUM(G2:G12)</f>
        <v>0</v>
      </c>
      <c r="C16" s="230" t="s">
        <v>481</v>
      </c>
      <c r="D16" s="229">
        <f>SUM(AR2:AR12)</f>
        <v>0</v>
      </c>
      <c r="E16" s="219"/>
      <c r="F16" s="219"/>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1"/>
      <c r="AJ16" s="211"/>
      <c r="AK16" s="211"/>
      <c r="AL16" s="211"/>
      <c r="AM16" s="211"/>
      <c r="AN16" s="211"/>
      <c r="AO16" s="211"/>
      <c r="AP16" s="211"/>
      <c r="AQ16" s="211"/>
      <c r="AR16" s="211"/>
      <c r="AS16" s="211"/>
      <c r="AT16" s="211"/>
      <c r="AU16" s="211"/>
      <c r="AV16" s="211"/>
      <c r="AW16" s="211"/>
      <c r="AX16" s="211"/>
      <c r="AY16" s="211"/>
      <c r="AZ16" s="211"/>
      <c r="BA16" s="211"/>
      <c r="BB16" s="211"/>
      <c r="BC16" s="211"/>
      <c r="BD16" s="211"/>
      <c r="BE16" s="211"/>
      <c r="BF16" s="211"/>
      <c r="BG16" s="211"/>
      <c r="BH16" s="211"/>
      <c r="BI16" s="211"/>
      <c r="BJ16" s="211"/>
      <c r="BK16" s="211"/>
      <c r="BL16" s="211"/>
      <c r="BM16" s="211"/>
      <c r="BN16" s="211"/>
      <c r="BO16" s="211"/>
      <c r="BP16" s="211"/>
      <c r="BQ16" s="211"/>
      <c r="BR16" s="211"/>
      <c r="BS16" s="211"/>
      <c r="BT16" s="211"/>
      <c r="BU16" s="211"/>
      <c r="BV16" s="211"/>
      <c r="BW16" s="211"/>
      <c r="BX16" s="211"/>
      <c r="BY16" s="211"/>
      <c r="BZ16" s="211"/>
      <c r="CA16" s="211"/>
      <c r="CB16" s="211"/>
      <c r="CC16" s="211"/>
      <c r="CD16" s="211"/>
      <c r="CE16" s="211"/>
      <c r="CF16" s="211"/>
      <c r="CG16" s="211"/>
      <c r="CH16" s="211"/>
      <c r="CI16" s="211"/>
      <c r="CJ16" s="211"/>
      <c r="CK16" s="211"/>
      <c r="CL16" s="211"/>
      <c r="CM16" s="211"/>
      <c r="CN16" s="211"/>
      <c r="CO16" s="211"/>
      <c r="CP16" s="211"/>
      <c r="CQ16" s="211"/>
      <c r="CR16" s="211"/>
      <c r="CS16" s="211"/>
      <c r="CT16" s="211"/>
      <c r="CU16" s="211"/>
      <c r="CV16" s="211"/>
      <c r="CW16" s="211"/>
    </row>
    <row r="17" spans="1:101" ht="24.95" customHeight="1" thickBot="1" x14ac:dyDescent="0.3">
      <c r="A17" s="228" t="s">
        <v>480</v>
      </c>
      <c r="B17" s="227">
        <f>IFERROR(B16/B15,0)</f>
        <v>0</v>
      </c>
      <c r="C17" s="217" t="s">
        <v>97</v>
      </c>
      <c r="D17" s="226">
        <f>IFERROR(SUM(AR2:AR12)/SUM(AP2:AP12),0)</f>
        <v>0</v>
      </c>
      <c r="E17" s="219"/>
      <c r="F17" s="219"/>
      <c r="G17" s="211"/>
      <c r="H17" s="211"/>
      <c r="I17" s="211"/>
      <c r="J17" s="211"/>
      <c r="K17" s="211"/>
      <c r="L17" s="211"/>
      <c r="M17" s="211"/>
      <c r="N17" s="211"/>
      <c r="O17" s="211"/>
      <c r="P17" s="211"/>
      <c r="Q17" s="211"/>
      <c r="R17" s="211"/>
      <c r="S17" s="211"/>
      <c r="T17" s="211"/>
      <c r="U17" s="211"/>
      <c r="V17" s="211"/>
      <c r="W17" s="211"/>
      <c r="X17" s="211"/>
      <c r="Y17" s="211"/>
      <c r="Z17" s="211"/>
      <c r="AA17" s="211"/>
      <c r="AB17" s="211"/>
      <c r="AC17" s="211"/>
      <c r="AD17" s="211"/>
      <c r="AE17" s="211"/>
      <c r="AF17" s="211"/>
      <c r="AG17" s="211"/>
      <c r="AH17" s="211"/>
      <c r="AI17" s="211"/>
      <c r="AJ17" s="211"/>
      <c r="AK17" s="211"/>
      <c r="AL17" s="211"/>
      <c r="AM17" s="211"/>
      <c r="AN17" s="211"/>
      <c r="AO17" s="211"/>
      <c r="AP17" s="211"/>
      <c r="AQ17" s="211"/>
      <c r="AR17" s="211"/>
      <c r="AS17" s="211"/>
      <c r="AT17" s="211"/>
      <c r="AU17" s="211"/>
      <c r="AV17" s="211"/>
      <c r="AW17" s="211"/>
      <c r="AX17" s="211"/>
      <c r="AY17" s="211"/>
      <c r="AZ17" s="211"/>
      <c r="BA17" s="211"/>
      <c r="BB17" s="211"/>
      <c r="BC17" s="211"/>
      <c r="BD17" s="211"/>
      <c r="BE17" s="211"/>
      <c r="BF17" s="211"/>
      <c r="BG17" s="211"/>
      <c r="BH17" s="211"/>
      <c r="BI17" s="211"/>
      <c r="BJ17" s="211"/>
      <c r="BK17" s="211"/>
      <c r="BL17" s="211"/>
      <c r="BM17" s="211"/>
      <c r="BN17" s="211"/>
      <c r="BO17" s="211"/>
      <c r="BP17" s="211"/>
      <c r="BQ17" s="211"/>
      <c r="BR17" s="211"/>
      <c r="BS17" s="211"/>
      <c r="BT17" s="211"/>
      <c r="BU17" s="211"/>
      <c r="BV17" s="211"/>
      <c r="BW17" s="211"/>
      <c r="BX17" s="211"/>
      <c r="BY17" s="211"/>
      <c r="BZ17" s="211"/>
      <c r="CA17" s="211"/>
      <c r="CB17" s="211"/>
      <c r="CC17" s="211"/>
      <c r="CD17" s="211"/>
      <c r="CE17" s="211"/>
      <c r="CF17" s="211"/>
      <c r="CG17" s="211"/>
      <c r="CH17" s="211"/>
      <c r="CI17" s="211"/>
      <c r="CJ17" s="211"/>
      <c r="CK17" s="211"/>
      <c r="CL17" s="211"/>
      <c r="CM17" s="211"/>
      <c r="CN17" s="211"/>
      <c r="CO17" s="211"/>
      <c r="CP17" s="211"/>
      <c r="CQ17" s="211"/>
      <c r="CR17" s="211"/>
      <c r="CS17" s="211"/>
      <c r="CT17" s="211"/>
      <c r="CU17" s="211"/>
      <c r="CV17" s="211"/>
      <c r="CW17" s="211"/>
    </row>
    <row r="18" spans="1:101" ht="24.95" customHeight="1" thickBot="1" x14ac:dyDescent="0.3">
      <c r="A18" s="222" t="s">
        <v>314</v>
      </c>
      <c r="B18" s="225">
        <f>SUM(AE2:AE12)</f>
        <v>0</v>
      </c>
      <c r="C18" s="224" t="s">
        <v>98</v>
      </c>
      <c r="D18" s="223">
        <f>SUM(BE2:BE12)</f>
        <v>0</v>
      </c>
      <c r="E18" s="219"/>
      <c r="F18" s="219"/>
      <c r="G18" s="211"/>
      <c r="H18" s="211"/>
      <c r="I18" s="211"/>
      <c r="J18" s="211"/>
      <c r="K18" s="211"/>
      <c r="L18" s="211"/>
      <c r="M18" s="211"/>
      <c r="N18" s="211"/>
      <c r="O18" s="211"/>
      <c r="P18" s="211"/>
      <c r="Q18" s="211"/>
      <c r="R18" s="211"/>
      <c r="S18" s="211"/>
      <c r="T18" s="211"/>
      <c r="U18" s="211"/>
      <c r="V18" s="211"/>
      <c r="W18" s="211"/>
      <c r="X18" s="211"/>
      <c r="Y18" s="211"/>
      <c r="Z18" s="211"/>
      <c r="AA18" s="211"/>
      <c r="AB18" s="211"/>
      <c r="AC18" s="211"/>
      <c r="AD18" s="211"/>
      <c r="AE18" s="211"/>
      <c r="AF18" s="211"/>
      <c r="AG18" s="211"/>
      <c r="AH18" s="211"/>
      <c r="AI18" s="211"/>
      <c r="AJ18" s="211"/>
      <c r="AK18" s="211"/>
      <c r="AL18" s="211"/>
      <c r="AM18" s="211"/>
      <c r="AN18" s="211"/>
      <c r="AO18" s="211"/>
      <c r="AP18" s="211"/>
      <c r="AQ18" s="211"/>
      <c r="AR18" s="211"/>
      <c r="AS18" s="211"/>
      <c r="AT18" s="211"/>
      <c r="AU18" s="211"/>
      <c r="AV18" s="211"/>
      <c r="AW18" s="211"/>
      <c r="AX18" s="211"/>
      <c r="AY18" s="211"/>
      <c r="AZ18" s="211"/>
      <c r="BA18" s="211"/>
      <c r="BB18" s="211"/>
      <c r="BC18" s="211"/>
      <c r="BD18" s="211"/>
      <c r="BE18" s="211"/>
      <c r="BF18" s="211"/>
      <c r="BG18" s="211"/>
      <c r="BH18" s="211"/>
      <c r="BI18" s="211"/>
      <c r="BJ18" s="211"/>
      <c r="BK18" s="211"/>
      <c r="BL18" s="211"/>
      <c r="BM18" s="211"/>
      <c r="BN18" s="211"/>
      <c r="BO18" s="211"/>
      <c r="BP18" s="211"/>
      <c r="BQ18" s="211"/>
      <c r="BR18" s="211"/>
      <c r="BS18" s="211"/>
      <c r="BT18" s="211"/>
      <c r="BU18" s="211"/>
      <c r="BV18" s="211"/>
      <c r="BW18" s="211"/>
      <c r="BX18" s="211"/>
      <c r="BY18" s="211"/>
      <c r="BZ18" s="211"/>
      <c r="CA18" s="211"/>
      <c r="CB18" s="211"/>
      <c r="CC18" s="211"/>
      <c r="CD18" s="211"/>
      <c r="CE18" s="211"/>
      <c r="CF18" s="211"/>
      <c r="CG18" s="211"/>
      <c r="CH18" s="211"/>
      <c r="CI18" s="211"/>
      <c r="CJ18" s="211"/>
      <c r="CK18" s="211"/>
      <c r="CL18" s="211"/>
      <c r="CM18" s="211"/>
      <c r="CN18" s="211"/>
      <c r="CO18" s="211"/>
      <c r="CP18" s="211"/>
      <c r="CQ18" s="211"/>
      <c r="CR18" s="211"/>
      <c r="CS18" s="211"/>
      <c r="CT18" s="211"/>
      <c r="CU18" s="211"/>
      <c r="CV18" s="211"/>
      <c r="CW18" s="211"/>
    </row>
    <row r="19" spans="1:101" ht="24.95" customHeight="1" thickBot="1" x14ac:dyDescent="0.3">
      <c r="A19" s="222" t="s">
        <v>479</v>
      </c>
      <c r="B19" s="221">
        <f>IFERROR(SUM(AF2:AF12)/SUM(AE2:AE12),0)</f>
        <v>0</v>
      </c>
      <c r="C19" s="218" t="s">
        <v>84</v>
      </c>
      <c r="D19" s="220">
        <f>SUM(BH2:BH12)</f>
        <v>0</v>
      </c>
      <c r="E19" s="219"/>
      <c r="F19" s="219"/>
      <c r="G19" s="211"/>
      <c r="H19" s="211"/>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c r="AY19" s="211"/>
      <c r="AZ19" s="211"/>
      <c r="BA19" s="211"/>
      <c r="BB19" s="211"/>
      <c r="BC19" s="211"/>
      <c r="BD19" s="211"/>
      <c r="BE19" s="211"/>
      <c r="BF19" s="211"/>
      <c r="BG19" s="211"/>
      <c r="BH19" s="211"/>
      <c r="BI19" s="211"/>
      <c r="BJ19" s="211"/>
      <c r="BK19" s="211"/>
      <c r="BL19" s="211"/>
      <c r="BM19" s="211"/>
      <c r="BN19" s="211"/>
      <c r="BO19" s="211"/>
      <c r="BP19" s="211"/>
      <c r="BQ19" s="211"/>
      <c r="BR19" s="211"/>
      <c r="BS19" s="211"/>
      <c r="BT19" s="211"/>
      <c r="BU19" s="211"/>
      <c r="BV19" s="211"/>
      <c r="BW19" s="211"/>
      <c r="BX19" s="211"/>
      <c r="BY19" s="211"/>
      <c r="BZ19" s="211"/>
      <c r="CA19" s="211"/>
      <c r="CB19" s="211"/>
      <c r="CC19" s="211"/>
      <c r="CD19" s="211"/>
      <c r="CE19" s="211"/>
      <c r="CF19" s="211"/>
      <c r="CG19" s="211"/>
      <c r="CH19" s="211"/>
      <c r="CI19" s="211"/>
      <c r="CJ19" s="211"/>
      <c r="CK19" s="211"/>
      <c r="CL19" s="211"/>
      <c r="CM19" s="211"/>
      <c r="CN19" s="211"/>
      <c r="CO19" s="211"/>
      <c r="CP19" s="211"/>
      <c r="CQ19" s="211"/>
      <c r="CR19" s="211"/>
      <c r="CS19" s="211"/>
      <c r="CT19" s="211"/>
      <c r="CU19" s="211"/>
      <c r="CV19" s="211"/>
      <c r="CW19" s="211"/>
    </row>
    <row r="20" spans="1:101" ht="24.95" customHeight="1" thickBot="1" x14ac:dyDescent="0.3">
      <c r="A20" s="215" t="s">
        <v>138</v>
      </c>
      <c r="B20" s="214">
        <f>SUM(AJ2:AJ12)</f>
        <v>0</v>
      </c>
      <c r="C20" s="218" t="s">
        <v>158</v>
      </c>
      <c r="D20" s="216">
        <f>SUM(BI2:BI12)</f>
        <v>0</v>
      </c>
      <c r="E20" s="219"/>
      <c r="F20" s="219"/>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211"/>
      <c r="AI20" s="211"/>
      <c r="AJ20" s="211"/>
      <c r="AK20" s="211"/>
      <c r="AL20" s="211"/>
      <c r="AM20" s="211"/>
      <c r="AN20" s="211"/>
      <c r="AO20" s="211"/>
      <c r="AP20" s="211"/>
      <c r="AQ20" s="211"/>
      <c r="AR20" s="211"/>
      <c r="AS20" s="211"/>
      <c r="AT20" s="211"/>
      <c r="AU20" s="211"/>
      <c r="AV20" s="211"/>
      <c r="AW20" s="211"/>
      <c r="AX20" s="211"/>
      <c r="AY20" s="211"/>
      <c r="AZ20" s="211"/>
      <c r="BA20" s="211"/>
      <c r="BB20" s="211"/>
      <c r="BC20" s="211"/>
      <c r="BD20" s="211"/>
      <c r="BE20" s="211"/>
      <c r="BF20" s="211"/>
      <c r="BG20" s="211"/>
      <c r="BH20" s="211"/>
      <c r="BI20" s="211"/>
      <c r="BJ20" s="211"/>
      <c r="BK20" s="211"/>
      <c r="BL20" s="211"/>
      <c r="BM20" s="211"/>
      <c r="BN20" s="211"/>
      <c r="BO20" s="211"/>
      <c r="BP20" s="211"/>
      <c r="BQ20" s="211"/>
      <c r="BR20" s="211"/>
      <c r="BS20" s="211"/>
      <c r="BT20" s="211"/>
      <c r="BU20" s="211"/>
      <c r="BV20" s="211"/>
      <c r="BW20" s="211"/>
      <c r="BX20" s="211"/>
      <c r="BY20" s="211"/>
      <c r="BZ20" s="211"/>
      <c r="CA20" s="211"/>
      <c r="CB20" s="211"/>
      <c r="CC20" s="211"/>
      <c r="CD20" s="211"/>
      <c r="CE20" s="211"/>
      <c r="CF20" s="211"/>
      <c r="CG20" s="211"/>
      <c r="CH20" s="211"/>
      <c r="CI20" s="211"/>
      <c r="CJ20" s="211"/>
      <c r="CK20" s="211"/>
      <c r="CL20" s="211"/>
      <c r="CM20" s="211"/>
      <c r="CN20" s="211"/>
      <c r="CO20" s="211"/>
      <c r="CP20" s="211"/>
      <c r="CQ20" s="211"/>
      <c r="CR20" s="211"/>
      <c r="CS20" s="211"/>
      <c r="CT20" s="211"/>
      <c r="CU20" s="211"/>
      <c r="CV20" s="211"/>
      <c r="CW20" s="211"/>
    </row>
    <row r="21" spans="1:101" ht="33" customHeight="1" thickBot="1" x14ac:dyDescent="0.3">
      <c r="A21" s="215" t="s">
        <v>143</v>
      </c>
      <c r="B21" s="214">
        <f>SUM(AL2:AL12)</f>
        <v>0</v>
      </c>
      <c r="C21" s="217" t="s">
        <v>100</v>
      </c>
      <c r="D21" s="216">
        <f>SUM(AW2:AW12)</f>
        <v>0</v>
      </c>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211"/>
      <c r="AI21" s="211"/>
      <c r="AJ21" s="211"/>
      <c r="AK21" s="211"/>
      <c r="AL21" s="211"/>
      <c r="AM21" s="211"/>
      <c r="AN21" s="211"/>
      <c r="AO21" s="211"/>
      <c r="AP21" s="211"/>
      <c r="AQ21" s="211"/>
      <c r="AR21" s="211"/>
      <c r="AS21" s="211"/>
      <c r="AT21" s="211"/>
      <c r="AU21" s="211"/>
      <c r="AV21" s="211"/>
      <c r="AW21" s="211"/>
      <c r="AX21" s="211"/>
      <c r="AY21" s="211"/>
      <c r="AZ21" s="211"/>
      <c r="BA21" s="211"/>
      <c r="BB21" s="211"/>
      <c r="BC21" s="211"/>
      <c r="BD21" s="211"/>
      <c r="BE21" s="211"/>
      <c r="BF21" s="211"/>
      <c r="BG21" s="211"/>
      <c r="BH21" s="211"/>
      <c r="BI21" s="211"/>
      <c r="BJ21" s="211"/>
      <c r="BK21" s="211"/>
      <c r="BL21" s="211"/>
      <c r="BM21" s="211"/>
      <c r="BN21" s="211"/>
      <c r="BO21" s="211"/>
      <c r="BP21" s="211"/>
      <c r="BQ21" s="211"/>
      <c r="BR21" s="211"/>
      <c r="BS21" s="211"/>
      <c r="BT21" s="211"/>
      <c r="BU21" s="211"/>
      <c r="BV21" s="211"/>
      <c r="BW21" s="211"/>
      <c r="BX21" s="211"/>
      <c r="BY21" s="211"/>
      <c r="BZ21" s="211"/>
      <c r="CA21" s="211"/>
      <c r="CB21" s="211"/>
      <c r="CC21" s="211"/>
      <c r="CD21" s="211"/>
      <c r="CE21" s="211"/>
      <c r="CF21" s="211"/>
      <c r="CG21" s="211"/>
      <c r="CH21" s="211"/>
      <c r="CI21" s="211"/>
      <c r="CJ21" s="211"/>
      <c r="CK21" s="211"/>
      <c r="CL21" s="211"/>
      <c r="CM21" s="211"/>
      <c r="CN21" s="211"/>
      <c r="CO21" s="211"/>
      <c r="CP21" s="211"/>
      <c r="CQ21" s="211"/>
      <c r="CR21" s="211"/>
      <c r="CS21" s="211"/>
      <c r="CT21" s="211"/>
      <c r="CU21" s="211"/>
      <c r="CV21" s="211"/>
      <c r="CW21" s="211"/>
    </row>
    <row r="22" spans="1:101" ht="31.5" customHeight="1" thickBot="1" x14ac:dyDescent="0.3">
      <c r="A22" s="215" t="s">
        <v>478</v>
      </c>
      <c r="B22" s="214">
        <f>SUM(AJ3:AJ12)+(SUM(AL3:AL12))</f>
        <v>0</v>
      </c>
      <c r="C22" s="213" t="s">
        <v>477</v>
      </c>
      <c r="D22" s="212">
        <f>IFERROR(AVERAGE(E2:E12),0)</f>
        <v>0</v>
      </c>
      <c r="E22" s="211"/>
      <c r="F22" s="211"/>
      <c r="G22" s="211"/>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1"/>
      <c r="AI22" s="211"/>
      <c r="AJ22" s="211"/>
      <c r="AK22" s="211"/>
      <c r="AL22" s="211"/>
      <c r="AM22" s="211"/>
      <c r="AN22" s="211"/>
      <c r="AO22" s="211"/>
      <c r="AP22" s="211"/>
      <c r="AQ22" s="211"/>
      <c r="AR22" s="211"/>
      <c r="AS22" s="211"/>
      <c r="AT22" s="211"/>
      <c r="AU22" s="211"/>
      <c r="AV22" s="211"/>
      <c r="AW22" s="211"/>
      <c r="AX22" s="211"/>
      <c r="AY22" s="211"/>
      <c r="AZ22" s="211"/>
      <c r="BA22" s="211"/>
      <c r="BB22" s="211"/>
      <c r="BC22" s="211"/>
      <c r="BD22" s="211"/>
      <c r="BE22" s="211"/>
      <c r="BF22" s="211"/>
      <c r="BG22" s="211"/>
      <c r="BH22" s="211"/>
      <c r="BI22" s="211"/>
      <c r="BJ22" s="211"/>
      <c r="BK22" s="211"/>
      <c r="BL22" s="211"/>
      <c r="BM22" s="211"/>
      <c r="BN22" s="211"/>
      <c r="BO22" s="211"/>
      <c r="BP22" s="211"/>
      <c r="BQ22" s="211"/>
      <c r="BR22" s="211"/>
      <c r="BS22" s="211"/>
      <c r="BT22" s="211"/>
      <c r="BU22" s="211"/>
      <c r="BV22" s="211"/>
      <c r="BW22" s="211"/>
      <c r="BX22" s="211"/>
      <c r="BY22" s="211"/>
      <c r="BZ22" s="211"/>
      <c r="CA22" s="211"/>
      <c r="CB22" s="211"/>
      <c r="CC22" s="211"/>
      <c r="CD22" s="211"/>
      <c r="CE22" s="211"/>
      <c r="CF22" s="211"/>
      <c r="CG22" s="211"/>
      <c r="CH22" s="211"/>
      <c r="CI22" s="211"/>
      <c r="CJ22" s="211"/>
      <c r="CK22" s="211"/>
      <c r="CL22" s="211"/>
      <c r="CM22" s="211"/>
      <c r="CN22" s="211"/>
      <c r="CO22" s="211"/>
      <c r="CP22" s="211"/>
      <c r="CQ22" s="211"/>
      <c r="CR22" s="211"/>
      <c r="CS22" s="211"/>
      <c r="CT22" s="211"/>
      <c r="CU22" s="211"/>
      <c r="CV22" s="211"/>
      <c r="CW22" s="211"/>
    </row>
    <row r="23" spans="1:101" ht="31.5" customHeight="1" x14ac:dyDescent="0.25">
      <c r="A23" s="211"/>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c r="AH23" s="211"/>
      <c r="AI23" s="211"/>
      <c r="AJ23" s="211"/>
      <c r="AK23" s="211"/>
      <c r="AL23" s="211"/>
      <c r="AM23" s="211"/>
      <c r="AN23" s="211"/>
      <c r="AO23" s="211"/>
      <c r="AP23" s="211"/>
      <c r="AQ23" s="211"/>
      <c r="AR23" s="211"/>
      <c r="AS23" s="211"/>
      <c r="AT23" s="211"/>
      <c r="AU23" s="211"/>
      <c r="AV23" s="211"/>
      <c r="AW23" s="211"/>
      <c r="AX23" s="211"/>
      <c r="AY23" s="211"/>
      <c r="AZ23" s="211"/>
      <c r="BA23" s="211"/>
      <c r="BB23" s="211"/>
      <c r="BC23" s="211"/>
      <c r="BD23" s="211"/>
      <c r="BE23" s="211"/>
      <c r="BF23" s="211"/>
      <c r="BG23" s="211"/>
      <c r="BH23" s="211"/>
      <c r="BI23" s="211"/>
      <c r="BJ23" s="211"/>
      <c r="BK23" s="211"/>
      <c r="BL23" s="211"/>
      <c r="BM23" s="211"/>
      <c r="BN23" s="211"/>
      <c r="BO23" s="211"/>
      <c r="BP23" s="211"/>
      <c r="BQ23" s="211"/>
      <c r="BR23" s="211"/>
      <c r="BS23" s="211"/>
      <c r="BT23" s="211"/>
      <c r="BU23" s="211"/>
      <c r="BV23" s="211"/>
      <c r="BW23" s="211"/>
      <c r="BX23" s="211"/>
      <c r="BY23" s="211"/>
      <c r="BZ23" s="211"/>
      <c r="CA23" s="211"/>
      <c r="CB23" s="211"/>
      <c r="CC23" s="211"/>
      <c r="CD23" s="211"/>
      <c r="CE23" s="211"/>
      <c r="CF23" s="211"/>
      <c r="CG23" s="211"/>
      <c r="CH23" s="211"/>
      <c r="CI23" s="211"/>
      <c r="CJ23" s="211"/>
      <c r="CK23" s="211"/>
      <c r="CL23" s="211"/>
      <c r="CM23" s="211"/>
      <c r="CN23" s="211"/>
      <c r="CO23" s="211"/>
      <c r="CP23" s="211"/>
      <c r="CQ23" s="211"/>
      <c r="CR23" s="211"/>
      <c r="CS23" s="211"/>
      <c r="CT23" s="211"/>
      <c r="CU23" s="211"/>
      <c r="CV23" s="211"/>
      <c r="CW23" s="211"/>
    </row>
    <row r="24" spans="1:101" ht="31.5" customHeight="1" x14ac:dyDescent="0.25">
      <c r="A24" s="211"/>
      <c r="B24" s="211"/>
      <c r="C24" s="211"/>
      <c r="D24" s="211"/>
      <c r="E24" s="211"/>
      <c r="F24" s="211"/>
      <c r="G24" s="211"/>
      <c r="H24" s="211"/>
      <c r="I24" s="211"/>
      <c r="J24" s="211"/>
      <c r="K24" s="211"/>
      <c r="L24" s="211"/>
      <c r="M24" s="211"/>
      <c r="N24" s="211"/>
      <c r="O24" s="211"/>
      <c r="P24" s="211"/>
      <c r="Q24" s="211"/>
      <c r="R24" s="211"/>
      <c r="S24" s="211"/>
      <c r="T24" s="211"/>
      <c r="U24" s="211"/>
      <c r="V24" s="211"/>
      <c r="W24" s="211"/>
      <c r="X24" s="211"/>
      <c r="Y24" s="211"/>
      <c r="Z24" s="211"/>
      <c r="AA24" s="211"/>
      <c r="AB24" s="211"/>
      <c r="AC24" s="211"/>
      <c r="AD24" s="211"/>
      <c r="AE24" s="211"/>
      <c r="AF24" s="211"/>
      <c r="AG24" s="211"/>
      <c r="AH24" s="211"/>
      <c r="AI24" s="211"/>
      <c r="AJ24" s="211"/>
      <c r="AK24" s="211"/>
      <c r="AL24" s="211"/>
      <c r="AM24" s="211"/>
      <c r="AN24" s="211"/>
      <c r="AO24" s="211"/>
      <c r="AP24" s="211"/>
      <c r="AQ24" s="211"/>
      <c r="AR24" s="211"/>
      <c r="AS24" s="211"/>
      <c r="AT24" s="211"/>
      <c r="AU24" s="211"/>
      <c r="AV24" s="211"/>
      <c r="AW24" s="211"/>
      <c r="AX24" s="211"/>
      <c r="AY24" s="211"/>
      <c r="AZ24" s="211"/>
      <c r="BA24" s="211"/>
      <c r="BB24" s="211"/>
      <c r="BC24" s="211"/>
      <c r="BD24" s="211"/>
      <c r="BE24" s="211"/>
      <c r="BF24" s="211"/>
      <c r="BG24" s="211"/>
      <c r="BH24" s="211"/>
      <c r="BI24" s="211"/>
      <c r="BJ24" s="211"/>
      <c r="BK24" s="211"/>
      <c r="BL24" s="211"/>
      <c r="BM24" s="211"/>
      <c r="BN24" s="211"/>
      <c r="BO24" s="211"/>
      <c r="BP24" s="211"/>
      <c r="BQ24" s="211"/>
      <c r="BR24" s="211"/>
      <c r="BS24" s="211"/>
      <c r="BT24" s="211"/>
      <c r="BU24" s="211"/>
      <c r="BV24" s="211"/>
      <c r="BW24" s="211"/>
      <c r="BX24" s="211"/>
      <c r="BY24" s="211"/>
      <c r="BZ24" s="211"/>
      <c r="CA24" s="211"/>
      <c r="CB24" s="211"/>
      <c r="CC24" s="211"/>
      <c r="CD24" s="211"/>
      <c r="CE24" s="211"/>
      <c r="CF24" s="211"/>
      <c r="CG24" s="211"/>
      <c r="CH24" s="211"/>
      <c r="CI24" s="211"/>
      <c r="CJ24" s="211"/>
      <c r="CK24" s="211"/>
      <c r="CL24" s="211"/>
      <c r="CM24" s="211"/>
      <c r="CN24" s="211"/>
      <c r="CO24" s="211"/>
      <c r="CP24" s="211"/>
      <c r="CQ24" s="211"/>
      <c r="CR24" s="211"/>
      <c r="CS24" s="211"/>
      <c r="CT24" s="211"/>
      <c r="CU24" s="211"/>
      <c r="CV24" s="211"/>
      <c r="CW24" s="211"/>
    </row>
    <row r="25" spans="1:101" ht="31.5" customHeight="1" x14ac:dyDescent="0.25">
      <c r="A25" s="211"/>
      <c r="B25" s="211"/>
      <c r="C25" s="211"/>
      <c r="D25" s="211"/>
      <c r="E25" s="211"/>
      <c r="F25" s="211"/>
      <c r="G25" s="211"/>
      <c r="H25" s="211"/>
      <c r="I25" s="211"/>
      <c r="J25" s="211"/>
      <c r="K25" s="211"/>
      <c r="L25" s="211"/>
      <c r="M25" s="211"/>
      <c r="N25" s="211"/>
      <c r="O25" s="211"/>
      <c r="P25" s="211"/>
      <c r="Q25" s="211"/>
      <c r="R25" s="211"/>
      <c r="S25" s="211"/>
      <c r="T25" s="211"/>
      <c r="U25" s="211"/>
      <c r="V25" s="211"/>
      <c r="W25" s="211"/>
      <c r="X25" s="211"/>
      <c r="Y25" s="211"/>
      <c r="Z25" s="211"/>
      <c r="AA25" s="211"/>
      <c r="AB25" s="211"/>
      <c r="AC25" s="211"/>
      <c r="AD25" s="211"/>
      <c r="AE25" s="211"/>
      <c r="AF25" s="211"/>
      <c r="AG25" s="211"/>
      <c r="AH25" s="211"/>
      <c r="AI25" s="211"/>
      <c r="AJ25" s="211"/>
      <c r="AK25" s="211"/>
      <c r="AL25" s="211"/>
      <c r="AM25" s="211"/>
      <c r="AN25" s="211"/>
      <c r="AO25" s="211"/>
      <c r="AP25" s="211"/>
      <c r="AQ25" s="211"/>
      <c r="AR25" s="211"/>
      <c r="AS25" s="211"/>
      <c r="AT25" s="211"/>
      <c r="AU25" s="211"/>
      <c r="AV25" s="211"/>
      <c r="AW25" s="211"/>
      <c r="AX25" s="211"/>
      <c r="AY25" s="211"/>
      <c r="AZ25" s="211"/>
      <c r="BA25" s="211"/>
      <c r="BB25" s="211"/>
      <c r="BC25" s="211"/>
      <c r="BD25" s="211"/>
      <c r="BE25" s="211"/>
      <c r="BF25" s="211"/>
      <c r="BG25" s="211"/>
      <c r="BH25" s="211"/>
      <c r="BI25" s="211"/>
      <c r="BJ25" s="211"/>
      <c r="BK25" s="211"/>
      <c r="BL25" s="211"/>
      <c r="BM25" s="211"/>
      <c r="BN25" s="211"/>
      <c r="BO25" s="211"/>
      <c r="BP25" s="211"/>
      <c r="BQ25" s="211"/>
      <c r="BR25" s="211"/>
      <c r="BS25" s="211"/>
      <c r="BT25" s="211"/>
      <c r="BU25" s="211"/>
      <c r="BV25" s="211"/>
      <c r="BW25" s="211"/>
      <c r="BX25" s="211"/>
      <c r="BY25" s="211"/>
      <c r="BZ25" s="211"/>
      <c r="CA25" s="211"/>
      <c r="CB25" s="211"/>
      <c r="CC25" s="211"/>
      <c r="CD25" s="211"/>
      <c r="CE25" s="211"/>
      <c r="CF25" s="211"/>
      <c r="CG25" s="211"/>
      <c r="CH25" s="211"/>
      <c r="CI25" s="211"/>
      <c r="CJ25" s="211"/>
      <c r="CK25" s="211"/>
      <c r="CL25" s="211"/>
      <c r="CM25" s="211"/>
      <c r="CN25" s="211"/>
      <c r="CO25" s="211"/>
      <c r="CP25" s="211"/>
      <c r="CQ25" s="211"/>
      <c r="CR25" s="211"/>
      <c r="CS25" s="211"/>
      <c r="CT25" s="211"/>
      <c r="CU25" s="211"/>
      <c r="CV25" s="211"/>
      <c r="CW25" s="211"/>
    </row>
    <row r="26" spans="1:101" ht="31.5" customHeight="1" x14ac:dyDescent="0.25">
      <c r="A26" s="211"/>
      <c r="B26" s="211"/>
      <c r="C26" s="211"/>
      <c r="D26" s="211"/>
      <c r="E26" s="211"/>
      <c r="F26" s="211"/>
      <c r="G26" s="211"/>
      <c r="H26" s="211"/>
      <c r="I26" s="211"/>
      <c r="J26" s="211"/>
      <c r="K26" s="211"/>
      <c r="L26" s="211"/>
      <c r="M26" s="211"/>
      <c r="N26" s="211"/>
      <c r="O26" s="211"/>
      <c r="P26" s="211"/>
      <c r="Q26" s="211"/>
      <c r="R26" s="211"/>
      <c r="S26" s="211"/>
      <c r="T26" s="211"/>
      <c r="U26" s="211"/>
      <c r="V26" s="211"/>
      <c r="W26" s="211"/>
      <c r="X26" s="211"/>
      <c r="Y26" s="211"/>
      <c r="Z26" s="211"/>
      <c r="AA26" s="211"/>
      <c r="AB26" s="211"/>
      <c r="AC26" s="211"/>
      <c r="AD26" s="211"/>
      <c r="AE26" s="211"/>
      <c r="AF26" s="211"/>
      <c r="AG26" s="211"/>
      <c r="AH26" s="211"/>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c r="BG26" s="211"/>
      <c r="BH26" s="211"/>
      <c r="BI26" s="211"/>
      <c r="BJ26" s="211"/>
      <c r="BK26" s="211"/>
      <c r="BL26" s="211"/>
      <c r="BM26" s="211"/>
      <c r="BN26" s="211"/>
      <c r="BO26" s="211"/>
      <c r="BP26" s="211"/>
      <c r="BQ26" s="211"/>
      <c r="BR26" s="211"/>
      <c r="BS26" s="211"/>
      <c r="BT26" s="211"/>
      <c r="BU26" s="211"/>
      <c r="BV26" s="211"/>
      <c r="BW26" s="211"/>
      <c r="BX26" s="211"/>
      <c r="BY26" s="211"/>
      <c r="BZ26" s="211"/>
      <c r="CA26" s="211"/>
      <c r="CB26" s="211"/>
      <c r="CC26" s="211"/>
      <c r="CD26" s="211"/>
      <c r="CE26" s="211"/>
      <c r="CF26" s="211"/>
      <c r="CG26" s="211"/>
      <c r="CH26" s="211"/>
      <c r="CI26" s="211"/>
      <c r="CJ26" s="211"/>
      <c r="CK26" s="211"/>
      <c r="CL26" s="211"/>
      <c r="CM26" s="211"/>
      <c r="CN26" s="211"/>
      <c r="CO26" s="211"/>
      <c r="CP26" s="211"/>
      <c r="CQ26" s="211"/>
      <c r="CR26" s="211"/>
      <c r="CS26" s="211"/>
      <c r="CT26" s="211"/>
      <c r="CU26" s="211"/>
      <c r="CV26" s="211"/>
      <c r="CW26" s="211"/>
    </row>
    <row r="27" spans="1:101" ht="31.5" customHeight="1" x14ac:dyDescent="0.25">
      <c r="A27" s="211"/>
      <c r="B27" s="211"/>
      <c r="C27" s="211"/>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211"/>
      <c r="AB27" s="211"/>
      <c r="AC27" s="211"/>
      <c r="AD27" s="211"/>
      <c r="AE27" s="211"/>
      <c r="AF27" s="211"/>
      <c r="AG27" s="211"/>
      <c r="AH27" s="211"/>
      <c r="AI27" s="211"/>
      <c r="AJ27" s="211"/>
      <c r="AK27" s="211"/>
      <c r="AL27" s="211"/>
      <c r="AM27" s="211"/>
      <c r="AN27" s="211"/>
      <c r="AO27" s="211"/>
      <c r="AP27" s="211"/>
      <c r="AQ27" s="211"/>
      <c r="AR27" s="211"/>
      <c r="AS27" s="211"/>
      <c r="AT27" s="211"/>
      <c r="AU27" s="211"/>
      <c r="AV27" s="211"/>
      <c r="AW27" s="211"/>
      <c r="AX27" s="211"/>
      <c r="AY27" s="211"/>
      <c r="AZ27" s="211"/>
      <c r="BA27" s="211"/>
      <c r="BB27" s="211"/>
      <c r="BC27" s="211"/>
      <c r="BD27" s="211"/>
      <c r="BE27" s="211"/>
      <c r="BF27" s="211"/>
      <c r="BG27" s="211"/>
      <c r="BH27" s="211"/>
      <c r="BI27" s="211"/>
      <c r="BJ27" s="21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211"/>
      <c r="CS27" s="211"/>
      <c r="CT27" s="211"/>
      <c r="CU27" s="211"/>
      <c r="CV27" s="211"/>
      <c r="CW27" s="211"/>
    </row>
    <row r="28" spans="1:101" ht="31.5" customHeight="1" x14ac:dyDescent="0.25">
      <c r="A28" s="211"/>
      <c r="B28" s="211"/>
      <c r="C28" s="211"/>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c r="AH28" s="211"/>
      <c r="AI28" s="211"/>
      <c r="AJ28" s="211"/>
      <c r="AK28" s="211"/>
      <c r="AL28" s="211"/>
      <c r="AM28" s="211"/>
      <c r="AN28" s="211"/>
      <c r="AO28" s="211"/>
      <c r="AP28" s="211"/>
      <c r="AQ28" s="211"/>
      <c r="AR28" s="211"/>
      <c r="AS28" s="211"/>
      <c r="AT28" s="211"/>
      <c r="AU28" s="211"/>
      <c r="AV28" s="211"/>
      <c r="AW28" s="211"/>
      <c r="AX28" s="211"/>
      <c r="AY28" s="211"/>
      <c r="AZ28" s="211"/>
      <c r="BA28" s="211"/>
      <c r="BB28" s="211"/>
      <c r="BC28" s="211"/>
      <c r="BD28" s="211"/>
      <c r="BE28" s="211"/>
      <c r="BF28" s="211"/>
      <c r="BG28" s="211"/>
      <c r="BH28" s="211"/>
      <c r="BI28" s="211"/>
      <c r="BJ28" s="211"/>
      <c r="BK28" s="211"/>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1"/>
      <c r="CJ28" s="211"/>
      <c r="CK28" s="211"/>
      <c r="CL28" s="211"/>
      <c r="CM28" s="211"/>
      <c r="CN28" s="211"/>
      <c r="CO28" s="211"/>
      <c r="CP28" s="211"/>
      <c r="CQ28" s="211"/>
      <c r="CR28" s="211"/>
      <c r="CS28" s="211"/>
      <c r="CT28" s="211"/>
      <c r="CU28" s="211"/>
      <c r="CV28" s="211"/>
      <c r="CW28" s="211"/>
    </row>
    <row r="29" spans="1:101" ht="31.5" customHeight="1" x14ac:dyDescent="0.25">
      <c r="A29" s="211"/>
      <c r="B29" s="211"/>
      <c r="C29" s="211"/>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211"/>
      <c r="AB29" s="211"/>
      <c r="AC29" s="211"/>
      <c r="AD29" s="211"/>
      <c r="AE29" s="211"/>
      <c r="AF29" s="211"/>
      <c r="AG29" s="211"/>
      <c r="AH29" s="211"/>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row>
    <row r="30" spans="1:101" ht="31.5" customHeight="1" x14ac:dyDescent="0.25">
      <c r="A30" s="211"/>
      <c r="B30" s="211"/>
      <c r="C30" s="211"/>
      <c r="D30" s="211"/>
      <c r="E30" s="211"/>
      <c r="F30" s="211"/>
      <c r="G30" s="211"/>
      <c r="H30" s="211"/>
      <c r="I30" s="211"/>
      <c r="J30" s="211"/>
      <c r="K30" s="211"/>
      <c r="L30" s="211"/>
      <c r="M30" s="211"/>
      <c r="N30" s="211"/>
      <c r="O30" s="211"/>
      <c r="P30" s="211"/>
      <c r="Q30" s="211"/>
      <c r="R30" s="211"/>
      <c r="S30" s="211"/>
      <c r="T30" s="211"/>
      <c r="U30" s="211"/>
      <c r="V30" s="211"/>
      <c r="W30" s="211"/>
      <c r="X30" s="211"/>
      <c r="Y30" s="211"/>
      <c r="Z30" s="211"/>
      <c r="AA30" s="211"/>
      <c r="AB30" s="211"/>
      <c r="AC30" s="211"/>
      <c r="AD30" s="211"/>
      <c r="AE30" s="211"/>
      <c r="AF30" s="211"/>
      <c r="AG30" s="211"/>
      <c r="AH30" s="211"/>
      <c r="AI30" s="211"/>
      <c r="AJ30" s="211"/>
      <c r="AK30" s="211"/>
      <c r="AL30" s="211"/>
      <c r="AM30" s="211"/>
      <c r="AN30" s="211"/>
      <c r="AO30" s="211"/>
      <c r="AP30" s="211"/>
      <c r="AQ30" s="211"/>
      <c r="AR30" s="211"/>
      <c r="AS30" s="211"/>
      <c r="AT30" s="211"/>
      <c r="AU30" s="211"/>
      <c r="AV30" s="211"/>
      <c r="AW30" s="211"/>
      <c r="AX30" s="211"/>
      <c r="AY30" s="211"/>
      <c r="AZ30" s="211"/>
      <c r="BA30" s="211"/>
      <c r="BB30" s="211"/>
      <c r="BC30" s="211"/>
      <c r="BD30" s="211"/>
      <c r="BE30" s="211"/>
      <c r="BF30" s="211"/>
      <c r="BG30" s="211"/>
      <c r="BH30" s="211"/>
      <c r="BI30" s="211"/>
      <c r="BJ30" s="211"/>
      <c r="BK30" s="211"/>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1"/>
      <c r="CJ30" s="211"/>
      <c r="CK30" s="211"/>
      <c r="CL30" s="211"/>
      <c r="CM30" s="211"/>
      <c r="CN30" s="211"/>
      <c r="CO30" s="211"/>
      <c r="CP30" s="211"/>
      <c r="CQ30" s="211"/>
      <c r="CR30" s="211"/>
      <c r="CS30" s="211"/>
      <c r="CT30" s="211"/>
      <c r="CU30" s="211"/>
      <c r="CV30" s="211"/>
      <c r="CW30" s="211"/>
    </row>
    <row r="31" spans="1:101" ht="31.5" customHeight="1" x14ac:dyDescent="0.25">
      <c r="A31" s="211"/>
      <c r="B31" s="211"/>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c r="AG31" s="211"/>
      <c r="AH31" s="211"/>
      <c r="AI31" s="211"/>
      <c r="AJ31" s="211"/>
      <c r="AK31" s="211"/>
      <c r="AL31" s="211"/>
      <c r="AM31" s="211"/>
      <c r="AN31" s="211"/>
      <c r="AO31" s="211"/>
      <c r="AP31" s="211"/>
      <c r="AQ31" s="211"/>
      <c r="AR31" s="211"/>
      <c r="AS31" s="211"/>
      <c r="AT31" s="211"/>
      <c r="AU31" s="211"/>
      <c r="AV31" s="211"/>
      <c r="AW31" s="211"/>
      <c r="AX31" s="211"/>
      <c r="AY31" s="211"/>
      <c r="AZ31" s="211"/>
      <c r="BA31" s="211"/>
      <c r="BB31" s="211"/>
      <c r="BC31" s="211"/>
      <c r="BD31" s="211"/>
      <c r="BE31" s="211"/>
      <c r="BF31" s="211"/>
      <c r="BG31" s="211"/>
      <c r="BH31" s="211"/>
      <c r="BI31" s="211"/>
      <c r="BJ31" s="21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211"/>
      <c r="CS31" s="211"/>
      <c r="CT31" s="211"/>
      <c r="CU31" s="211"/>
      <c r="CV31" s="211"/>
      <c r="CW31" s="211"/>
    </row>
    <row r="32" spans="1:101" ht="31.5" customHeight="1" x14ac:dyDescent="0.25">
      <c r="A32" s="211"/>
      <c r="B32" s="211"/>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c r="AG32" s="211"/>
      <c r="AH32" s="211"/>
      <c r="AI32" s="211"/>
      <c r="AJ32" s="211"/>
      <c r="AK32" s="211"/>
      <c r="AL32" s="211"/>
      <c r="AM32" s="211"/>
      <c r="AN32" s="211"/>
      <c r="AO32" s="211"/>
      <c r="AP32" s="211"/>
      <c r="AQ32" s="211"/>
      <c r="AR32" s="211"/>
      <c r="AS32" s="211"/>
      <c r="AT32" s="211"/>
      <c r="AU32" s="211"/>
      <c r="AV32" s="211"/>
      <c r="AW32" s="211"/>
      <c r="AX32" s="211"/>
      <c r="AY32" s="211"/>
      <c r="AZ32" s="211"/>
      <c r="BA32" s="211"/>
      <c r="BB32" s="211"/>
      <c r="BC32" s="211"/>
      <c r="BD32" s="211"/>
      <c r="BE32" s="211"/>
      <c r="BF32" s="211"/>
      <c r="BG32" s="211"/>
      <c r="BH32" s="211"/>
      <c r="BI32" s="211"/>
      <c r="BJ32" s="211"/>
      <c r="BK32" s="211"/>
      <c r="BL32" s="211"/>
      <c r="BM32" s="211"/>
      <c r="BN32" s="211"/>
      <c r="BO32" s="211"/>
      <c r="BP32" s="211"/>
      <c r="BQ32" s="211"/>
      <c r="BR32" s="211"/>
      <c r="BS32" s="211"/>
      <c r="BT32" s="211"/>
      <c r="BU32" s="211"/>
      <c r="BV32" s="211"/>
      <c r="BW32" s="211"/>
      <c r="BX32" s="211"/>
      <c r="BY32" s="211"/>
      <c r="BZ32" s="211"/>
      <c r="CA32" s="211"/>
      <c r="CB32" s="211"/>
      <c r="CC32" s="211"/>
      <c r="CD32" s="211"/>
      <c r="CE32" s="211"/>
      <c r="CF32" s="211"/>
      <c r="CG32" s="211"/>
      <c r="CH32" s="211"/>
      <c r="CI32" s="211"/>
      <c r="CJ32" s="211"/>
      <c r="CK32" s="211"/>
      <c r="CL32" s="211"/>
      <c r="CM32" s="211"/>
      <c r="CN32" s="211"/>
      <c r="CO32" s="211"/>
      <c r="CP32" s="211"/>
      <c r="CQ32" s="211"/>
      <c r="CR32" s="211"/>
      <c r="CS32" s="211"/>
      <c r="CT32" s="211"/>
      <c r="CU32" s="211"/>
      <c r="CV32" s="211"/>
      <c r="CW32" s="211"/>
    </row>
    <row r="33" spans="1:101" ht="31.5" customHeight="1" x14ac:dyDescent="0.25">
      <c r="A33" s="211"/>
      <c r="B33" s="211"/>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c r="AG33" s="211"/>
      <c r="AH33" s="211"/>
      <c r="AI33" s="211"/>
      <c r="AJ33" s="211"/>
      <c r="AK33" s="211"/>
      <c r="AL33" s="211"/>
      <c r="AM33" s="211"/>
      <c r="AN33" s="211"/>
      <c r="AO33" s="211"/>
      <c r="AP33" s="211"/>
      <c r="AQ33" s="211"/>
      <c r="AR33" s="211"/>
      <c r="AS33" s="211"/>
      <c r="AT33" s="211"/>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row>
    <row r="34" spans="1:101" ht="31.5" customHeight="1" x14ac:dyDescent="0.25">
      <c r="A34" s="211"/>
      <c r="B34" s="211"/>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1"/>
      <c r="AJ34" s="211"/>
      <c r="AK34" s="211"/>
      <c r="AL34" s="211"/>
      <c r="AM34" s="211"/>
      <c r="AN34" s="211"/>
      <c r="AO34" s="211"/>
      <c r="AP34" s="211"/>
      <c r="AQ34" s="211"/>
      <c r="AR34" s="211"/>
      <c r="AS34" s="211"/>
      <c r="AT34" s="211"/>
      <c r="AU34" s="211"/>
      <c r="AV34" s="211"/>
      <c r="AW34" s="211"/>
      <c r="AX34" s="211"/>
      <c r="AY34" s="211"/>
      <c r="AZ34" s="211"/>
      <c r="BA34" s="211"/>
      <c r="BB34" s="211"/>
      <c r="BC34" s="211"/>
      <c r="BD34" s="211"/>
      <c r="BE34" s="211"/>
      <c r="BF34" s="211"/>
      <c r="BG34" s="211"/>
      <c r="BH34" s="211"/>
      <c r="BI34" s="211"/>
      <c r="BJ34" s="211"/>
      <c r="BK34" s="211"/>
      <c r="BL34" s="211"/>
      <c r="BM34" s="211"/>
      <c r="BN34" s="211"/>
      <c r="BO34" s="211"/>
      <c r="BP34" s="211"/>
      <c r="BQ34" s="211"/>
      <c r="BR34" s="211"/>
      <c r="BS34" s="211"/>
      <c r="BT34" s="211"/>
      <c r="BU34" s="211"/>
      <c r="BV34" s="211"/>
      <c r="BW34" s="211"/>
      <c r="BX34" s="211"/>
      <c r="BY34" s="211"/>
      <c r="BZ34" s="211"/>
      <c r="CA34" s="211"/>
      <c r="CB34" s="211"/>
      <c r="CC34" s="211"/>
      <c r="CD34" s="211"/>
      <c r="CE34" s="211"/>
      <c r="CF34" s="211"/>
      <c r="CG34" s="211"/>
      <c r="CH34" s="211"/>
      <c r="CI34" s="211"/>
      <c r="CJ34" s="211"/>
      <c r="CK34" s="211"/>
      <c r="CL34" s="211"/>
      <c r="CM34" s="211"/>
      <c r="CN34" s="211"/>
      <c r="CO34" s="211"/>
      <c r="CP34" s="211"/>
      <c r="CQ34" s="211"/>
      <c r="CR34" s="211"/>
      <c r="CS34" s="211"/>
      <c r="CT34" s="211"/>
      <c r="CU34" s="211"/>
      <c r="CV34" s="211"/>
      <c r="CW34" s="211"/>
    </row>
    <row r="35" spans="1:101" ht="31.5" customHeight="1" x14ac:dyDescent="0.25">
      <c r="A35" s="211"/>
      <c r="B35" s="211"/>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c r="AB35" s="211"/>
      <c r="AC35" s="211"/>
      <c r="AD35" s="211"/>
      <c r="AE35" s="211"/>
      <c r="AF35" s="211"/>
      <c r="AG35" s="211"/>
      <c r="AH35" s="211"/>
      <c r="AI35" s="211"/>
      <c r="AJ35" s="211"/>
      <c r="AK35" s="211"/>
      <c r="AL35" s="211"/>
      <c r="AM35" s="211"/>
      <c r="AN35" s="211"/>
      <c r="AO35" s="211"/>
      <c r="AP35" s="211"/>
      <c r="AQ35" s="211"/>
      <c r="AR35" s="211"/>
      <c r="AS35" s="211"/>
      <c r="AT35" s="211"/>
      <c r="AU35" s="211"/>
      <c r="AV35" s="211"/>
      <c r="AW35" s="211"/>
      <c r="AX35" s="211"/>
      <c r="AY35" s="211"/>
      <c r="AZ35" s="211"/>
      <c r="BA35" s="211"/>
      <c r="BB35" s="211"/>
      <c r="BC35" s="211"/>
      <c r="BD35" s="211"/>
      <c r="BE35" s="211"/>
      <c r="BF35" s="211"/>
      <c r="BG35" s="211"/>
      <c r="BH35" s="211"/>
      <c r="BI35" s="211"/>
      <c r="BJ35" s="211"/>
      <c r="BK35" s="211"/>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1"/>
      <c r="CJ35" s="211"/>
      <c r="CK35" s="211"/>
      <c r="CL35" s="211"/>
      <c r="CM35" s="211"/>
      <c r="CN35" s="211"/>
      <c r="CO35" s="211"/>
      <c r="CP35" s="211"/>
      <c r="CQ35" s="211"/>
      <c r="CR35" s="211"/>
      <c r="CS35" s="211"/>
      <c r="CT35" s="211"/>
      <c r="CU35" s="211"/>
      <c r="CV35" s="211"/>
      <c r="CW35" s="211"/>
    </row>
    <row r="36" spans="1:101" ht="31.5" customHeight="1" x14ac:dyDescent="0.25">
      <c r="A36" s="211"/>
      <c r="B36" s="211"/>
      <c r="C36" s="211"/>
      <c r="D36" s="211"/>
      <c r="E36" s="211"/>
      <c r="F36" s="211"/>
      <c r="G36" s="211"/>
      <c r="H36" s="211"/>
      <c r="I36" s="211"/>
      <c r="J36" s="211"/>
      <c r="K36" s="211"/>
      <c r="L36" s="211"/>
      <c r="M36" s="211"/>
      <c r="N36" s="211"/>
      <c r="O36" s="211"/>
      <c r="P36" s="211"/>
      <c r="Q36" s="211"/>
      <c r="R36" s="211"/>
      <c r="S36" s="211"/>
      <c r="T36" s="211"/>
      <c r="U36" s="211"/>
      <c r="V36" s="211"/>
      <c r="W36" s="211"/>
      <c r="X36" s="211"/>
      <c r="Y36" s="211"/>
      <c r="Z36" s="211"/>
      <c r="AA36" s="211"/>
      <c r="AB36" s="211"/>
      <c r="AC36" s="211"/>
      <c r="AD36" s="211"/>
      <c r="AE36" s="211"/>
      <c r="AF36" s="211"/>
      <c r="AG36" s="211"/>
      <c r="AH36" s="211"/>
      <c r="AI36" s="211"/>
      <c r="AJ36" s="211"/>
      <c r="AK36" s="211"/>
      <c r="AL36" s="211"/>
      <c r="AM36" s="211"/>
      <c r="AN36" s="211"/>
      <c r="AO36" s="211"/>
      <c r="AP36" s="211"/>
      <c r="AQ36" s="211"/>
      <c r="AR36" s="211"/>
      <c r="AS36" s="211"/>
      <c r="AT36" s="211"/>
      <c r="AU36" s="211"/>
      <c r="AV36" s="211"/>
      <c r="AW36" s="211"/>
      <c r="AX36" s="211"/>
      <c r="AY36" s="211"/>
      <c r="AZ36" s="211"/>
      <c r="BA36" s="211"/>
      <c r="BB36" s="211"/>
      <c r="BC36" s="211"/>
      <c r="BD36" s="211"/>
      <c r="BE36" s="211"/>
      <c r="BF36" s="211"/>
      <c r="BG36" s="211"/>
      <c r="BH36" s="211"/>
      <c r="BI36" s="211"/>
      <c r="BJ36" s="211"/>
      <c r="BK36" s="211"/>
      <c r="BL36" s="211"/>
      <c r="BM36" s="211"/>
      <c r="BN36" s="211"/>
      <c r="BO36" s="211"/>
      <c r="BP36" s="211"/>
      <c r="BQ36" s="211"/>
      <c r="BR36" s="211"/>
      <c r="BS36" s="211"/>
      <c r="BT36" s="211"/>
      <c r="BU36" s="211"/>
      <c r="BV36" s="211"/>
      <c r="BW36" s="211"/>
      <c r="BX36" s="211"/>
      <c r="BY36" s="211"/>
      <c r="BZ36" s="211"/>
      <c r="CA36" s="211"/>
      <c r="CB36" s="211"/>
      <c r="CC36" s="211"/>
      <c r="CD36" s="211"/>
      <c r="CE36" s="211"/>
      <c r="CF36" s="211"/>
      <c r="CG36" s="211"/>
      <c r="CH36" s="211"/>
      <c r="CI36" s="211"/>
      <c r="CJ36" s="211"/>
      <c r="CK36" s="211"/>
      <c r="CL36" s="211"/>
      <c r="CM36" s="211"/>
      <c r="CN36" s="211"/>
      <c r="CO36" s="211"/>
      <c r="CP36" s="211"/>
      <c r="CQ36" s="211"/>
      <c r="CR36" s="211"/>
      <c r="CS36" s="211"/>
      <c r="CT36" s="211"/>
      <c r="CU36" s="211"/>
      <c r="CV36" s="211"/>
      <c r="CW36" s="211"/>
    </row>
    <row r="37" spans="1:101" ht="31.5" customHeight="1" x14ac:dyDescent="0.25">
      <c r="A37" s="211"/>
      <c r="B37" s="211"/>
      <c r="C37" s="211"/>
      <c r="D37" s="211"/>
      <c r="E37" s="211"/>
      <c r="F37" s="211"/>
      <c r="G37" s="211"/>
      <c r="H37" s="211"/>
      <c r="I37" s="211"/>
      <c r="J37" s="211"/>
      <c r="K37" s="211"/>
      <c r="L37" s="211"/>
      <c r="M37" s="211"/>
      <c r="N37" s="211"/>
      <c r="O37" s="211"/>
      <c r="P37" s="211"/>
      <c r="Q37" s="211"/>
      <c r="R37" s="211"/>
      <c r="S37" s="211"/>
      <c r="T37" s="211"/>
      <c r="U37" s="211"/>
      <c r="V37" s="211"/>
      <c r="W37" s="211"/>
      <c r="X37" s="211"/>
      <c r="Y37" s="211"/>
      <c r="Z37" s="211"/>
      <c r="AA37" s="211"/>
      <c r="AB37" s="211"/>
      <c r="AC37" s="211"/>
      <c r="AD37" s="211"/>
      <c r="AE37" s="211"/>
      <c r="AF37" s="211"/>
      <c r="AG37" s="211"/>
      <c r="AH37" s="211"/>
      <c r="AI37" s="211"/>
      <c r="AJ37" s="211"/>
      <c r="AK37" s="211"/>
      <c r="AL37" s="211"/>
      <c r="AM37" s="211"/>
      <c r="AN37" s="211"/>
      <c r="AO37" s="211"/>
      <c r="AP37" s="211"/>
      <c r="AQ37" s="211"/>
      <c r="AR37" s="211"/>
      <c r="AS37" s="211"/>
      <c r="AT37" s="211"/>
      <c r="AU37" s="211"/>
      <c r="AV37" s="211"/>
      <c r="AW37" s="211"/>
      <c r="AX37" s="211"/>
      <c r="AY37" s="211"/>
      <c r="AZ37" s="211"/>
      <c r="BA37" s="211"/>
      <c r="BB37" s="211"/>
      <c r="BC37" s="211"/>
      <c r="BD37" s="211"/>
      <c r="BE37" s="211"/>
      <c r="BF37" s="211"/>
      <c r="BG37" s="211"/>
      <c r="BH37" s="211"/>
      <c r="BI37" s="211"/>
      <c r="BJ37" s="211"/>
      <c r="BK37" s="211"/>
      <c r="BL37" s="211"/>
      <c r="BM37" s="211"/>
      <c r="BN37" s="211"/>
      <c r="BO37" s="211"/>
      <c r="BP37" s="211"/>
      <c r="BQ37" s="211"/>
      <c r="BR37" s="211"/>
      <c r="BS37" s="211"/>
      <c r="BT37" s="211"/>
      <c r="BU37" s="211"/>
      <c r="BV37" s="211"/>
      <c r="BW37" s="211"/>
      <c r="BX37" s="211"/>
      <c r="BY37" s="211"/>
      <c r="BZ37" s="211"/>
      <c r="CA37" s="211"/>
      <c r="CB37" s="211"/>
      <c r="CC37" s="211"/>
      <c r="CD37" s="211"/>
      <c r="CE37" s="211"/>
      <c r="CF37" s="211"/>
      <c r="CG37" s="211"/>
      <c r="CH37" s="211"/>
      <c r="CI37" s="211"/>
      <c r="CJ37" s="211"/>
      <c r="CK37" s="211"/>
      <c r="CL37" s="211"/>
      <c r="CM37" s="211"/>
      <c r="CN37" s="211"/>
      <c r="CO37" s="211"/>
      <c r="CP37" s="211"/>
      <c r="CQ37" s="211"/>
      <c r="CR37" s="211"/>
      <c r="CS37" s="211"/>
      <c r="CT37" s="211"/>
      <c r="CU37" s="211"/>
      <c r="CV37" s="211"/>
      <c r="CW37" s="211"/>
    </row>
    <row r="38" spans="1:101" ht="31.5" customHeight="1" x14ac:dyDescent="0.25">
      <c r="A38" s="211"/>
      <c r="B38" s="211"/>
      <c r="C38" s="211"/>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211"/>
      <c r="AD38" s="211"/>
      <c r="AE38" s="211"/>
      <c r="AF38" s="211"/>
      <c r="AG38" s="211"/>
      <c r="AH38" s="211"/>
      <c r="AI38" s="211"/>
      <c r="AJ38" s="211"/>
      <c r="AK38" s="211"/>
      <c r="AL38" s="211"/>
      <c r="AM38" s="211"/>
      <c r="AN38" s="211"/>
      <c r="AO38" s="211"/>
      <c r="AP38" s="211"/>
      <c r="AQ38" s="211"/>
      <c r="AR38" s="211"/>
      <c r="AS38" s="211"/>
      <c r="AT38" s="211"/>
      <c r="AU38" s="211"/>
      <c r="AV38" s="211"/>
      <c r="AW38" s="211"/>
      <c r="AX38" s="211"/>
      <c r="AY38" s="211"/>
      <c r="AZ38" s="211"/>
      <c r="BA38" s="211"/>
      <c r="BB38" s="211"/>
      <c r="BC38" s="211"/>
      <c r="BD38" s="211"/>
      <c r="BE38" s="211"/>
      <c r="BF38" s="211"/>
      <c r="BG38" s="211"/>
      <c r="BH38" s="211"/>
      <c r="BI38" s="211"/>
      <c r="BJ38" s="211"/>
      <c r="BK38" s="211"/>
      <c r="BL38" s="211"/>
      <c r="BM38" s="211"/>
      <c r="BN38" s="211"/>
      <c r="BO38" s="211"/>
      <c r="BP38" s="211"/>
      <c r="BQ38" s="211"/>
      <c r="BR38" s="211"/>
      <c r="BS38" s="211"/>
      <c r="BT38" s="211"/>
      <c r="BU38" s="211"/>
      <c r="BV38" s="211"/>
      <c r="BW38" s="211"/>
      <c r="BX38" s="211"/>
      <c r="BY38" s="211"/>
      <c r="BZ38" s="211"/>
      <c r="CA38" s="211"/>
      <c r="CB38" s="211"/>
      <c r="CC38" s="211"/>
      <c r="CD38" s="211"/>
      <c r="CE38" s="211"/>
      <c r="CF38" s="211"/>
      <c r="CG38" s="211"/>
      <c r="CH38" s="211"/>
      <c r="CI38" s="211"/>
      <c r="CJ38" s="211"/>
      <c r="CK38" s="211"/>
      <c r="CL38" s="211"/>
      <c r="CM38" s="211"/>
      <c r="CN38" s="211"/>
      <c r="CO38" s="211"/>
      <c r="CP38" s="211"/>
      <c r="CQ38" s="211"/>
      <c r="CR38" s="211"/>
      <c r="CS38" s="211"/>
      <c r="CT38" s="211"/>
      <c r="CU38" s="211"/>
      <c r="CV38" s="211"/>
      <c r="CW38" s="211"/>
    </row>
    <row r="39" spans="1:101" ht="31.5" customHeight="1" x14ac:dyDescent="0.25">
      <c r="A39" s="211"/>
      <c r="B39" s="211"/>
      <c r="C39" s="211"/>
      <c r="D39" s="211"/>
      <c r="E39" s="211"/>
      <c r="F39" s="211"/>
      <c r="G39" s="211"/>
      <c r="H39" s="211"/>
      <c r="I39" s="211"/>
      <c r="J39" s="211"/>
      <c r="K39" s="211"/>
      <c r="L39" s="211"/>
      <c r="M39" s="211"/>
      <c r="N39" s="211"/>
      <c r="O39" s="211"/>
      <c r="P39" s="211"/>
      <c r="Q39" s="211"/>
      <c r="R39" s="211"/>
      <c r="S39" s="211"/>
      <c r="T39" s="211"/>
      <c r="U39" s="211"/>
      <c r="V39" s="211"/>
      <c r="W39" s="211"/>
      <c r="X39" s="211"/>
      <c r="Y39" s="211"/>
      <c r="Z39" s="211"/>
      <c r="AA39" s="211"/>
      <c r="AB39" s="211"/>
      <c r="AC39" s="211"/>
      <c r="AD39" s="211"/>
      <c r="AE39" s="211"/>
      <c r="AF39" s="211"/>
      <c r="AG39" s="211"/>
      <c r="AH39" s="211"/>
      <c r="AI39" s="211"/>
      <c r="AJ39" s="211"/>
      <c r="AK39" s="211"/>
      <c r="AL39" s="211"/>
      <c r="AM39" s="211"/>
      <c r="AN39" s="211"/>
      <c r="AO39" s="211"/>
      <c r="AP39" s="211"/>
      <c r="AQ39" s="211"/>
      <c r="AR39" s="211"/>
      <c r="AS39" s="211"/>
      <c r="AT39" s="211"/>
      <c r="AU39" s="211"/>
      <c r="AV39" s="211"/>
      <c r="AW39" s="211"/>
      <c r="AX39" s="211"/>
      <c r="AY39" s="211"/>
      <c r="AZ39" s="211"/>
      <c r="BA39" s="211"/>
      <c r="BB39" s="211"/>
      <c r="BC39" s="211"/>
      <c r="BD39" s="211"/>
      <c r="BE39" s="211"/>
      <c r="BF39" s="211"/>
      <c r="BG39" s="211"/>
      <c r="BH39" s="211"/>
      <c r="BI39" s="211"/>
      <c r="BJ39" s="211"/>
      <c r="BK39" s="211"/>
      <c r="BL39" s="211"/>
      <c r="BM39" s="211"/>
      <c r="BN39" s="211"/>
      <c r="BO39" s="211"/>
      <c r="BP39" s="211"/>
      <c r="BQ39" s="211"/>
      <c r="BR39" s="211"/>
      <c r="BS39" s="211"/>
      <c r="BT39" s="211"/>
      <c r="BU39" s="211"/>
      <c r="BV39" s="211"/>
      <c r="BW39" s="211"/>
      <c r="BX39" s="211"/>
      <c r="BY39" s="211"/>
      <c r="BZ39" s="211"/>
      <c r="CA39" s="211"/>
      <c r="CB39" s="211"/>
      <c r="CC39" s="211"/>
      <c r="CD39" s="211"/>
      <c r="CE39" s="211"/>
      <c r="CF39" s="211"/>
      <c r="CG39" s="211"/>
      <c r="CH39" s="211"/>
      <c r="CI39" s="211"/>
      <c r="CJ39" s="211"/>
      <c r="CK39" s="211"/>
      <c r="CL39" s="211"/>
      <c r="CM39" s="211"/>
      <c r="CN39" s="211"/>
      <c r="CO39" s="211"/>
      <c r="CP39" s="211"/>
      <c r="CQ39" s="211"/>
      <c r="CR39" s="211"/>
      <c r="CS39" s="211"/>
      <c r="CT39" s="211"/>
      <c r="CU39" s="211"/>
      <c r="CV39" s="211"/>
      <c r="CW39" s="211"/>
    </row>
    <row r="40" spans="1:101" ht="31.5" customHeight="1" x14ac:dyDescent="0.25">
      <c r="A40" s="211"/>
      <c r="B40" s="211"/>
      <c r="C40" s="211"/>
      <c r="D40" s="211"/>
      <c r="E40" s="211"/>
      <c r="F40" s="211"/>
      <c r="G40" s="211"/>
      <c r="H40" s="211"/>
      <c r="I40" s="211"/>
      <c r="J40" s="211"/>
      <c r="K40" s="211"/>
      <c r="L40" s="211"/>
      <c r="M40" s="211"/>
      <c r="N40" s="211"/>
      <c r="O40" s="211"/>
      <c r="P40" s="211"/>
      <c r="Q40" s="211"/>
      <c r="R40" s="211"/>
      <c r="S40" s="211"/>
      <c r="T40" s="211"/>
      <c r="U40" s="211"/>
      <c r="V40" s="211"/>
      <c r="W40" s="211"/>
      <c r="X40" s="211"/>
      <c r="Y40" s="211"/>
      <c r="Z40" s="211"/>
      <c r="AA40" s="211"/>
      <c r="AB40" s="211"/>
      <c r="AC40" s="211"/>
      <c r="AD40" s="211"/>
      <c r="AE40" s="211"/>
      <c r="AF40" s="211"/>
      <c r="AG40" s="211"/>
      <c r="AH40" s="211"/>
      <c r="AI40" s="211"/>
      <c r="AJ40" s="211"/>
      <c r="AK40" s="211"/>
      <c r="AL40" s="211"/>
      <c r="AM40" s="211"/>
      <c r="AN40" s="211"/>
      <c r="AO40" s="211"/>
      <c r="AP40" s="211"/>
      <c r="AQ40" s="211"/>
      <c r="AR40" s="211"/>
      <c r="AS40" s="211"/>
      <c r="AT40" s="211"/>
      <c r="AU40" s="211"/>
      <c r="AV40" s="211"/>
      <c r="AW40" s="211"/>
      <c r="AX40" s="211"/>
      <c r="AY40" s="211"/>
      <c r="AZ40" s="211"/>
      <c r="BA40" s="211"/>
      <c r="BB40" s="211"/>
      <c r="BC40" s="211"/>
      <c r="BD40" s="211"/>
      <c r="BE40" s="211"/>
      <c r="BF40" s="211"/>
      <c r="BG40" s="211"/>
      <c r="BH40" s="211"/>
      <c r="BI40" s="211"/>
      <c r="BJ40" s="211"/>
      <c r="BK40" s="211"/>
      <c r="BL40" s="211"/>
      <c r="BM40" s="211"/>
      <c r="BN40" s="211"/>
      <c r="BO40" s="211"/>
      <c r="BP40" s="211"/>
      <c r="BQ40" s="211"/>
      <c r="BR40" s="211"/>
      <c r="BS40" s="211"/>
      <c r="BT40" s="211"/>
      <c r="BU40" s="211"/>
      <c r="BV40" s="211"/>
      <c r="BW40" s="211"/>
      <c r="BX40" s="211"/>
      <c r="BY40" s="211"/>
      <c r="BZ40" s="211"/>
      <c r="CA40" s="211"/>
      <c r="CB40" s="211"/>
      <c r="CC40" s="211"/>
      <c r="CD40" s="211"/>
      <c r="CE40" s="211"/>
      <c r="CF40" s="211"/>
      <c r="CG40" s="211"/>
      <c r="CH40" s="211"/>
      <c r="CI40" s="211"/>
      <c r="CJ40" s="211"/>
      <c r="CK40" s="211"/>
      <c r="CL40" s="211"/>
      <c r="CM40" s="211"/>
      <c r="CN40" s="211"/>
      <c r="CO40" s="211"/>
      <c r="CP40" s="211"/>
      <c r="CQ40" s="211"/>
      <c r="CR40" s="211"/>
      <c r="CS40" s="211"/>
      <c r="CT40" s="211"/>
      <c r="CU40" s="211"/>
      <c r="CV40" s="211"/>
      <c r="CW40" s="211"/>
    </row>
    <row r="41" spans="1:101" ht="31.5" customHeight="1" x14ac:dyDescent="0.25">
      <c r="A41" s="211"/>
      <c r="B41" s="211"/>
      <c r="C41" s="211"/>
      <c r="D41" s="211"/>
      <c r="E41" s="211"/>
      <c r="F41" s="211"/>
      <c r="G41" s="211"/>
      <c r="H41" s="211"/>
      <c r="I41" s="211"/>
      <c r="J41" s="211"/>
      <c r="K41" s="211"/>
      <c r="L41" s="211"/>
      <c r="M41" s="211"/>
      <c r="N41" s="211"/>
      <c r="O41" s="211"/>
      <c r="P41" s="211"/>
      <c r="Q41" s="211"/>
      <c r="R41" s="211"/>
      <c r="S41" s="211"/>
      <c r="T41" s="211"/>
      <c r="U41" s="211"/>
      <c r="V41" s="211"/>
      <c r="W41" s="211"/>
      <c r="X41" s="211"/>
      <c r="Y41" s="211"/>
      <c r="Z41" s="211"/>
      <c r="AA41" s="211"/>
      <c r="AB41" s="211"/>
      <c r="AC41" s="211"/>
      <c r="AD41" s="211"/>
      <c r="AE41" s="211"/>
      <c r="AF41" s="211"/>
      <c r="AG41" s="211"/>
      <c r="AH41" s="211"/>
      <c r="AI41" s="211"/>
      <c r="AJ41" s="211"/>
      <c r="AK41" s="211"/>
      <c r="AL41" s="211"/>
      <c r="AM41" s="211"/>
      <c r="AN41" s="211"/>
      <c r="AO41" s="211"/>
      <c r="AP41" s="211"/>
      <c r="AQ41" s="211"/>
      <c r="AR41" s="211"/>
      <c r="AS41" s="211"/>
      <c r="AT41" s="211"/>
      <c r="AU41" s="211"/>
      <c r="AV41" s="211"/>
      <c r="AW41" s="211"/>
      <c r="AX41" s="211"/>
      <c r="AY41" s="211"/>
      <c r="AZ41" s="211"/>
      <c r="BA41" s="211"/>
      <c r="BB41" s="211"/>
      <c r="BC41" s="211"/>
      <c r="BD41" s="211"/>
      <c r="BE41" s="211"/>
      <c r="BF41" s="211"/>
      <c r="BG41" s="211"/>
      <c r="BH41" s="211"/>
      <c r="BI41" s="211"/>
      <c r="BJ41" s="211"/>
      <c r="BK41" s="211"/>
      <c r="BL41" s="211"/>
      <c r="BM41" s="211"/>
      <c r="BN41" s="211"/>
      <c r="BO41" s="211"/>
      <c r="BP41" s="211"/>
      <c r="BQ41" s="211"/>
      <c r="BR41" s="211"/>
      <c r="BS41" s="211"/>
      <c r="BT41" s="211"/>
      <c r="BU41" s="211"/>
      <c r="BV41" s="211"/>
      <c r="BW41" s="211"/>
      <c r="BX41" s="211"/>
      <c r="BY41" s="211"/>
      <c r="BZ41" s="211"/>
      <c r="CA41" s="211"/>
      <c r="CB41" s="211"/>
      <c r="CC41" s="211"/>
      <c r="CD41" s="211"/>
      <c r="CE41" s="211"/>
      <c r="CF41" s="211"/>
      <c r="CG41" s="211"/>
      <c r="CH41" s="211"/>
      <c r="CI41" s="211"/>
      <c r="CJ41" s="211"/>
      <c r="CK41" s="211"/>
      <c r="CL41" s="211"/>
      <c r="CM41" s="211"/>
      <c r="CN41" s="211"/>
      <c r="CO41" s="211"/>
      <c r="CP41" s="211"/>
      <c r="CQ41" s="211"/>
      <c r="CR41" s="211"/>
      <c r="CS41" s="211"/>
      <c r="CT41" s="211"/>
      <c r="CU41" s="211"/>
      <c r="CV41" s="211"/>
      <c r="CW41" s="211"/>
    </row>
    <row r="42" spans="1:101" ht="31.5" customHeight="1" x14ac:dyDescent="0.25">
      <c r="A42" s="211"/>
      <c r="B42" s="211"/>
      <c r="C42" s="211"/>
      <c r="D42" s="211"/>
      <c r="E42" s="211"/>
      <c r="F42" s="211"/>
      <c r="G42" s="211"/>
      <c r="H42" s="211"/>
      <c r="I42" s="211"/>
      <c r="J42" s="211"/>
      <c r="K42" s="211"/>
      <c r="L42" s="211"/>
      <c r="M42" s="211"/>
      <c r="N42" s="211"/>
      <c r="O42" s="211"/>
      <c r="P42" s="211"/>
      <c r="Q42" s="211"/>
      <c r="R42" s="211"/>
      <c r="S42" s="211"/>
      <c r="T42" s="211"/>
      <c r="U42" s="211"/>
      <c r="V42" s="211"/>
      <c r="W42" s="211"/>
      <c r="X42" s="211"/>
      <c r="Y42" s="211"/>
      <c r="Z42" s="211"/>
      <c r="AA42" s="211"/>
      <c r="AB42" s="211"/>
      <c r="AC42" s="211"/>
      <c r="AD42" s="211"/>
      <c r="AE42" s="211"/>
      <c r="AF42" s="211"/>
      <c r="AG42" s="211"/>
      <c r="AH42" s="211"/>
      <c r="AI42" s="211"/>
      <c r="AJ42" s="211"/>
      <c r="AK42" s="211"/>
      <c r="AL42" s="211"/>
      <c r="AM42" s="211"/>
      <c r="AN42" s="211"/>
      <c r="AO42" s="211"/>
      <c r="AP42" s="211"/>
      <c r="AQ42" s="211"/>
      <c r="AR42" s="211"/>
      <c r="AS42" s="211"/>
      <c r="AT42" s="211"/>
      <c r="AU42" s="211"/>
      <c r="AV42" s="211"/>
      <c r="AW42" s="211"/>
      <c r="AX42" s="211"/>
      <c r="AY42" s="211"/>
      <c r="AZ42" s="211"/>
      <c r="BA42" s="211"/>
      <c r="BB42" s="211"/>
      <c r="BC42" s="211"/>
      <c r="BD42" s="211"/>
      <c r="BE42" s="211"/>
      <c r="BF42" s="211"/>
      <c r="BG42" s="211"/>
      <c r="BH42" s="211"/>
      <c r="BI42" s="211"/>
      <c r="BJ42" s="211"/>
      <c r="BK42" s="211"/>
      <c r="BL42" s="211"/>
      <c r="BM42" s="211"/>
      <c r="BN42" s="211"/>
      <c r="BO42" s="211"/>
      <c r="BP42" s="211"/>
      <c r="BQ42" s="211"/>
      <c r="BR42" s="211"/>
      <c r="BS42" s="211"/>
      <c r="BT42" s="211"/>
      <c r="BU42" s="211"/>
      <c r="BV42" s="211"/>
      <c r="BW42" s="211"/>
      <c r="BX42" s="211"/>
      <c r="BY42" s="211"/>
      <c r="BZ42" s="211"/>
      <c r="CA42" s="211"/>
      <c r="CB42" s="211"/>
      <c r="CC42" s="211"/>
      <c r="CD42" s="211"/>
      <c r="CE42" s="211"/>
      <c r="CF42" s="211"/>
      <c r="CG42" s="211"/>
      <c r="CH42" s="211"/>
      <c r="CI42" s="211"/>
      <c r="CJ42" s="211"/>
      <c r="CK42" s="211"/>
      <c r="CL42" s="211"/>
      <c r="CM42" s="211"/>
      <c r="CN42" s="211"/>
      <c r="CO42" s="211"/>
      <c r="CP42" s="211"/>
      <c r="CQ42" s="211"/>
      <c r="CR42" s="211"/>
      <c r="CS42" s="211"/>
      <c r="CT42" s="211"/>
      <c r="CU42" s="211"/>
      <c r="CV42" s="211"/>
      <c r="CW42" s="211"/>
    </row>
    <row r="43" spans="1:101" ht="31.5" customHeight="1" x14ac:dyDescent="0.25">
      <c r="A43" s="211"/>
      <c r="B43" s="211"/>
      <c r="C43" s="211"/>
      <c r="D43" s="211"/>
      <c r="E43" s="211"/>
      <c r="F43" s="211"/>
      <c r="G43" s="211"/>
      <c r="H43" s="211"/>
      <c r="I43" s="211"/>
      <c r="J43" s="211"/>
      <c r="K43" s="211"/>
      <c r="L43" s="211"/>
      <c r="M43" s="211"/>
      <c r="N43" s="211"/>
      <c r="O43" s="211"/>
      <c r="P43" s="211"/>
      <c r="Q43" s="211"/>
      <c r="R43" s="211"/>
      <c r="S43" s="211"/>
      <c r="T43" s="211"/>
      <c r="U43" s="211"/>
      <c r="V43" s="211"/>
      <c r="W43" s="211"/>
      <c r="X43" s="211"/>
      <c r="Y43" s="211"/>
      <c r="Z43" s="211"/>
      <c r="AA43" s="211"/>
      <c r="AB43" s="211"/>
      <c r="AC43" s="211"/>
      <c r="AD43" s="211"/>
      <c r="AE43" s="211"/>
      <c r="AF43" s="211"/>
      <c r="AG43" s="211"/>
      <c r="AH43" s="211"/>
      <c r="AI43" s="211"/>
      <c r="AJ43" s="211"/>
      <c r="AK43" s="211"/>
      <c r="AL43" s="211"/>
      <c r="AM43" s="211"/>
      <c r="AN43" s="211"/>
      <c r="AO43" s="211"/>
      <c r="AP43" s="211"/>
      <c r="AQ43" s="211"/>
      <c r="AR43" s="211"/>
      <c r="AS43" s="211"/>
      <c r="AT43" s="211"/>
      <c r="AU43" s="211"/>
      <c r="AV43" s="211"/>
      <c r="AW43" s="211"/>
      <c r="AX43" s="211"/>
      <c r="AY43" s="211"/>
      <c r="AZ43" s="211"/>
      <c r="BA43" s="211"/>
      <c r="BB43" s="211"/>
      <c r="BC43" s="211"/>
      <c r="BD43" s="211"/>
      <c r="BE43" s="211"/>
      <c r="BF43" s="211"/>
      <c r="BG43" s="211"/>
      <c r="BH43" s="211"/>
      <c r="BI43" s="211"/>
      <c r="BJ43" s="211"/>
      <c r="BK43" s="211"/>
      <c r="BL43" s="211"/>
      <c r="BM43" s="211"/>
      <c r="BN43" s="211"/>
      <c r="BO43" s="211"/>
      <c r="BP43" s="211"/>
      <c r="BQ43" s="211"/>
      <c r="BR43" s="211"/>
      <c r="BS43" s="211"/>
      <c r="BT43" s="211"/>
      <c r="BU43" s="211"/>
      <c r="BV43" s="211"/>
      <c r="BW43" s="211"/>
      <c r="BX43" s="211"/>
      <c r="BY43" s="211"/>
      <c r="BZ43" s="211"/>
      <c r="CA43" s="211"/>
      <c r="CB43" s="211"/>
      <c r="CC43" s="211"/>
      <c r="CD43" s="211"/>
      <c r="CE43" s="211"/>
      <c r="CF43" s="211"/>
      <c r="CG43" s="211"/>
      <c r="CH43" s="211"/>
      <c r="CI43" s="211"/>
      <c r="CJ43" s="211"/>
      <c r="CK43" s="211"/>
      <c r="CL43" s="211"/>
      <c r="CM43" s="211"/>
      <c r="CN43" s="211"/>
      <c r="CO43" s="211"/>
      <c r="CP43" s="211"/>
      <c r="CQ43" s="211"/>
      <c r="CR43" s="211"/>
      <c r="CS43" s="211"/>
      <c r="CT43" s="211"/>
      <c r="CU43" s="211"/>
      <c r="CV43" s="211"/>
      <c r="CW43" s="211"/>
    </row>
    <row r="44" spans="1:101" ht="31.5" customHeight="1" x14ac:dyDescent="0.25">
      <c r="A44" s="211"/>
      <c r="B44" s="211"/>
      <c r="C44" s="211"/>
      <c r="D44" s="211"/>
      <c r="E44" s="211"/>
      <c r="F44" s="211"/>
      <c r="G44" s="211"/>
      <c r="H44" s="211"/>
      <c r="I44" s="211"/>
      <c r="J44" s="211"/>
      <c r="K44" s="211"/>
      <c r="L44" s="211"/>
      <c r="M44" s="211"/>
      <c r="N44" s="211"/>
      <c r="O44" s="211"/>
      <c r="P44" s="211"/>
      <c r="Q44" s="211"/>
      <c r="R44" s="211"/>
      <c r="S44" s="211"/>
      <c r="T44" s="211"/>
      <c r="U44" s="211"/>
      <c r="V44" s="211"/>
      <c r="W44" s="211"/>
      <c r="X44" s="211"/>
      <c r="Y44" s="211"/>
      <c r="Z44" s="211"/>
      <c r="AA44" s="211"/>
      <c r="AB44" s="211"/>
      <c r="AC44" s="211"/>
      <c r="AD44" s="211"/>
      <c r="AE44" s="211"/>
      <c r="AF44" s="211"/>
      <c r="AG44" s="211"/>
      <c r="AH44" s="211"/>
      <c r="AI44" s="211"/>
      <c r="AJ44" s="211"/>
      <c r="AK44" s="211"/>
      <c r="AL44" s="211"/>
      <c r="AM44" s="211"/>
      <c r="AN44" s="211"/>
      <c r="AO44" s="211"/>
      <c r="AP44" s="211"/>
      <c r="AQ44" s="211"/>
      <c r="AR44" s="211"/>
      <c r="AS44" s="211"/>
      <c r="AT44" s="211"/>
      <c r="AU44" s="211"/>
      <c r="AV44" s="211"/>
      <c r="AW44" s="211"/>
      <c r="AX44" s="211"/>
      <c r="AY44" s="211"/>
      <c r="AZ44" s="211"/>
      <c r="BA44" s="211"/>
      <c r="BB44" s="211"/>
      <c r="BC44" s="211"/>
      <c r="BD44" s="211"/>
      <c r="BE44" s="211"/>
      <c r="BF44" s="211"/>
      <c r="BG44" s="211"/>
      <c r="BH44" s="211"/>
      <c r="BI44" s="211"/>
      <c r="BJ44" s="211"/>
      <c r="BK44" s="211"/>
      <c r="BL44" s="211"/>
      <c r="BM44" s="211"/>
      <c r="BN44" s="211"/>
      <c r="BO44" s="211"/>
      <c r="BP44" s="211"/>
      <c r="BQ44" s="211"/>
      <c r="BR44" s="211"/>
      <c r="BS44" s="211"/>
      <c r="BT44" s="211"/>
      <c r="BU44" s="211"/>
      <c r="BV44" s="211"/>
      <c r="BW44" s="211"/>
      <c r="BX44" s="211"/>
      <c r="BY44" s="211"/>
      <c r="BZ44" s="211"/>
      <c r="CA44" s="211"/>
      <c r="CB44" s="211"/>
      <c r="CC44" s="211"/>
      <c r="CD44" s="211"/>
      <c r="CE44" s="211"/>
      <c r="CF44" s="211"/>
      <c r="CG44" s="211"/>
      <c r="CH44" s="211"/>
      <c r="CI44" s="211"/>
      <c r="CJ44" s="211"/>
      <c r="CK44" s="211"/>
      <c r="CL44" s="211"/>
      <c r="CM44" s="211"/>
      <c r="CN44" s="211"/>
      <c r="CO44" s="211"/>
      <c r="CP44" s="211"/>
      <c r="CQ44" s="211"/>
      <c r="CR44" s="211"/>
      <c r="CS44" s="211"/>
      <c r="CT44" s="211"/>
      <c r="CU44" s="211"/>
      <c r="CV44" s="211"/>
      <c r="CW44" s="211"/>
    </row>
    <row r="45" spans="1:101" ht="31.5" customHeight="1" x14ac:dyDescent="0.25">
      <c r="Q45"/>
      <c r="BP45"/>
      <c r="BQ45"/>
      <c r="BR45"/>
      <c r="BS45"/>
      <c r="BT45"/>
      <c r="BU45"/>
      <c r="BV45"/>
      <c r="BW45"/>
      <c r="BX45"/>
      <c r="BY45"/>
      <c r="BZ45"/>
      <c r="CA45"/>
      <c r="CB45"/>
      <c r="CC45"/>
      <c r="CD45"/>
      <c r="CE45"/>
      <c r="CF45"/>
      <c r="CG45"/>
      <c r="CH45"/>
      <c r="CI45"/>
      <c r="CJ45"/>
      <c r="CK45"/>
      <c r="CL45"/>
      <c r="CM45"/>
      <c r="CN45"/>
      <c r="CO45"/>
      <c r="CP45"/>
      <c r="CQ45"/>
      <c r="CR45"/>
      <c r="CS45"/>
      <c r="CT45"/>
      <c r="CU45"/>
      <c r="CV45"/>
    </row>
    <row r="46" spans="1:101" ht="31.5" customHeight="1" x14ac:dyDescent="0.25">
      <c r="Q46"/>
      <c r="BP46"/>
      <c r="BQ46"/>
      <c r="BR46"/>
      <c r="BS46"/>
      <c r="BT46"/>
      <c r="BU46"/>
      <c r="BV46"/>
      <c r="BW46"/>
      <c r="BX46"/>
      <c r="BY46"/>
      <c r="BZ46"/>
      <c r="CA46"/>
      <c r="CB46"/>
      <c r="CC46"/>
      <c r="CD46"/>
      <c r="CE46"/>
      <c r="CF46"/>
      <c r="CG46"/>
      <c r="CH46"/>
      <c r="CI46"/>
      <c r="CJ46"/>
      <c r="CK46"/>
      <c r="CL46"/>
      <c r="CM46"/>
      <c r="CN46"/>
      <c r="CO46"/>
      <c r="CP46"/>
      <c r="CQ46"/>
      <c r="CR46"/>
      <c r="CS46"/>
      <c r="CT46"/>
      <c r="CU46"/>
      <c r="CV46"/>
    </row>
    <row r="47" spans="1:101" ht="31.5" customHeight="1" x14ac:dyDescent="0.25">
      <c r="Q47"/>
      <c r="BP47"/>
      <c r="BQ47"/>
      <c r="BR47"/>
      <c r="BS47"/>
      <c r="BT47"/>
      <c r="BU47"/>
      <c r="BV47"/>
      <c r="BW47"/>
      <c r="BX47"/>
      <c r="BY47"/>
      <c r="BZ47"/>
      <c r="CA47"/>
      <c r="CB47"/>
      <c r="CC47"/>
      <c r="CD47"/>
      <c r="CE47"/>
      <c r="CF47"/>
      <c r="CG47"/>
      <c r="CH47"/>
      <c r="CI47"/>
      <c r="CJ47"/>
      <c r="CK47"/>
      <c r="CL47"/>
      <c r="CM47"/>
      <c r="CN47"/>
      <c r="CO47"/>
      <c r="CP47"/>
      <c r="CQ47"/>
      <c r="CR47"/>
      <c r="CS47"/>
      <c r="CT47"/>
      <c r="CU47"/>
      <c r="CV47"/>
    </row>
    <row r="48" spans="1:101" ht="31.5" customHeight="1" x14ac:dyDescent="0.25">
      <c r="Q48"/>
      <c r="BP48"/>
      <c r="BQ48"/>
      <c r="BR48"/>
      <c r="BS48"/>
      <c r="BT48"/>
      <c r="BU48"/>
      <c r="BV48"/>
      <c r="BW48"/>
      <c r="BX48"/>
      <c r="BY48"/>
      <c r="BZ48"/>
      <c r="CA48"/>
      <c r="CB48"/>
      <c r="CC48"/>
      <c r="CD48"/>
      <c r="CE48"/>
      <c r="CF48"/>
      <c r="CG48"/>
      <c r="CH48"/>
      <c r="CI48"/>
      <c r="CJ48"/>
      <c r="CK48"/>
      <c r="CL48"/>
      <c r="CM48"/>
      <c r="CN48"/>
      <c r="CO48"/>
      <c r="CP48"/>
      <c r="CQ48"/>
      <c r="CR48"/>
      <c r="CS48"/>
      <c r="CT48"/>
      <c r="CU48"/>
      <c r="CV48"/>
    </row>
    <row r="49" customFormat="1" ht="31.5" customHeight="1" x14ac:dyDescent="0.25"/>
    <row r="50" customFormat="1" ht="31.5" customHeight="1" x14ac:dyDescent="0.25"/>
    <row r="51" customFormat="1" ht="31.5" customHeight="1" x14ac:dyDescent="0.25"/>
    <row r="52" customFormat="1" ht="31.5" customHeight="1" x14ac:dyDescent="0.25"/>
    <row r="53" customFormat="1" ht="31.5" customHeight="1" x14ac:dyDescent="0.25"/>
    <row r="54" customFormat="1" ht="31.5" customHeight="1" x14ac:dyDescent="0.25"/>
    <row r="55" customFormat="1" ht="31.5" customHeight="1" x14ac:dyDescent="0.25"/>
    <row r="56" customFormat="1" ht="31.5" customHeight="1" x14ac:dyDescent="0.25"/>
    <row r="57" customFormat="1" ht="31.5" customHeight="1" x14ac:dyDescent="0.25"/>
    <row r="58" customFormat="1" ht="31.5" customHeight="1" x14ac:dyDescent="0.25"/>
    <row r="59" customFormat="1" ht="31.5" customHeight="1" x14ac:dyDescent="0.25"/>
    <row r="60" customFormat="1" ht="31.5" customHeight="1" x14ac:dyDescent="0.25"/>
    <row r="61" customFormat="1" ht="31.5" customHeight="1" x14ac:dyDescent="0.25"/>
    <row r="62" customFormat="1" ht="31.5" customHeight="1" x14ac:dyDescent="0.25"/>
    <row r="63" customFormat="1" ht="31.5" customHeight="1" x14ac:dyDescent="0.25"/>
    <row r="64" customFormat="1" ht="31.5" customHeight="1" x14ac:dyDescent="0.25"/>
    <row r="65" customFormat="1" ht="31.5" customHeight="1" x14ac:dyDescent="0.25"/>
    <row r="66" customFormat="1" ht="31.5" customHeight="1" x14ac:dyDescent="0.25"/>
    <row r="67" customFormat="1" ht="31.5" customHeight="1" x14ac:dyDescent="0.25"/>
    <row r="68" customFormat="1" ht="31.5" customHeight="1" x14ac:dyDescent="0.25"/>
    <row r="69" customFormat="1" ht="31.5" customHeight="1" x14ac:dyDescent="0.25"/>
    <row r="70" customFormat="1" ht="31.5" customHeight="1" x14ac:dyDescent="0.25"/>
    <row r="71" customFormat="1" ht="31.5" customHeight="1" x14ac:dyDescent="0.25"/>
    <row r="72" customFormat="1" ht="31.5" customHeight="1" x14ac:dyDescent="0.25"/>
    <row r="73" customFormat="1" ht="31.5" customHeight="1" x14ac:dyDescent="0.25"/>
    <row r="74" customFormat="1" ht="31.5" customHeight="1" x14ac:dyDescent="0.25"/>
    <row r="75" customFormat="1" ht="31.5" customHeight="1" x14ac:dyDescent="0.25"/>
    <row r="76" customFormat="1" ht="31.5" customHeight="1" x14ac:dyDescent="0.25"/>
    <row r="77" customFormat="1" ht="31.5" customHeight="1" x14ac:dyDescent="0.25"/>
    <row r="78" customFormat="1" ht="31.5" customHeight="1" x14ac:dyDescent="0.25"/>
    <row r="79" customFormat="1" ht="31.5" customHeight="1" x14ac:dyDescent="0.25"/>
    <row r="80" customFormat="1" ht="31.5" customHeight="1" x14ac:dyDescent="0.25"/>
    <row r="81" spans="68:100" ht="31.5" customHeight="1" x14ac:dyDescent="0.3">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68:100" ht="31.5" customHeight="1" x14ac:dyDescent="0.3">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68:100" ht="31.5" customHeight="1" x14ac:dyDescent="0.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68:100" ht="31.5" customHeight="1" x14ac:dyDescent="0.3">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68:100" ht="31.5" customHeight="1" x14ac:dyDescent="0.3">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68:100" ht="31.5" customHeight="1" x14ac:dyDescent="0.3">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68:100" ht="31.5" customHeight="1" x14ac:dyDescent="0.3">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68:100" ht="31.5" customHeight="1" x14ac:dyDescent="0.3">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68:100" ht="31.5" customHeight="1" x14ac:dyDescent="0.3">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68:100" ht="31.5" customHeight="1" x14ac:dyDescent="0.3">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68:100" ht="31.5" customHeight="1" x14ac:dyDescent="0.3">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68:100" ht="31.5" customHeight="1" x14ac:dyDescent="0.3">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68:100" ht="31.5" customHeight="1" x14ac:dyDescent="0.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68:100" ht="31.5" customHeight="1" x14ac:dyDescent="0.3">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68:100" ht="31.5" customHeight="1" x14ac:dyDescent="0.3">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68:100" ht="31.5" customHeight="1" x14ac:dyDescent="0.3">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68:100" ht="31.5" customHeight="1" x14ac:dyDescent="0.3">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68:100" ht="31.5" customHeight="1" x14ac:dyDescent="0.3">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68:100" ht="31.5" customHeight="1" x14ac:dyDescent="0.3">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68:100" ht="31.5" customHeight="1" x14ac:dyDescent="0.3">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68:100" ht="31.5" customHeight="1" x14ac:dyDescent="0.3">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68:100" ht="31.5" customHeight="1" x14ac:dyDescent="0.3">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68:100" ht="31.5" customHeight="1" x14ac:dyDescent="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68:100" ht="31.5" customHeight="1" x14ac:dyDescent="0.3">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68:100" ht="31.5" customHeight="1" x14ac:dyDescent="0.3">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68:100" ht="31.5" customHeight="1" x14ac:dyDescent="0.3">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68:100" ht="31.5" customHeight="1" x14ac:dyDescent="0.3">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68:100" ht="31.5" customHeight="1" x14ac:dyDescent="0.3">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68:100" ht="31.5" customHeight="1" x14ac:dyDescent="0.3">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68:100" ht="31.5" customHeight="1" x14ac:dyDescent="0.3">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68:100" ht="31.5" customHeight="1" x14ac:dyDescent="0.3">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68:100" ht="31.5" customHeight="1" x14ac:dyDescent="0.3">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68:100" ht="31.5" customHeight="1" x14ac:dyDescent="0.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68:100" ht="31.5" customHeight="1" x14ac:dyDescent="0.3">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68:100" ht="31.5" customHeight="1" x14ac:dyDescent="0.3">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68:100" ht="31.5" customHeight="1" x14ac:dyDescent="0.3">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68:100" ht="31.5" customHeight="1" x14ac:dyDescent="0.3">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68:100" ht="31.5" customHeight="1" x14ac:dyDescent="0.3">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68:100" ht="31.5" customHeight="1" x14ac:dyDescent="0.3">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68:100" ht="31.5" customHeight="1" x14ac:dyDescent="0.3">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68:100" ht="31.5" customHeight="1" x14ac:dyDescent="0.3">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68:100" ht="31.5" customHeight="1" x14ac:dyDescent="0.3">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68:100" ht="31.5" customHeight="1" x14ac:dyDescent="0.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68:100" ht="31.5" customHeight="1" x14ac:dyDescent="0.3">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68:100" ht="31.5" customHeight="1" x14ac:dyDescent="0.3">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68:100" ht="31.5" customHeight="1" x14ac:dyDescent="0.3">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68:100" ht="31.5" customHeight="1" x14ac:dyDescent="0.3">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68:100" ht="31.5" customHeight="1" x14ac:dyDescent="0.3">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68:100" ht="31.5" customHeight="1" x14ac:dyDescent="0.3">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68:100" ht="31.5" customHeight="1" x14ac:dyDescent="0.3">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68:100" ht="31.5" customHeight="1" x14ac:dyDescent="0.3">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68:100" ht="31.5" customHeight="1" x14ac:dyDescent="0.3">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68:100" ht="31.5" customHeight="1" x14ac:dyDescent="0.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68:100" ht="31.5" customHeight="1" x14ac:dyDescent="0.3">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68:100" ht="31.5" customHeight="1" x14ac:dyDescent="0.3">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68:100" ht="31.5" customHeight="1" x14ac:dyDescent="0.3">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68:100" ht="31.5" customHeight="1" x14ac:dyDescent="0.3">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68:100" ht="31.5" customHeight="1" x14ac:dyDescent="0.3">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68:100" ht="31.5" customHeight="1" x14ac:dyDescent="0.3">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68:100" ht="31.5" customHeight="1" x14ac:dyDescent="0.3">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68:100" ht="31.5" customHeight="1" x14ac:dyDescent="0.3">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68:100" ht="31.5" customHeight="1" x14ac:dyDescent="0.3">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68:100" ht="31.5" customHeight="1" x14ac:dyDescent="0.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68:100" ht="31.5" customHeight="1" x14ac:dyDescent="0.3">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68:100" ht="31.5" customHeight="1" x14ac:dyDescent="0.3">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68:100" ht="31.5" customHeight="1" x14ac:dyDescent="0.3">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68:100" ht="31.5" customHeight="1" x14ac:dyDescent="0.3">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68:100" ht="31.5" customHeight="1" x14ac:dyDescent="0.3">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68:100" ht="31.5" customHeight="1" x14ac:dyDescent="0.3">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68:100" ht="31.5" customHeight="1" x14ac:dyDescent="0.3">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68:100" ht="31.5" customHeight="1" x14ac:dyDescent="0.3">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68:100" ht="31.5" customHeight="1" x14ac:dyDescent="0.3">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68:100" ht="31.5" customHeight="1" x14ac:dyDescent="0.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68:100" ht="31.5" customHeight="1" x14ac:dyDescent="0.3">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68:100" ht="31.5" customHeight="1" x14ac:dyDescent="0.3">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68:100" ht="31.5" customHeight="1" x14ac:dyDescent="0.3">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68:100" ht="31.5" customHeight="1" x14ac:dyDescent="0.3">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68:100" ht="31.5" customHeight="1" x14ac:dyDescent="0.3">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68:100" ht="31.5" customHeight="1" x14ac:dyDescent="0.3">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68:100" ht="31.5" customHeight="1" x14ac:dyDescent="0.3">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68:100" ht="31.5" customHeight="1" x14ac:dyDescent="0.3">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68:100" ht="31.5" customHeight="1" x14ac:dyDescent="0.3">
      <c r="BR162" s="1"/>
    </row>
    <row r="163" spans="68:100" ht="31.5" customHeight="1" x14ac:dyDescent="0.3">
      <c r="BR163" s="1"/>
    </row>
    <row r="164" spans="68:100" ht="31.5" customHeight="1" x14ac:dyDescent="0.3">
      <c r="BR164" s="1"/>
    </row>
    <row r="165" spans="68:100" ht="31.5" customHeight="1" x14ac:dyDescent="0.3">
      <c r="BR165" s="1"/>
    </row>
    <row r="166" spans="68:100" ht="31.5" customHeight="1" x14ac:dyDescent="0.3">
      <c r="BR166" s="1"/>
    </row>
    <row r="167" spans="68:100" ht="31.5" customHeight="1" x14ac:dyDescent="0.3">
      <c r="BR167" s="1"/>
    </row>
    <row r="168" spans="68:100" ht="31.5" customHeight="1" x14ac:dyDescent="0.3">
      <c r="BR168" s="1"/>
    </row>
    <row r="169" spans="68:100" ht="31.5" customHeight="1" x14ac:dyDescent="0.3">
      <c r="BR169" s="1"/>
    </row>
    <row r="170" spans="68:100" ht="31.5" customHeight="1" x14ac:dyDescent="0.3">
      <c r="BR170" s="1"/>
    </row>
    <row r="171" spans="68:100" ht="31.5" customHeight="1" x14ac:dyDescent="0.3">
      <c r="BR171" s="1"/>
    </row>
    <row r="172" spans="68:100" ht="31.5" customHeight="1" x14ac:dyDescent="0.3">
      <c r="BR172" s="1"/>
    </row>
    <row r="173" spans="68:100" ht="31.5" customHeight="1" x14ac:dyDescent="0.3">
      <c r="BR173" s="1"/>
    </row>
    <row r="174" spans="68:100" ht="31.5" customHeight="1" x14ac:dyDescent="0.3">
      <c r="BR174" s="1"/>
    </row>
    <row r="175" spans="68:100" ht="31.5" customHeight="1" x14ac:dyDescent="0.3">
      <c r="BR175" s="1"/>
    </row>
    <row r="176" spans="68:100" ht="31.5" customHeight="1" x14ac:dyDescent="0.3">
      <c r="BR176" s="1"/>
    </row>
    <row r="177" spans="70:70" ht="31.5" customHeight="1" x14ac:dyDescent="0.3">
      <c r="BR177" s="1"/>
    </row>
    <row r="178" spans="70:70" ht="31.5" customHeight="1" x14ac:dyDescent="0.3">
      <c r="BR178" s="1"/>
    </row>
    <row r="179" spans="70:70" ht="31.5" customHeight="1" x14ac:dyDescent="0.3">
      <c r="BR179" s="1"/>
    </row>
    <row r="180" spans="70:70" ht="31.5" customHeight="1" x14ac:dyDescent="0.3">
      <c r="BR180" s="1"/>
    </row>
    <row r="181" spans="70:70" ht="31.5" customHeight="1" x14ac:dyDescent="0.3">
      <c r="BR181" s="1"/>
    </row>
    <row r="182" spans="70:70" ht="31.5" customHeight="1" x14ac:dyDescent="0.3">
      <c r="BR182" s="1"/>
    </row>
    <row r="183" spans="70:70" ht="31.5" customHeight="1" x14ac:dyDescent="0.3">
      <c r="BR183" s="1"/>
    </row>
    <row r="184" spans="70:70" ht="31.5" customHeight="1" x14ac:dyDescent="0.3">
      <c r="BR184" s="1"/>
    </row>
    <row r="185" spans="70:70" ht="31.5" customHeight="1" x14ac:dyDescent="0.3">
      <c r="BR185" s="1"/>
    </row>
    <row r="186" spans="70:70" ht="31.5" customHeight="1" x14ac:dyDescent="0.3">
      <c r="BR186" s="1"/>
    </row>
    <row r="187" spans="70:70" ht="31.5" customHeight="1" x14ac:dyDescent="0.3">
      <c r="BR187" s="1"/>
    </row>
    <row r="188" spans="70:70" ht="31.5" customHeight="1" x14ac:dyDescent="0.3">
      <c r="BR188" s="1"/>
    </row>
    <row r="189" spans="70:70" ht="31.5" customHeight="1" x14ac:dyDescent="0.3">
      <c r="BR189" s="1"/>
    </row>
    <row r="190" spans="70:70" ht="31.5" customHeight="1" x14ac:dyDescent="0.3">
      <c r="BR190" s="1"/>
    </row>
    <row r="191" spans="70:70" ht="31.5" customHeight="1" x14ac:dyDescent="0.3">
      <c r="BR191" s="1"/>
    </row>
    <row r="192" spans="70:70" ht="31.5" customHeight="1" x14ac:dyDescent="0.3">
      <c r="BR192" s="1"/>
    </row>
    <row r="193" spans="70:70" ht="31.5" customHeight="1" x14ac:dyDescent="0.3">
      <c r="BR193" s="1"/>
    </row>
    <row r="194" spans="70:70" ht="31.5" customHeight="1" x14ac:dyDescent="0.3">
      <c r="BR194" s="1"/>
    </row>
    <row r="195" spans="70:70" ht="31.5" customHeight="1" x14ac:dyDescent="0.3">
      <c r="BR195" s="1"/>
    </row>
    <row r="196" spans="70:70" ht="31.5" customHeight="1" x14ac:dyDescent="0.3">
      <c r="BR196" s="1"/>
    </row>
    <row r="197" spans="70:70" ht="31.5" customHeight="1" x14ac:dyDescent="0.3">
      <c r="BR197" s="1"/>
    </row>
    <row r="198" spans="70:70" ht="31.5" customHeight="1" x14ac:dyDescent="0.3">
      <c r="BR198" s="1"/>
    </row>
    <row r="199" spans="70:70" ht="31.5" customHeight="1" x14ac:dyDescent="0.3">
      <c r="BR199" s="1"/>
    </row>
    <row r="200" spans="70:70" ht="31.5" customHeight="1" x14ac:dyDescent="0.3">
      <c r="BR200" s="1"/>
    </row>
    <row r="201" spans="70:70" ht="31.5" customHeight="1" x14ac:dyDescent="0.3">
      <c r="BR201" s="1"/>
    </row>
    <row r="202" spans="70:70" ht="31.5" customHeight="1" x14ac:dyDescent="0.3">
      <c r="BR202" s="1"/>
    </row>
    <row r="203" spans="70:70" ht="31.5" customHeight="1" x14ac:dyDescent="0.3">
      <c r="BR203" s="1"/>
    </row>
    <row r="204" spans="70:70" ht="31.5" customHeight="1" x14ac:dyDescent="0.3">
      <c r="BR204" s="1"/>
    </row>
  </sheetData>
  <autoFilter ref="E1:CV28" xr:uid="{00000000-0009-0000-0000-000008000000}">
    <sortState xmlns:xlrd2="http://schemas.microsoft.com/office/spreadsheetml/2017/richdata2" ref="E2:CV28">
      <sortCondition descending="1" ref="AB1:AB28"/>
    </sortState>
  </autoFilter>
  <mergeCells count="1">
    <mergeCell ref="A14:B14"/>
  </mergeCells>
  <phoneticPr fontId="52" type="noConversion"/>
  <conditionalFormatting sqref="F2:F12">
    <cfRule type="colorScale" priority="153">
      <colorScale>
        <cfvo type="min"/>
        <cfvo type="percentile" val="50"/>
        <cfvo type="max"/>
        <color rgb="FFF8696B"/>
        <color rgb="FFFFEB84"/>
        <color rgb="FF63BE7B"/>
      </colorScale>
    </cfRule>
  </conditionalFormatting>
  <conditionalFormatting sqref="BI1:BI12 BI81:BI1048576">
    <cfRule type="colorScale" priority="148">
      <colorScale>
        <cfvo type="min"/>
        <cfvo type="percentile" val="50"/>
        <cfvo type="max"/>
        <color rgb="FFF8696B"/>
        <color rgb="FFFFEB84"/>
        <color rgb="FF63BE7B"/>
      </colorScale>
    </cfRule>
  </conditionalFormatting>
  <conditionalFormatting sqref="G2:G12">
    <cfRule type="colorScale" priority="143">
      <colorScale>
        <cfvo type="min"/>
        <cfvo type="percentile" val="50"/>
        <cfvo type="max"/>
        <color rgb="FFF8696B"/>
        <color rgb="FFFFEB84"/>
        <color rgb="FF63BE7B"/>
      </colorScale>
    </cfRule>
    <cfRule type="colorScale" priority="144">
      <colorScale>
        <cfvo type="min"/>
        <cfvo type="max"/>
        <color rgb="FFFCFCFF"/>
        <color rgb="FF63BE7B"/>
      </colorScale>
    </cfRule>
  </conditionalFormatting>
  <conditionalFormatting sqref="D1:E1 D23:E1048576 D13:E13 D2:D12 E14:E19 E22">
    <cfRule type="colorScale" priority="142">
      <colorScale>
        <cfvo type="min"/>
        <cfvo type="percentile" val="50"/>
        <cfvo type="max"/>
        <color rgb="FFF8696B"/>
        <color rgb="FFFFEB84"/>
        <color rgb="FF63BE7B"/>
      </colorScale>
    </cfRule>
  </conditionalFormatting>
  <conditionalFormatting sqref="C1:C13 C18 C23:C1048576">
    <cfRule type="colorScale" priority="141">
      <colorScale>
        <cfvo type="min"/>
        <cfvo type="percentile" val="50"/>
        <cfvo type="max"/>
        <color rgb="FFF8696B"/>
        <color rgb="FFFFEB84"/>
        <color rgb="FF63BE7B"/>
      </colorScale>
    </cfRule>
  </conditionalFormatting>
  <conditionalFormatting sqref="BH1:BH12 BH81:BH1048576">
    <cfRule type="colorScale" priority="140">
      <colorScale>
        <cfvo type="min"/>
        <cfvo type="percentile" val="50"/>
        <cfvo type="max"/>
        <color rgb="FFF8696B"/>
        <color rgb="FFFFEB84"/>
        <color rgb="FF63BE7B"/>
      </colorScale>
    </cfRule>
  </conditionalFormatting>
  <conditionalFormatting sqref="A18">
    <cfRule type="colorScale" priority="139">
      <colorScale>
        <cfvo type="min"/>
        <cfvo type="percentile" val="50"/>
        <cfvo type="max"/>
        <color rgb="FFF8696B"/>
        <color rgb="FFFFEB84"/>
        <color rgb="FF63BE7B"/>
      </colorScale>
    </cfRule>
  </conditionalFormatting>
  <conditionalFormatting sqref="A19">
    <cfRule type="colorScale" priority="138">
      <colorScale>
        <cfvo type="min"/>
        <cfvo type="percentile" val="50"/>
        <cfvo type="max"/>
        <color rgb="FFF8696B"/>
        <color rgb="FFFFEB84"/>
        <color rgb="FF63BE7B"/>
      </colorScale>
    </cfRule>
  </conditionalFormatting>
  <conditionalFormatting sqref="A20">
    <cfRule type="colorScale" priority="137">
      <colorScale>
        <cfvo type="min"/>
        <cfvo type="percentile" val="50"/>
        <cfvo type="max"/>
        <color rgb="FFF8696B"/>
        <color rgb="FFFFEB84"/>
        <color rgb="FF63BE7B"/>
      </colorScale>
    </cfRule>
  </conditionalFormatting>
  <conditionalFormatting sqref="A20">
    <cfRule type="colorScale" priority="136">
      <colorScale>
        <cfvo type="min"/>
        <cfvo type="percentile" val="50"/>
        <cfvo type="max"/>
        <color rgb="FFF8696B"/>
        <color rgb="FFFFEB84"/>
        <color rgb="FF63BE7B"/>
      </colorScale>
    </cfRule>
  </conditionalFormatting>
  <conditionalFormatting sqref="A21">
    <cfRule type="colorScale" priority="135">
      <colorScale>
        <cfvo type="min"/>
        <cfvo type="percentile" val="50"/>
        <cfvo type="max"/>
        <color rgb="FFF8696B"/>
        <color rgb="FFFFEB84"/>
        <color rgb="FF63BE7B"/>
      </colorScale>
    </cfRule>
  </conditionalFormatting>
  <conditionalFormatting sqref="A21">
    <cfRule type="colorScale" priority="134">
      <colorScale>
        <cfvo type="min"/>
        <cfvo type="percentile" val="50"/>
        <cfvo type="max"/>
        <color rgb="FFF8696B"/>
        <color rgb="FFFFEB84"/>
        <color rgb="FF63BE7B"/>
      </colorScale>
    </cfRule>
  </conditionalFormatting>
  <conditionalFormatting sqref="A22">
    <cfRule type="colorScale" priority="133">
      <colorScale>
        <cfvo type="min"/>
        <cfvo type="percentile" val="50"/>
        <cfvo type="max"/>
        <color rgb="FFF8696B"/>
        <color rgb="FFFFEB84"/>
        <color rgb="FF63BE7B"/>
      </colorScale>
    </cfRule>
  </conditionalFormatting>
  <conditionalFormatting sqref="A22">
    <cfRule type="colorScale" priority="132">
      <colorScale>
        <cfvo type="min"/>
        <cfvo type="percentile" val="50"/>
        <cfvo type="max"/>
        <color rgb="FFF8696B"/>
        <color rgb="FFFFEB84"/>
        <color rgb="FF63BE7B"/>
      </colorScale>
    </cfRule>
  </conditionalFormatting>
  <conditionalFormatting sqref="C14">
    <cfRule type="colorScale" priority="131">
      <colorScale>
        <cfvo type="min"/>
        <cfvo type="max"/>
        <color rgb="FFFFEF9C"/>
        <color rgb="FF63BE7B"/>
      </colorScale>
    </cfRule>
  </conditionalFormatting>
  <conditionalFormatting sqref="C19">
    <cfRule type="colorScale" priority="130">
      <colorScale>
        <cfvo type="min"/>
        <cfvo type="percentile" val="50"/>
        <cfvo type="max"/>
        <color rgb="FFF8696B"/>
        <color rgb="FFFFEB84"/>
        <color rgb="FF63BE7B"/>
      </colorScale>
    </cfRule>
  </conditionalFormatting>
  <conditionalFormatting sqref="C20">
    <cfRule type="colorScale" priority="129">
      <colorScale>
        <cfvo type="min"/>
        <cfvo type="percentile" val="50"/>
        <cfvo type="max"/>
        <color rgb="FF63BE7B"/>
        <color rgb="FFFFEB84"/>
        <color rgb="FFF8696B"/>
      </colorScale>
    </cfRule>
  </conditionalFormatting>
  <conditionalFormatting sqref="C20">
    <cfRule type="colorScale" priority="128">
      <colorScale>
        <cfvo type="min"/>
        <cfvo type="percentile" val="50"/>
        <cfvo type="max"/>
        <color rgb="FFF8696B"/>
        <color rgb="FFFFEB84"/>
        <color rgb="FF63BE7B"/>
      </colorScale>
    </cfRule>
  </conditionalFormatting>
  <conditionalFormatting sqref="C15">
    <cfRule type="colorScale" priority="127">
      <colorScale>
        <cfvo type="min"/>
        <cfvo type="max"/>
        <color rgb="FFFFEF9C"/>
        <color rgb="FF63BE7B"/>
      </colorScale>
    </cfRule>
  </conditionalFormatting>
  <conditionalFormatting sqref="C16">
    <cfRule type="colorScale" priority="126">
      <colorScale>
        <cfvo type="min"/>
        <cfvo type="max"/>
        <color rgb="FFFFEF9C"/>
        <color rgb="FF63BE7B"/>
      </colorScale>
    </cfRule>
  </conditionalFormatting>
  <conditionalFormatting sqref="C17">
    <cfRule type="colorScale" priority="125">
      <colorScale>
        <cfvo type="min"/>
        <cfvo type="percentile" val="50"/>
        <cfvo type="max"/>
        <color rgb="FFF8696B"/>
        <color rgb="FFFFEB84"/>
        <color rgb="FF63BE7B"/>
      </colorScale>
    </cfRule>
  </conditionalFormatting>
  <conditionalFormatting sqref="C18">
    <cfRule type="colorScale" priority="124">
      <colorScale>
        <cfvo type="min"/>
        <cfvo type="percentile" val="50"/>
        <cfvo type="max"/>
        <color rgb="FFF8696B"/>
        <color rgb="FFFFEB84"/>
        <color rgb="FF63BE7B"/>
      </colorScale>
    </cfRule>
  </conditionalFormatting>
  <conditionalFormatting sqref="C19">
    <cfRule type="colorScale" priority="123">
      <colorScale>
        <cfvo type="min"/>
        <cfvo type="percentile" val="50"/>
        <cfvo type="max"/>
        <color rgb="FF63BE7B"/>
        <color rgb="FFFFEB84"/>
        <color rgb="FFF8696B"/>
      </colorScale>
    </cfRule>
  </conditionalFormatting>
  <conditionalFormatting sqref="C19">
    <cfRule type="colorScale" priority="122">
      <colorScale>
        <cfvo type="min"/>
        <cfvo type="percentile" val="50"/>
        <cfvo type="max"/>
        <color rgb="FFF8696B"/>
        <color rgb="FFFFEB84"/>
        <color rgb="FF63BE7B"/>
      </colorScale>
    </cfRule>
  </conditionalFormatting>
  <conditionalFormatting sqref="D14">
    <cfRule type="colorScale" priority="121">
      <colorScale>
        <cfvo type="num" val="0"/>
        <cfvo type="num" val="28"/>
        <cfvo type="num" val="30.1"/>
        <color theme="9" tint="0.39997558519241921"/>
        <color theme="7" tint="0.39997558519241921"/>
        <color theme="5" tint="0.39997558519241921"/>
      </colorScale>
    </cfRule>
  </conditionalFormatting>
  <conditionalFormatting sqref="C21">
    <cfRule type="colorScale" priority="120">
      <colorScale>
        <cfvo type="min"/>
        <cfvo type="percentile" val="50"/>
        <cfvo type="max"/>
        <color rgb="FFF8696B"/>
        <color rgb="FFFFEB84"/>
        <color rgb="FF63BE7B"/>
      </colorScale>
    </cfRule>
  </conditionalFormatting>
  <conditionalFormatting sqref="I2:I12">
    <cfRule type="colorScale" priority="118">
      <colorScale>
        <cfvo type="min"/>
        <cfvo type="percentile" val="50"/>
        <cfvo type="max"/>
        <color rgb="FFF8696B"/>
        <color rgb="FFFFEB84"/>
        <color rgb="FF63BE7B"/>
      </colorScale>
    </cfRule>
    <cfRule type="colorScale" priority="119">
      <colorScale>
        <cfvo type="min"/>
        <cfvo type="max"/>
        <color rgb="FFFCFCFF"/>
        <color rgb="FF63BE7B"/>
      </colorScale>
    </cfRule>
  </conditionalFormatting>
  <conditionalFormatting sqref="I1:I12 I45:I1048576">
    <cfRule type="colorScale" priority="117">
      <colorScale>
        <cfvo type="min"/>
        <cfvo type="percentile" val="50"/>
        <cfvo type="max"/>
        <color rgb="FFF8696B"/>
        <color rgb="FFFFEB84"/>
        <color rgb="FF63BE7B"/>
      </colorScale>
    </cfRule>
  </conditionalFormatting>
  <conditionalFormatting sqref="H1:H12 H45:H1048576">
    <cfRule type="colorScale" priority="116">
      <colorScale>
        <cfvo type="min"/>
        <cfvo type="max"/>
        <color rgb="FFFCFCFF"/>
        <color rgb="FFF8696B"/>
      </colorScale>
    </cfRule>
  </conditionalFormatting>
  <conditionalFormatting sqref="E2:E12">
    <cfRule type="colorScale" priority="115">
      <colorScale>
        <cfvo type="min"/>
        <cfvo type="percentile" val="50"/>
        <cfvo type="max"/>
        <color rgb="FFF8696B"/>
        <color rgb="FFFFEB84"/>
        <color rgb="FF63BE7B"/>
      </colorScale>
    </cfRule>
  </conditionalFormatting>
  <conditionalFormatting sqref="E2:E12">
    <cfRule type="colorScale" priority="114">
      <colorScale>
        <cfvo type="min"/>
        <cfvo type="percentile" val="50"/>
        <cfvo type="max"/>
        <color rgb="FFF8696B"/>
        <color rgb="FFFFEB84"/>
        <color rgb="FF63BE7B"/>
      </colorScale>
    </cfRule>
  </conditionalFormatting>
  <conditionalFormatting sqref="E22:E1048576 E1:E19">
    <cfRule type="colorScale" priority="112">
      <colorScale>
        <cfvo type="num" val="1.69"/>
        <cfvo type="num" val="1.75"/>
        <cfvo type="num" val="1.83"/>
        <color rgb="FFF8696B"/>
        <color rgb="FFFFEB84"/>
        <color rgb="FF63BE7B"/>
      </colorScale>
    </cfRule>
    <cfRule type="colorScale" priority="113">
      <colorScale>
        <cfvo type="min"/>
        <cfvo type="percentile" val="50"/>
        <cfvo type="max"/>
        <color rgb="FFF8696B"/>
        <color rgb="FFFFEB84"/>
        <color rgb="FF63BE7B"/>
      </colorScale>
    </cfRule>
  </conditionalFormatting>
  <conditionalFormatting sqref="D1:D13 D15:D1048576">
    <cfRule type="colorScale" priority="111">
      <colorScale>
        <cfvo type="min"/>
        <cfvo type="percentile" val="50"/>
        <cfvo type="max"/>
        <color rgb="FFF8696B"/>
        <color rgb="FFFFEB84"/>
        <color rgb="FF63BE7B"/>
      </colorScale>
    </cfRule>
  </conditionalFormatting>
  <conditionalFormatting sqref="F1:F19 F22:F1048576">
    <cfRule type="colorScale" priority="110">
      <colorScale>
        <cfvo type="min"/>
        <cfvo type="percentile" val="50"/>
        <cfvo type="max"/>
        <color rgb="FFF8696B"/>
        <color rgb="FFFFEB84"/>
        <color rgb="FF63BE7B"/>
      </colorScale>
    </cfRule>
  </conditionalFormatting>
  <conditionalFormatting sqref="C22">
    <cfRule type="colorScale" priority="109">
      <colorScale>
        <cfvo type="min"/>
        <cfvo type="percentile" val="50"/>
        <cfvo type="max"/>
        <color rgb="FFF8696B"/>
        <color rgb="FFFFEB84"/>
        <color rgb="FF63BE7B"/>
      </colorScale>
    </cfRule>
  </conditionalFormatting>
  <conditionalFormatting sqref="C22">
    <cfRule type="colorScale" priority="107">
      <colorScale>
        <cfvo type="num" val="1.69"/>
        <cfvo type="num" val="1.75"/>
        <cfvo type="num" val="1.83"/>
        <color rgb="FFF8696B"/>
        <color rgb="FFFFEB84"/>
        <color rgb="FF63BE7B"/>
      </colorScale>
    </cfRule>
    <cfRule type="colorScale" priority="108">
      <colorScale>
        <cfvo type="min"/>
        <cfvo type="percentile" val="50"/>
        <cfvo type="max"/>
        <color rgb="FFF8696B"/>
        <color rgb="FFFFEB84"/>
        <color rgb="FF63BE7B"/>
      </colorScale>
    </cfRule>
  </conditionalFormatting>
  <conditionalFormatting sqref="D2:D12">
    <cfRule type="dataBar" priority="105">
      <dataBar>
        <cfvo type="min"/>
        <cfvo type="max"/>
        <color rgb="FF63C384"/>
      </dataBar>
      <extLst>
        <ext xmlns:x14="http://schemas.microsoft.com/office/spreadsheetml/2009/9/main" uri="{B025F937-C7B1-47D3-B67F-A62EFF666E3E}">
          <x14:id>{5993D631-B0C2-483A-9601-6A7EC078B582}</x14:id>
        </ext>
      </extLst>
    </cfRule>
    <cfRule type="colorScale" priority="106">
      <colorScale>
        <cfvo type="min"/>
        <cfvo type="percentile" val="50"/>
        <cfvo type="max"/>
        <color rgb="FFF8696B"/>
        <color rgb="FFFFEB84"/>
        <color rgb="FF63BE7B"/>
      </colorScale>
    </cfRule>
  </conditionalFormatting>
  <conditionalFormatting sqref="D15:D22">
    <cfRule type="colorScale" priority="104">
      <colorScale>
        <cfvo type="min"/>
        <cfvo type="percentile" val="50"/>
        <cfvo type="max"/>
        <color theme="7" tint="0.79998168889431442"/>
        <color theme="7" tint="0.79998168889431442"/>
        <color theme="7" tint="0.79998168889431442"/>
      </colorScale>
    </cfRule>
  </conditionalFormatting>
  <conditionalFormatting sqref="D22">
    <cfRule type="colorScale" priority="103">
      <colorScale>
        <cfvo type="num" val="1.69"/>
        <cfvo type="num" val="1.75"/>
        <cfvo type="num" val="1.83"/>
        <color rgb="FFF8696B"/>
        <color rgb="FFFFEB84"/>
        <color rgb="FF63BE7B"/>
      </colorScale>
    </cfRule>
  </conditionalFormatting>
  <conditionalFormatting sqref="U1">
    <cfRule type="iconSet" priority="100">
      <iconSet iconSet="5Arrows">
        <cfvo type="percent" val="0"/>
        <cfvo type="percent" val="20"/>
        <cfvo type="percent" val="40"/>
        <cfvo type="percent" val="60"/>
        <cfvo type="percent" val="80"/>
      </iconSet>
    </cfRule>
    <cfRule type="colorScale" priority="101">
      <colorScale>
        <cfvo type="min"/>
        <cfvo type="percentile" val="50"/>
        <cfvo type="max"/>
        <color rgb="FFF8696B"/>
        <color rgb="FFFFEB84"/>
        <color rgb="FF63BE7B"/>
      </colorScale>
    </cfRule>
    <cfRule type="colorScale" priority="102">
      <colorScale>
        <cfvo type="min"/>
        <cfvo type="max"/>
        <color rgb="FFFFEF9C"/>
        <color rgb="FF63BE7B"/>
      </colorScale>
    </cfRule>
  </conditionalFormatting>
  <conditionalFormatting sqref="V1">
    <cfRule type="iconSet" priority="98">
      <iconSet iconSet="5Arrows">
        <cfvo type="percent" val="0"/>
        <cfvo type="percent" val="20"/>
        <cfvo type="percent" val="40"/>
        <cfvo type="percent" val="60"/>
        <cfvo type="percent" val="80"/>
      </iconSet>
    </cfRule>
    <cfRule type="colorScale" priority="99">
      <colorScale>
        <cfvo type="min"/>
        <cfvo type="percentile" val="50"/>
        <cfvo type="max"/>
        <color rgb="FFF8696B"/>
        <color rgb="FFFFEB84"/>
        <color rgb="FF63BE7B"/>
      </colorScale>
    </cfRule>
  </conditionalFormatting>
  <conditionalFormatting sqref="U1:V1">
    <cfRule type="colorScale" priority="97">
      <colorScale>
        <cfvo type="min"/>
        <cfvo type="percentile" val="50"/>
        <cfvo type="max"/>
        <color rgb="FF63BE7B"/>
        <color rgb="FFFFEB84"/>
        <color rgb="FFF8696B"/>
      </colorScale>
    </cfRule>
  </conditionalFormatting>
  <conditionalFormatting sqref="U1:V1">
    <cfRule type="colorScale" priority="96">
      <colorScale>
        <cfvo type="min"/>
        <cfvo type="percentile" val="50"/>
        <cfvo type="max"/>
        <color rgb="FFF8696B"/>
        <color rgb="FFFFEB84"/>
        <color rgb="FF63BE7B"/>
      </colorScale>
    </cfRule>
  </conditionalFormatting>
  <conditionalFormatting sqref="U1">
    <cfRule type="colorScale" priority="95">
      <colorScale>
        <cfvo type="min"/>
        <cfvo type="percentile" val="50"/>
        <cfvo type="max"/>
        <color rgb="FFF8696B"/>
        <color rgb="FFFFEB84"/>
        <color rgb="FF63BE7B"/>
      </colorScale>
    </cfRule>
  </conditionalFormatting>
  <conditionalFormatting sqref="W1">
    <cfRule type="iconSet" priority="93">
      <iconSet iconSet="5Arrows">
        <cfvo type="percent" val="0"/>
        <cfvo type="percent" val="20"/>
        <cfvo type="percent" val="40"/>
        <cfvo type="percent" val="60"/>
        <cfvo type="percent" val="80"/>
      </iconSet>
    </cfRule>
    <cfRule type="colorScale" priority="94">
      <colorScale>
        <cfvo type="min"/>
        <cfvo type="percentile" val="50"/>
        <cfvo type="max"/>
        <color rgb="FFF8696B"/>
        <color rgb="FFFFEB84"/>
        <color rgb="FF63BE7B"/>
      </colorScale>
    </cfRule>
  </conditionalFormatting>
  <conditionalFormatting sqref="U1:W1">
    <cfRule type="colorScale" priority="92">
      <colorScale>
        <cfvo type="min"/>
        <cfvo type="percentile" val="50"/>
        <cfvo type="max"/>
        <color rgb="FFF8696B"/>
        <color rgb="FFFFEB84"/>
        <color rgb="FF63BE7B"/>
      </colorScale>
    </cfRule>
  </conditionalFormatting>
  <conditionalFormatting sqref="W1:W12 W81:W1048576">
    <cfRule type="colorScale" priority="91">
      <colorScale>
        <cfvo type="min"/>
        <cfvo type="percentile" val="50"/>
        <cfvo type="max"/>
        <color rgb="FFF8696B"/>
        <color rgb="FFFFEB84"/>
        <color rgb="FF63BE7B"/>
      </colorScale>
    </cfRule>
  </conditionalFormatting>
  <conditionalFormatting sqref="V1:V12 V81:V1048576">
    <cfRule type="iconSet" priority="89">
      <iconSet iconSet="5Arrows">
        <cfvo type="percent" val="0"/>
        <cfvo type="percent" val="20"/>
        <cfvo type="percent" val="40"/>
        <cfvo type="percent" val="60"/>
        <cfvo type="percent" val="80"/>
      </iconSet>
    </cfRule>
    <cfRule type="colorScale" priority="90">
      <colorScale>
        <cfvo type="min"/>
        <cfvo type="percentile" val="50"/>
        <cfvo type="max"/>
        <color rgb="FFF8696B"/>
        <color rgb="FFFFEB84"/>
        <color rgb="FF63BE7B"/>
      </colorScale>
    </cfRule>
  </conditionalFormatting>
  <conditionalFormatting sqref="U1:U12 U81:U1048576">
    <cfRule type="iconSet" priority="87">
      <iconSet iconSet="5Arrows">
        <cfvo type="percent" val="0"/>
        <cfvo type="percent" val="20"/>
        <cfvo type="percent" val="40"/>
        <cfvo type="percent" val="60"/>
        <cfvo type="percent" val="80"/>
      </iconSet>
    </cfRule>
    <cfRule type="colorScale" priority="88">
      <colorScale>
        <cfvo type="min"/>
        <cfvo type="percentile" val="50"/>
        <cfvo type="max"/>
        <color rgb="FFF8696B"/>
        <color rgb="FFFFEB84"/>
        <color rgb="FF63BE7B"/>
      </colorScale>
    </cfRule>
  </conditionalFormatting>
  <conditionalFormatting sqref="C2:C12">
    <cfRule type="dataBar" priority="86">
      <dataBar>
        <cfvo type="min"/>
        <cfvo type="max"/>
        <color rgb="FF63C384"/>
      </dataBar>
      <extLst>
        <ext xmlns:x14="http://schemas.microsoft.com/office/spreadsheetml/2009/9/main" uri="{B025F937-C7B1-47D3-B67F-A62EFF666E3E}">
          <x14:id>{3A8E6B43-326A-4A74-9DBC-9B58B976B06C}</x14:id>
        </ext>
      </extLst>
    </cfRule>
  </conditionalFormatting>
  <conditionalFormatting sqref="X81:X1048576 X1:X12">
    <cfRule type="dataBar" priority="84">
      <dataBar>
        <cfvo type="min"/>
        <cfvo type="max"/>
        <color rgb="FF008AEF"/>
      </dataBar>
      <extLst>
        <ext xmlns:x14="http://schemas.microsoft.com/office/spreadsheetml/2009/9/main" uri="{B025F937-C7B1-47D3-B67F-A62EFF666E3E}">
          <x14:id>{B1BB47D9-1585-44B0-B617-CB2BF4F3077D}</x14:id>
        </ext>
      </extLst>
    </cfRule>
    <cfRule type="colorScale" priority="85">
      <colorScale>
        <cfvo type="min"/>
        <cfvo type="percentile" val="50"/>
        <cfvo type="max"/>
        <color rgb="FFFFAFAF"/>
        <color rgb="FFDDEBF7"/>
        <color rgb="FF00B0F0"/>
      </colorScale>
    </cfRule>
  </conditionalFormatting>
  <conditionalFormatting sqref="Z81:Z1048576 Z1:Z12">
    <cfRule type="dataBar" priority="82">
      <dataBar>
        <cfvo type="min"/>
        <cfvo type="max"/>
        <color rgb="FF008AEF"/>
      </dataBar>
      <extLst>
        <ext xmlns:x14="http://schemas.microsoft.com/office/spreadsheetml/2009/9/main" uri="{B025F937-C7B1-47D3-B67F-A62EFF666E3E}">
          <x14:id>{EACCAA29-2C3D-4B04-9CA6-07B6845EF7A5}</x14:id>
        </ext>
      </extLst>
    </cfRule>
    <cfRule type="colorScale" priority="83">
      <colorScale>
        <cfvo type="min"/>
        <cfvo type="percentile" val="50"/>
        <cfvo type="max"/>
        <color rgb="FFFFAFAF"/>
        <color rgb="FFDDEBF7"/>
        <color rgb="FF00B0F0"/>
      </colorScale>
    </cfRule>
  </conditionalFormatting>
  <conditionalFormatting sqref="AB1:AB12 AB81:AB1048576">
    <cfRule type="dataBar" priority="80">
      <dataBar>
        <cfvo type="min"/>
        <cfvo type="max"/>
        <color rgb="FF008AEF"/>
      </dataBar>
      <extLst>
        <ext xmlns:x14="http://schemas.microsoft.com/office/spreadsheetml/2009/9/main" uri="{B025F937-C7B1-47D3-B67F-A62EFF666E3E}">
          <x14:id>{049B647A-BD48-422F-8F11-D187A4A71BDE}</x14:id>
        </ext>
      </extLst>
    </cfRule>
    <cfRule type="colorScale" priority="81">
      <colorScale>
        <cfvo type="min"/>
        <cfvo type="percentile" val="50"/>
        <cfvo type="max"/>
        <color rgb="FFFFAFAF"/>
        <color rgb="FFDDEBF7"/>
        <color rgb="FF00B0F0"/>
      </colorScale>
    </cfRule>
  </conditionalFormatting>
  <conditionalFormatting sqref="AC1:AC12 AC81:AC1048576">
    <cfRule type="dataBar" priority="78">
      <dataBar>
        <cfvo type="min"/>
        <cfvo type="max"/>
        <color rgb="FF008AEF"/>
      </dataBar>
      <extLst>
        <ext xmlns:x14="http://schemas.microsoft.com/office/spreadsheetml/2009/9/main" uri="{B025F937-C7B1-47D3-B67F-A62EFF666E3E}">
          <x14:id>{2F9CDC0F-5E3C-42D4-B527-15586E3B9408}</x14:id>
        </ext>
      </extLst>
    </cfRule>
    <cfRule type="colorScale" priority="79">
      <colorScale>
        <cfvo type="min"/>
        <cfvo type="percentile" val="50"/>
        <cfvo type="max"/>
        <color rgb="FFFFAFAF"/>
        <color rgb="FFDDEBF7"/>
        <color rgb="FF00B0F0"/>
      </colorScale>
    </cfRule>
  </conditionalFormatting>
  <conditionalFormatting sqref="AI1:AI12 AI81:AI1048576">
    <cfRule type="colorScale" priority="76">
      <colorScale>
        <cfvo type="min"/>
        <cfvo type="percentile" val="50"/>
        <cfvo type="max"/>
        <color rgb="FFF8696B"/>
        <color rgb="FFFFEB84"/>
        <color rgb="FF63BE7B"/>
      </colorScale>
    </cfRule>
    <cfRule type="dataBar" priority="77">
      <dataBar>
        <cfvo type="min"/>
        <cfvo type="max"/>
        <color rgb="FF638EC6"/>
      </dataBar>
      <extLst>
        <ext xmlns:x14="http://schemas.microsoft.com/office/spreadsheetml/2009/9/main" uri="{B025F937-C7B1-47D3-B67F-A62EFF666E3E}">
          <x14:id>{41C637A3-D75D-40C0-9BF7-C4CA9DA446D6}</x14:id>
        </ext>
      </extLst>
    </cfRule>
  </conditionalFormatting>
  <conditionalFormatting sqref="AJ1:AJ12 AJ81:AJ1048576">
    <cfRule type="dataBar" priority="74">
      <dataBar>
        <cfvo type="min"/>
        <cfvo type="max"/>
        <color rgb="FF638EC6"/>
      </dataBar>
      <extLst>
        <ext xmlns:x14="http://schemas.microsoft.com/office/spreadsheetml/2009/9/main" uri="{B025F937-C7B1-47D3-B67F-A62EFF666E3E}">
          <x14:id>{FD059E67-83CF-4801-8180-E12C24D067DA}</x14:id>
        </ext>
      </extLst>
    </cfRule>
    <cfRule type="colorScale" priority="75">
      <colorScale>
        <cfvo type="min"/>
        <cfvo type="percentile" val="50"/>
        <cfvo type="max"/>
        <color rgb="FFF8696B"/>
        <color rgb="FFFFEB84"/>
        <color rgb="FF63BE7B"/>
      </colorScale>
    </cfRule>
  </conditionalFormatting>
  <conditionalFormatting sqref="AK1:AK12 AK81:AK1048576">
    <cfRule type="dataBar" priority="72">
      <dataBar>
        <cfvo type="min"/>
        <cfvo type="max"/>
        <color rgb="FF638EC6"/>
      </dataBar>
      <extLst>
        <ext xmlns:x14="http://schemas.microsoft.com/office/spreadsheetml/2009/9/main" uri="{B025F937-C7B1-47D3-B67F-A62EFF666E3E}">
          <x14:id>{0FF92D19-8ECF-476F-BDCC-03FE86D6DBD3}</x14:id>
        </ext>
      </extLst>
    </cfRule>
    <cfRule type="colorScale" priority="73">
      <colorScale>
        <cfvo type="min"/>
        <cfvo type="percentile" val="50"/>
        <cfvo type="max"/>
        <color rgb="FFF8696B"/>
        <color rgb="FFFFEB84"/>
        <color rgb="FF63BE7B"/>
      </colorScale>
    </cfRule>
  </conditionalFormatting>
  <conditionalFormatting sqref="AL1">
    <cfRule type="dataBar" priority="70">
      <dataBar>
        <cfvo type="min"/>
        <cfvo type="max"/>
        <color rgb="FF638EC6"/>
      </dataBar>
      <extLst>
        <ext xmlns:x14="http://schemas.microsoft.com/office/spreadsheetml/2009/9/main" uri="{B025F937-C7B1-47D3-B67F-A62EFF666E3E}">
          <x14:id>{7F67BD36-C908-4A40-A4CA-FB41F837A3F2}</x14:id>
        </ext>
      </extLst>
    </cfRule>
    <cfRule type="colorScale" priority="71">
      <colorScale>
        <cfvo type="min"/>
        <cfvo type="percentile" val="50"/>
        <cfvo type="max"/>
        <color rgb="FFF8696B"/>
        <color rgb="FFFFEB84"/>
        <color rgb="FF63BE7B"/>
      </colorScale>
    </cfRule>
  </conditionalFormatting>
  <conditionalFormatting sqref="AL81:AL1048576 AL1:AL12">
    <cfRule type="dataBar" priority="68">
      <dataBar>
        <cfvo type="min"/>
        <cfvo type="max"/>
        <color rgb="FF638EC6"/>
      </dataBar>
      <extLst>
        <ext xmlns:x14="http://schemas.microsoft.com/office/spreadsheetml/2009/9/main" uri="{B025F937-C7B1-47D3-B67F-A62EFF666E3E}">
          <x14:id>{73D6C16B-075C-4E66-931B-17D197DFF6E4}</x14:id>
        </ext>
      </extLst>
    </cfRule>
    <cfRule type="colorScale" priority="69">
      <colorScale>
        <cfvo type="min"/>
        <cfvo type="percentile" val="50"/>
        <cfvo type="max"/>
        <color rgb="FFF8696B"/>
        <color rgb="FFFFEB84"/>
        <color rgb="FF63BE7B"/>
      </colorScale>
    </cfRule>
  </conditionalFormatting>
  <conditionalFormatting sqref="AO1:AO12 AO81:AO1048576">
    <cfRule type="colorScale" priority="67">
      <colorScale>
        <cfvo type="min"/>
        <cfvo type="max"/>
        <color rgb="FFFFEF9C"/>
        <color rgb="FF63BE7B"/>
      </colorScale>
    </cfRule>
  </conditionalFormatting>
  <conditionalFormatting sqref="AP1:AP12 AP81:AP1048576">
    <cfRule type="iconSet" priority="65">
      <iconSet iconSet="3Arrows">
        <cfvo type="percent" val="0"/>
        <cfvo type="percent" val="33"/>
        <cfvo type="percent" val="67"/>
      </iconSet>
    </cfRule>
    <cfRule type="colorScale" priority="66">
      <colorScale>
        <cfvo type="min"/>
        <cfvo type="percentile" val="50"/>
        <cfvo type="max"/>
        <color rgb="FFF8696B"/>
        <color rgb="FFFFEB84"/>
        <color rgb="FF63BE7B"/>
      </colorScale>
    </cfRule>
  </conditionalFormatting>
  <conditionalFormatting sqref="AQ1:AQ12 AQ81:AQ1048576">
    <cfRule type="colorScale" priority="64">
      <colorScale>
        <cfvo type="min"/>
        <cfvo type="max"/>
        <color rgb="FFFFEF9C"/>
        <color rgb="FF63BE7B"/>
      </colorScale>
    </cfRule>
  </conditionalFormatting>
  <conditionalFormatting sqref="AR1:AR12 AR81:AR1048576">
    <cfRule type="colorScale" priority="63">
      <colorScale>
        <cfvo type="min"/>
        <cfvo type="percentile" val="50"/>
        <cfvo type="max"/>
        <color rgb="FFF8696B"/>
        <color rgb="FFFFEB84"/>
        <color rgb="FF63BE7B"/>
      </colorScale>
    </cfRule>
  </conditionalFormatting>
  <conditionalFormatting sqref="BF1:BF12 BF81:BF1048576">
    <cfRule type="dataBar" priority="61">
      <dataBar>
        <cfvo type="min"/>
        <cfvo type="max"/>
        <color rgb="FF638EC6"/>
      </dataBar>
      <extLst>
        <ext xmlns:x14="http://schemas.microsoft.com/office/spreadsheetml/2009/9/main" uri="{B025F937-C7B1-47D3-B67F-A62EFF666E3E}">
          <x14:id>{96513AB5-C18E-4437-B86A-6082F212D36B}</x14:id>
        </ext>
      </extLst>
    </cfRule>
    <cfRule type="colorScale" priority="62">
      <colorScale>
        <cfvo type="min"/>
        <cfvo type="percentile" val="50"/>
        <cfvo type="max"/>
        <color rgb="FFF8696B"/>
        <color theme="4" tint="0.79998168889431442"/>
        <color rgb="FF00B0F0"/>
      </colorScale>
    </cfRule>
  </conditionalFormatting>
  <conditionalFormatting sqref="O81:O1048576 O1:O12">
    <cfRule type="colorScale" priority="58">
      <colorScale>
        <cfvo type="min"/>
        <cfvo type="percentile" val="50"/>
        <cfvo type="max"/>
        <color rgb="FFF8696B"/>
        <color rgb="FF9BC2E6"/>
        <color rgb="FF2F75B5"/>
      </colorScale>
    </cfRule>
  </conditionalFormatting>
  <conditionalFormatting sqref="S81:S1048576 S1:S12">
    <cfRule type="iconSet" priority="56">
      <iconSet iconSet="5Arrows">
        <cfvo type="percent" val="0"/>
        <cfvo type="percent" val="20"/>
        <cfvo type="percent" val="40"/>
        <cfvo type="percent" val="60"/>
        <cfvo type="percent" val="80"/>
      </iconSet>
    </cfRule>
    <cfRule type="colorScale" priority="57">
      <colorScale>
        <cfvo type="min"/>
        <cfvo type="percentile" val="50"/>
        <cfvo type="max"/>
        <color rgb="FFF8696B"/>
        <color rgb="FFFFEB84"/>
        <color rgb="FF63BE7B"/>
      </colorScale>
    </cfRule>
  </conditionalFormatting>
  <conditionalFormatting sqref="T1:T12 T81:T1048576">
    <cfRule type="iconSet" priority="54">
      <iconSet iconSet="5Arrows">
        <cfvo type="percent" val="0"/>
        <cfvo type="percent" val="20"/>
        <cfvo type="percent" val="40"/>
        <cfvo type="percent" val="60"/>
        <cfvo type="percent" val="80"/>
      </iconSet>
    </cfRule>
    <cfRule type="colorScale" priority="55">
      <colorScale>
        <cfvo type="min"/>
        <cfvo type="percentile" val="50"/>
        <cfvo type="max"/>
        <color rgb="FFF8696B"/>
        <color rgb="FFFFEB84"/>
        <color rgb="FF63BE7B"/>
      </colorScale>
    </cfRule>
  </conditionalFormatting>
  <conditionalFormatting sqref="BE1:BE12 BE81:BE1048576">
    <cfRule type="iconSet" priority="52">
      <iconSet iconSet="3Arrows">
        <cfvo type="percent" val="0"/>
        <cfvo type="percent" val="33"/>
        <cfvo type="percent" val="67"/>
      </iconSet>
    </cfRule>
    <cfRule type="colorScale" priority="53">
      <colorScale>
        <cfvo type="min"/>
        <cfvo type="percentile" val="50"/>
        <cfvo type="max"/>
        <color rgb="FFF8696B"/>
        <color rgb="FFFFEB84"/>
        <color rgb="FF63BE7B"/>
      </colorScale>
    </cfRule>
  </conditionalFormatting>
  <conditionalFormatting sqref="BD81:BD1048576 BD1:BD12">
    <cfRule type="colorScale" priority="51">
      <colorScale>
        <cfvo type="min"/>
        <cfvo type="percentile" val="50"/>
        <cfvo type="max"/>
        <color rgb="FFF8696B"/>
        <color rgb="FFFFEB84"/>
        <color rgb="FF63BE7B"/>
      </colorScale>
    </cfRule>
  </conditionalFormatting>
  <conditionalFormatting sqref="AW1:AW12 AW81:AW1048576">
    <cfRule type="colorScale" priority="50">
      <colorScale>
        <cfvo type="min"/>
        <cfvo type="percentile" val="50"/>
        <cfvo type="max"/>
        <color rgb="FFF8696B"/>
        <color rgb="FFFFEB84"/>
        <color rgb="FF63BE7B"/>
      </colorScale>
    </cfRule>
  </conditionalFormatting>
  <conditionalFormatting sqref="AV81:AV1048576 AV1:AV12">
    <cfRule type="colorScale" priority="49">
      <colorScale>
        <cfvo type="min"/>
        <cfvo type="percentile" val="50"/>
        <cfvo type="max"/>
        <color rgb="FFF8696B"/>
        <color rgb="FFFFEB84"/>
        <color rgb="FF63BE7B"/>
      </colorScale>
    </cfRule>
  </conditionalFormatting>
  <conditionalFormatting sqref="P1:P12 P81:P1048576">
    <cfRule type="colorScale" priority="48">
      <colorScale>
        <cfvo type="min"/>
        <cfvo type="percentile" val="50"/>
        <cfvo type="max"/>
        <color rgb="FFF8696B"/>
        <color rgb="FF9BC2E6"/>
        <color rgb="FF2F75B5"/>
      </colorScale>
    </cfRule>
  </conditionalFormatting>
  <conditionalFormatting sqref="AD1:AD12 AD81:AD1048576">
    <cfRule type="colorScale" priority="43">
      <colorScale>
        <cfvo type="min"/>
        <cfvo type="max"/>
        <color rgb="FFFFEF9C"/>
        <color rgb="FF63BE7B"/>
      </colorScale>
    </cfRule>
  </conditionalFormatting>
  <conditionalFormatting sqref="AE1:AE12 AE81:AE1048576">
    <cfRule type="colorScale" priority="42">
      <colorScale>
        <cfvo type="min"/>
        <cfvo type="max"/>
        <color rgb="FFFFEF9C"/>
        <color rgb="FF63BE7B"/>
      </colorScale>
    </cfRule>
  </conditionalFormatting>
  <conditionalFormatting sqref="AF1:AF12 AF81:AF1048576">
    <cfRule type="colorScale" priority="41">
      <colorScale>
        <cfvo type="min"/>
        <cfvo type="percentile" val="50"/>
        <cfvo type="max"/>
        <color rgb="FFF8696B"/>
        <color rgb="FFFFEB84"/>
        <color rgb="FF63BE7B"/>
      </colorScale>
    </cfRule>
  </conditionalFormatting>
  <conditionalFormatting sqref="AG1:AG12 AG81:AG1048576">
    <cfRule type="colorScale" priority="40">
      <colorScale>
        <cfvo type="min"/>
        <cfvo type="percentile" val="50"/>
        <cfvo type="max"/>
        <color rgb="FFF8696B"/>
        <color rgb="FFFFEB84"/>
        <color rgb="FF63BE7B"/>
      </colorScale>
    </cfRule>
  </conditionalFormatting>
  <conditionalFormatting sqref="AH1:AH12 AH81:AH1048576">
    <cfRule type="colorScale" priority="39">
      <colorScale>
        <cfvo type="percentile" val="50"/>
        <cfvo type="percentile" val="80"/>
        <cfvo type="max"/>
        <color rgb="FFF8696B"/>
        <color rgb="FFFFEB84"/>
        <color rgb="FF63BE7B"/>
      </colorScale>
    </cfRule>
  </conditionalFormatting>
  <conditionalFormatting sqref="L1:L12 L81:L1048576">
    <cfRule type="colorScale" priority="38">
      <colorScale>
        <cfvo type="min"/>
        <cfvo type="max"/>
        <color rgb="FFFFEF9C"/>
        <color rgb="FF63BE7B"/>
      </colorScale>
    </cfRule>
  </conditionalFormatting>
  <conditionalFormatting sqref="AS1:AS12 AS81:AS1048576">
    <cfRule type="colorScale" priority="37">
      <colorScale>
        <cfvo type="min"/>
        <cfvo type="percentile" val="50"/>
        <cfvo type="max"/>
        <color rgb="FFF8696B"/>
        <color rgb="FFFFEB84"/>
        <color rgb="FF63BE7B"/>
      </colorScale>
    </cfRule>
  </conditionalFormatting>
  <conditionalFormatting sqref="AT81:AT1048576 AT1:AT12">
    <cfRule type="colorScale" priority="36">
      <colorScale>
        <cfvo type="min"/>
        <cfvo type="percentile" val="50"/>
        <cfvo type="max"/>
        <color rgb="FFF8696B"/>
        <color rgb="FFFFEB84"/>
        <color rgb="FF63BE7B"/>
      </colorScale>
    </cfRule>
  </conditionalFormatting>
  <conditionalFormatting sqref="AU1:AU12 AU81:AU1048576">
    <cfRule type="colorScale" priority="35">
      <colorScale>
        <cfvo type="min"/>
        <cfvo type="percentile" val="50"/>
        <cfvo type="max"/>
        <color rgb="FFF8696B"/>
        <color rgb="FFFFEB84"/>
        <color rgb="FF63BE7B"/>
      </colorScale>
    </cfRule>
  </conditionalFormatting>
  <conditionalFormatting sqref="AX81:AX1048576 AX1:AX12">
    <cfRule type="colorScale" priority="32">
      <colorScale>
        <cfvo type="min"/>
        <cfvo type="percentile" val="50"/>
        <cfvo type="max"/>
        <color rgb="FFF8696B"/>
        <color rgb="FFFFEB84"/>
        <color rgb="FF63BE7B"/>
      </colorScale>
    </cfRule>
  </conditionalFormatting>
  <conditionalFormatting sqref="AN1:AN12 AN81:AN1048576">
    <cfRule type="colorScale" priority="30">
      <colorScale>
        <cfvo type="min"/>
        <cfvo type="percentile" val="50"/>
        <cfvo type="max"/>
        <color rgb="FFF8696B"/>
        <color rgb="FFFFEB84"/>
        <color rgb="FF63BE7B"/>
      </colorScale>
    </cfRule>
  </conditionalFormatting>
  <conditionalFormatting sqref="Y1:Y12 Y81:Y1048576">
    <cfRule type="dataBar" priority="27">
      <dataBar>
        <cfvo type="min"/>
        <cfvo type="max"/>
        <color rgb="FF008AEF"/>
      </dataBar>
      <extLst>
        <ext xmlns:x14="http://schemas.microsoft.com/office/spreadsheetml/2009/9/main" uri="{B025F937-C7B1-47D3-B67F-A62EFF666E3E}">
          <x14:id>{ADF2FCA0-B478-421D-88E6-5BA4AB0B6AE6}</x14:id>
        </ext>
      </extLst>
    </cfRule>
    <cfRule type="colorScale" priority="29">
      <colorScale>
        <cfvo type="min"/>
        <cfvo type="percentile" val="50"/>
        <cfvo type="max"/>
        <color rgb="FFFFAFAF"/>
        <color rgb="FFDDEBF7"/>
        <color rgb="FF00B0F0"/>
      </colorScale>
    </cfRule>
  </conditionalFormatting>
  <conditionalFormatting sqref="AA81:AA1048576 AA1:AA12">
    <cfRule type="dataBar" priority="25">
      <dataBar>
        <cfvo type="min"/>
        <cfvo type="max"/>
        <color rgb="FF008AEF"/>
      </dataBar>
      <extLst>
        <ext xmlns:x14="http://schemas.microsoft.com/office/spreadsheetml/2009/9/main" uri="{B025F937-C7B1-47D3-B67F-A62EFF666E3E}">
          <x14:id>{DF3C2BE4-A950-493E-AC67-D0C69F3FCAD8}</x14:id>
        </ext>
      </extLst>
    </cfRule>
    <cfRule type="colorScale" priority="26">
      <colorScale>
        <cfvo type="min"/>
        <cfvo type="percentile" val="50"/>
        <cfvo type="max"/>
        <color rgb="FFFFAFAF"/>
        <color rgb="FFDDEBF7"/>
        <color rgb="FF00B0F0"/>
      </colorScale>
    </cfRule>
  </conditionalFormatting>
  <conditionalFormatting sqref="AN1:AN12 AN81:AN1048576">
    <cfRule type="dataBar" priority="24">
      <dataBar>
        <cfvo type="min"/>
        <cfvo type="max"/>
        <color rgb="FF638EC6"/>
      </dataBar>
      <extLst>
        <ext xmlns:x14="http://schemas.microsoft.com/office/spreadsheetml/2009/9/main" uri="{B025F937-C7B1-47D3-B67F-A62EFF666E3E}">
          <x14:id>{74FF5CFA-B80D-48E8-A45A-CCA7CF544139}</x14:id>
        </ext>
      </extLst>
    </cfRule>
  </conditionalFormatting>
  <conditionalFormatting sqref="N1:N12 N81:N1048576">
    <cfRule type="colorScale" priority="23">
      <colorScale>
        <cfvo type="min"/>
        <cfvo type="max"/>
        <color rgb="FFFCFCFF"/>
        <color rgb="FFF8696B"/>
      </colorScale>
    </cfRule>
  </conditionalFormatting>
  <conditionalFormatting sqref="M1:M12 M81:M1048576">
    <cfRule type="colorScale" priority="22">
      <colorScale>
        <cfvo type="min"/>
        <cfvo type="max"/>
        <color rgb="FFFCFCFF"/>
        <color rgb="FFF8696B"/>
      </colorScale>
    </cfRule>
  </conditionalFormatting>
  <conditionalFormatting sqref="AM1:AM1048576">
    <cfRule type="dataBar" priority="20">
      <dataBar>
        <cfvo type="min"/>
        <cfvo type="max"/>
        <color rgb="FF63C384"/>
      </dataBar>
      <extLst>
        <ext xmlns:x14="http://schemas.microsoft.com/office/spreadsheetml/2009/9/main" uri="{B025F937-C7B1-47D3-B67F-A62EFF666E3E}">
          <x14:id>{31D57B93-6042-44D1-A789-BF0A12BA116A}</x14:id>
        </ext>
      </extLst>
    </cfRule>
    <cfRule type="colorScale" priority="21">
      <colorScale>
        <cfvo type="min"/>
        <cfvo type="percentile" val="50"/>
        <cfvo type="max"/>
        <color rgb="FFF8696B"/>
        <color rgb="FFFFEB84"/>
        <color rgb="FF63BE7B"/>
      </colorScale>
    </cfRule>
  </conditionalFormatting>
  <conditionalFormatting sqref="BJ1:BJ12 BJ84:BK1048576 L13:P80 AN13:AX80 BL84:CV204 BD13:BF80 CW84:CW161 BJ81:CW83 S13:AL80 BH45:CW80 CW1:CW3 CW5:CW44 BH13:CV44">
    <cfRule type="iconSet" priority="2400838">
      <iconSet iconSet="3Arrows">
        <cfvo type="percent" val="0"/>
        <cfvo type="num" val="6.7"/>
        <cfvo type="num" val="7"/>
      </iconSet>
    </cfRule>
    <cfRule type="colorScale" priority="2400839">
      <colorScale>
        <cfvo type="num" val="6.6"/>
        <cfvo type="num" val="6.7"/>
        <cfvo type="num" val="7"/>
        <color rgb="FFF8696B"/>
        <color rgb="FFFFEB84"/>
        <color rgb="FF63BE7B"/>
      </colorScale>
    </cfRule>
  </conditionalFormatting>
  <conditionalFormatting sqref="BA1:BA1048576">
    <cfRule type="dataBar" priority="12">
      <dataBar>
        <cfvo type="min"/>
        <cfvo type="max"/>
        <color rgb="FFD6007B"/>
      </dataBar>
      <extLst>
        <ext xmlns:x14="http://schemas.microsoft.com/office/spreadsheetml/2009/9/main" uri="{B025F937-C7B1-47D3-B67F-A62EFF666E3E}">
          <x14:id>{B46DC36F-905F-4176-AFED-5DF63D3051EE}</x14:id>
        </ext>
      </extLst>
    </cfRule>
  </conditionalFormatting>
  <conditionalFormatting sqref="BB1:BB1048576">
    <cfRule type="dataBar" priority="11">
      <dataBar>
        <cfvo type="min"/>
        <cfvo type="max"/>
        <color rgb="FFD6007B"/>
      </dataBar>
      <extLst>
        <ext xmlns:x14="http://schemas.microsoft.com/office/spreadsheetml/2009/9/main" uri="{B025F937-C7B1-47D3-B67F-A62EFF666E3E}">
          <x14:id>{B2720A35-F288-4806-8E45-E61D4870B388}</x14:id>
        </ext>
      </extLst>
    </cfRule>
  </conditionalFormatting>
  <conditionalFormatting sqref="BC1:BC1048576">
    <cfRule type="dataBar" priority="10">
      <dataBar>
        <cfvo type="min"/>
        <cfvo type="max"/>
        <color rgb="FFD6007B"/>
      </dataBar>
      <extLst>
        <ext xmlns:x14="http://schemas.microsoft.com/office/spreadsheetml/2009/9/main" uri="{B025F937-C7B1-47D3-B67F-A62EFF666E3E}">
          <x14:id>{21746399-7EC8-457E-AB5E-EE2AC89F5045}</x14:id>
        </ext>
      </extLst>
    </cfRule>
  </conditionalFormatting>
  <conditionalFormatting sqref="BG1:BG1048576">
    <cfRule type="dataBar" priority="8">
      <dataBar>
        <cfvo type="min"/>
        <cfvo type="max"/>
        <color rgb="FF638EC6"/>
      </dataBar>
      <extLst>
        <ext xmlns:x14="http://schemas.microsoft.com/office/spreadsheetml/2009/9/main" uri="{B025F937-C7B1-47D3-B67F-A62EFF666E3E}">
          <x14:id>{2204188D-712A-4C89-B029-8726B7A58761}</x14:id>
        </ext>
      </extLst>
    </cfRule>
    <cfRule type="colorScale" priority="9">
      <colorScale>
        <cfvo type="min"/>
        <cfvo type="percentile" val="50"/>
        <cfvo type="max"/>
        <color rgb="FFFAA0A2"/>
        <color theme="4" tint="0.79998168889431442"/>
        <color rgb="FF00B0F0"/>
      </colorScale>
    </cfRule>
  </conditionalFormatting>
  <conditionalFormatting sqref="AY1:AY1048576">
    <cfRule type="dataBar" priority="7">
      <dataBar>
        <cfvo type="min"/>
        <cfvo type="max"/>
        <color rgb="FFA40000"/>
      </dataBar>
      <extLst>
        <ext xmlns:x14="http://schemas.microsoft.com/office/spreadsheetml/2009/9/main" uri="{B025F937-C7B1-47D3-B67F-A62EFF666E3E}">
          <x14:id>{8E5A1563-43A0-4246-8F34-4DF8A67BA539}</x14:id>
        </ext>
      </extLst>
    </cfRule>
  </conditionalFormatting>
  <conditionalFormatting sqref="AZ1:AZ1048576">
    <cfRule type="dataBar" priority="6">
      <dataBar>
        <cfvo type="min"/>
        <cfvo type="max"/>
        <color rgb="FFA40000"/>
      </dataBar>
      <extLst>
        <ext xmlns:x14="http://schemas.microsoft.com/office/spreadsheetml/2009/9/main" uri="{B025F937-C7B1-47D3-B67F-A62EFF666E3E}">
          <x14:id>{FB9C18E4-6E6D-4C83-A5A0-F1F14589D67B}</x14:id>
        </ext>
      </extLst>
    </cfRule>
  </conditionalFormatting>
  <conditionalFormatting sqref="J1:J1048576">
    <cfRule type="dataBar" priority="5">
      <dataBar>
        <cfvo type="min"/>
        <cfvo type="max"/>
        <color rgb="FFA40000"/>
      </dataBar>
      <extLst>
        <ext xmlns:x14="http://schemas.microsoft.com/office/spreadsheetml/2009/9/main" uri="{B025F937-C7B1-47D3-B67F-A62EFF666E3E}">
          <x14:id>{31F4685D-B9DC-4158-A394-0DD8F26AF569}</x14:id>
        </ext>
      </extLst>
    </cfRule>
  </conditionalFormatting>
  <conditionalFormatting sqref="Q1:Q1048576">
    <cfRule type="dataBar" priority="4">
      <dataBar>
        <cfvo type="min"/>
        <cfvo type="max"/>
        <color rgb="FFC00000"/>
      </dataBar>
      <extLst>
        <ext xmlns:x14="http://schemas.microsoft.com/office/spreadsheetml/2009/9/main" uri="{B025F937-C7B1-47D3-B67F-A62EFF666E3E}">
          <x14:id>{3C3F77A7-9A86-4208-B8B3-B87D7E04336C}</x14:id>
        </ext>
      </extLst>
    </cfRule>
  </conditionalFormatting>
  <conditionalFormatting sqref="R1:R1048576">
    <cfRule type="dataBar" priority="3">
      <dataBar>
        <cfvo type="min"/>
        <cfvo type="max"/>
        <color rgb="FFC00000"/>
      </dataBar>
      <extLst>
        <ext xmlns:x14="http://schemas.microsoft.com/office/spreadsheetml/2009/9/main" uri="{B025F937-C7B1-47D3-B67F-A62EFF666E3E}">
          <x14:id>{A90D3959-1A14-465B-BD87-2F2571347974}</x14:id>
        </ext>
      </extLst>
    </cfRule>
  </conditionalFormatting>
  <conditionalFormatting sqref="K1:K1048576">
    <cfRule type="dataBar" priority="2">
      <dataBar>
        <cfvo type="min"/>
        <cfvo type="max"/>
        <color rgb="FFC00000"/>
      </dataBar>
      <extLst>
        <ext xmlns:x14="http://schemas.microsoft.com/office/spreadsheetml/2009/9/main" uri="{B025F937-C7B1-47D3-B67F-A62EFF666E3E}">
          <x14:id>{94B6E9DE-8C01-43F3-9F39-05A3F90B4677}</x14:id>
        </ext>
      </extLst>
    </cfRule>
  </conditionalFormatting>
  <conditionalFormatting sqref="H1:H1048576">
    <cfRule type="dataBar" priority="1">
      <dataBar>
        <cfvo type="min"/>
        <cfvo type="max"/>
        <color rgb="FFFF555A"/>
      </dataBar>
      <extLst>
        <ext xmlns:x14="http://schemas.microsoft.com/office/spreadsheetml/2009/9/main" uri="{B025F937-C7B1-47D3-B67F-A62EFF666E3E}">
          <x14:id>{3775FF0D-5CBD-4FD5-A2F3-79E3CD5C8F30}</x14:id>
        </ext>
      </extLst>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993D631-B0C2-483A-9601-6A7EC078B582}">
            <x14:dataBar minLength="0" maxLength="100" gradient="0">
              <x14:cfvo type="autoMin"/>
              <x14:cfvo type="autoMax"/>
              <x14:negativeFillColor rgb="FFFF0000"/>
              <x14:axisColor rgb="FF000000"/>
            </x14:dataBar>
          </x14:cfRule>
          <xm:sqref>D2:D12</xm:sqref>
        </x14:conditionalFormatting>
        <x14:conditionalFormatting xmlns:xm="http://schemas.microsoft.com/office/excel/2006/main">
          <x14:cfRule type="dataBar" id="{3A8E6B43-326A-4A74-9DBC-9B58B976B06C}">
            <x14:dataBar minLength="0" maxLength="100" gradient="0">
              <x14:cfvo type="autoMin"/>
              <x14:cfvo type="autoMax"/>
              <x14:negativeFillColor rgb="FFFF0000"/>
              <x14:axisColor rgb="FF000000"/>
            </x14:dataBar>
          </x14:cfRule>
          <xm:sqref>C2:C12</xm:sqref>
        </x14:conditionalFormatting>
        <x14:conditionalFormatting xmlns:xm="http://schemas.microsoft.com/office/excel/2006/main">
          <x14:cfRule type="dataBar" id="{B1BB47D9-1585-44B0-B617-CB2BF4F3077D}">
            <x14:dataBar minLength="0" maxLength="100" border="1" negativeBarBorderColorSameAsPositive="0">
              <x14:cfvo type="autoMin"/>
              <x14:cfvo type="autoMax"/>
              <x14:borderColor rgb="FF008AEF"/>
              <x14:negativeFillColor rgb="FFFF0000"/>
              <x14:negativeBorderColor rgb="FFFF0000"/>
              <x14:axisColor rgb="FF000000"/>
            </x14:dataBar>
          </x14:cfRule>
          <xm:sqref>X81:X1048576 X1:X12</xm:sqref>
        </x14:conditionalFormatting>
        <x14:conditionalFormatting xmlns:xm="http://schemas.microsoft.com/office/excel/2006/main">
          <x14:cfRule type="dataBar" id="{EACCAA29-2C3D-4B04-9CA6-07B6845EF7A5}">
            <x14:dataBar minLength="0" maxLength="100" border="1" negativeBarBorderColorSameAsPositive="0">
              <x14:cfvo type="autoMin"/>
              <x14:cfvo type="autoMax"/>
              <x14:borderColor rgb="FF008AEF"/>
              <x14:negativeFillColor rgb="FFFF0000"/>
              <x14:negativeBorderColor rgb="FFFF0000"/>
              <x14:axisColor rgb="FF000000"/>
            </x14:dataBar>
          </x14:cfRule>
          <xm:sqref>Z81:Z1048576 Z1:Z12</xm:sqref>
        </x14:conditionalFormatting>
        <x14:conditionalFormatting xmlns:xm="http://schemas.microsoft.com/office/excel/2006/main">
          <x14:cfRule type="dataBar" id="{049B647A-BD48-422F-8F11-D187A4A71BDE}">
            <x14:dataBar minLength="0" maxLength="100" border="1" negativeBarBorderColorSameAsPositive="0">
              <x14:cfvo type="autoMin"/>
              <x14:cfvo type="autoMax"/>
              <x14:borderColor rgb="FF008AEF"/>
              <x14:negativeFillColor rgb="FFFF0000"/>
              <x14:negativeBorderColor rgb="FFFF0000"/>
              <x14:axisColor rgb="FF000000"/>
            </x14:dataBar>
          </x14:cfRule>
          <xm:sqref>AB1:AB12 AB81:AB1048576</xm:sqref>
        </x14:conditionalFormatting>
        <x14:conditionalFormatting xmlns:xm="http://schemas.microsoft.com/office/excel/2006/main">
          <x14:cfRule type="dataBar" id="{2F9CDC0F-5E3C-42D4-B527-15586E3B9408}">
            <x14:dataBar minLength="0" maxLength="100" border="1" negativeBarBorderColorSameAsPositive="0">
              <x14:cfvo type="autoMin"/>
              <x14:cfvo type="autoMax"/>
              <x14:borderColor rgb="FF008AEF"/>
              <x14:negativeFillColor rgb="FFFF0000"/>
              <x14:negativeBorderColor rgb="FFFF0000"/>
              <x14:axisColor rgb="FF000000"/>
            </x14:dataBar>
          </x14:cfRule>
          <xm:sqref>AC1:AC12 AC81:AC1048576</xm:sqref>
        </x14:conditionalFormatting>
        <x14:conditionalFormatting xmlns:xm="http://schemas.microsoft.com/office/excel/2006/main">
          <x14:cfRule type="dataBar" id="{41C637A3-D75D-40C0-9BF7-C4CA9DA446D6}">
            <x14:dataBar minLength="0" maxLength="100" border="1" negativeBarBorderColorSameAsPositive="0">
              <x14:cfvo type="autoMin"/>
              <x14:cfvo type="autoMax"/>
              <x14:borderColor rgb="FF638EC6"/>
              <x14:negativeFillColor rgb="FFFF0000"/>
              <x14:negativeBorderColor rgb="FFFF0000"/>
              <x14:axisColor rgb="FF000000"/>
            </x14:dataBar>
          </x14:cfRule>
          <xm:sqref>AI1:AI12 AI81:AI1048576</xm:sqref>
        </x14:conditionalFormatting>
        <x14:conditionalFormatting xmlns:xm="http://schemas.microsoft.com/office/excel/2006/main">
          <x14:cfRule type="dataBar" id="{FD059E67-83CF-4801-8180-E12C24D067DA}">
            <x14:dataBar minLength="0" maxLength="100" border="1" negativeBarBorderColorSameAsPositive="0">
              <x14:cfvo type="autoMin"/>
              <x14:cfvo type="autoMax"/>
              <x14:borderColor rgb="FF638EC6"/>
              <x14:negativeFillColor rgb="FFFF0000"/>
              <x14:negativeBorderColor rgb="FFFF0000"/>
              <x14:axisColor rgb="FF000000"/>
            </x14:dataBar>
          </x14:cfRule>
          <xm:sqref>AJ1:AJ12 AJ81:AJ1048576</xm:sqref>
        </x14:conditionalFormatting>
        <x14:conditionalFormatting xmlns:xm="http://schemas.microsoft.com/office/excel/2006/main">
          <x14:cfRule type="dataBar" id="{0FF92D19-8ECF-476F-BDCC-03FE86D6DBD3}">
            <x14:dataBar minLength="0" maxLength="100" border="1" negativeBarBorderColorSameAsPositive="0">
              <x14:cfvo type="autoMin"/>
              <x14:cfvo type="autoMax"/>
              <x14:borderColor rgb="FF638EC6"/>
              <x14:negativeFillColor rgb="FFFF0000"/>
              <x14:negativeBorderColor rgb="FFFF0000"/>
              <x14:axisColor rgb="FF000000"/>
            </x14:dataBar>
          </x14:cfRule>
          <xm:sqref>AK1:AK12 AK81:AK1048576</xm:sqref>
        </x14:conditionalFormatting>
        <x14:conditionalFormatting xmlns:xm="http://schemas.microsoft.com/office/excel/2006/main">
          <x14:cfRule type="dataBar" id="{7F67BD36-C908-4A40-A4CA-FB41F837A3F2}">
            <x14:dataBar minLength="0" maxLength="100" border="1" negativeBarBorderColorSameAsPositive="0">
              <x14:cfvo type="autoMin"/>
              <x14:cfvo type="autoMax"/>
              <x14:borderColor rgb="FF638EC6"/>
              <x14:negativeFillColor rgb="FFFF0000"/>
              <x14:negativeBorderColor rgb="FFFF0000"/>
              <x14:axisColor rgb="FF000000"/>
            </x14:dataBar>
          </x14:cfRule>
          <xm:sqref>AL1</xm:sqref>
        </x14:conditionalFormatting>
        <x14:conditionalFormatting xmlns:xm="http://schemas.microsoft.com/office/excel/2006/main">
          <x14:cfRule type="dataBar" id="{73D6C16B-075C-4E66-931B-17D197DFF6E4}">
            <x14:dataBar minLength="0" maxLength="100" border="1" negativeBarBorderColorSameAsPositive="0">
              <x14:cfvo type="autoMin"/>
              <x14:cfvo type="autoMax"/>
              <x14:borderColor rgb="FF638EC6"/>
              <x14:negativeFillColor rgb="FFFF0000"/>
              <x14:negativeBorderColor rgb="FFFF0000"/>
              <x14:axisColor rgb="FF000000"/>
            </x14:dataBar>
          </x14:cfRule>
          <xm:sqref>AL81:AL1048576 AL1:AL12</xm:sqref>
        </x14:conditionalFormatting>
        <x14:conditionalFormatting xmlns:xm="http://schemas.microsoft.com/office/excel/2006/main">
          <x14:cfRule type="dataBar" id="{96513AB5-C18E-4437-B86A-6082F212D36B}">
            <x14:dataBar minLength="0" maxLength="100" border="1" negativeBarBorderColorSameAsPositive="0">
              <x14:cfvo type="autoMin"/>
              <x14:cfvo type="autoMax"/>
              <x14:borderColor rgb="FF638EC6"/>
              <x14:negativeFillColor rgb="FFFF0000"/>
              <x14:negativeBorderColor rgb="FFFF0000"/>
              <x14:axisColor rgb="FF000000"/>
            </x14:dataBar>
          </x14:cfRule>
          <xm:sqref>BF1:BF12 BF81:BF1048576</xm:sqref>
        </x14:conditionalFormatting>
        <x14:conditionalFormatting xmlns:xm="http://schemas.microsoft.com/office/excel/2006/main">
          <x14:cfRule type="dataBar" id="{ADF2FCA0-B478-421D-88E6-5BA4AB0B6AE6}">
            <x14:dataBar minLength="0" maxLength="100" border="1" negativeBarBorderColorSameAsPositive="0">
              <x14:cfvo type="autoMin"/>
              <x14:cfvo type="autoMax"/>
              <x14:borderColor rgb="FF008AEF"/>
              <x14:negativeFillColor rgb="FFFF0000"/>
              <x14:negativeBorderColor rgb="FFFF0000"/>
              <x14:axisColor rgb="FF000000"/>
            </x14:dataBar>
          </x14:cfRule>
          <xm:sqref>Y1:Y12 Y81:Y1048576</xm:sqref>
        </x14:conditionalFormatting>
        <x14:conditionalFormatting xmlns:xm="http://schemas.microsoft.com/office/excel/2006/main">
          <x14:cfRule type="dataBar" id="{DF3C2BE4-A950-493E-AC67-D0C69F3FCAD8}">
            <x14:dataBar minLength="0" maxLength="100" border="1" negativeBarBorderColorSameAsPositive="0">
              <x14:cfvo type="autoMin"/>
              <x14:cfvo type="autoMax"/>
              <x14:borderColor rgb="FF008AEF"/>
              <x14:negativeFillColor rgb="FFFF0000"/>
              <x14:negativeBorderColor rgb="FFFF0000"/>
              <x14:axisColor rgb="FF000000"/>
            </x14:dataBar>
          </x14:cfRule>
          <xm:sqref>AA81:AA1048576 AA1:AA12</xm:sqref>
        </x14:conditionalFormatting>
        <x14:conditionalFormatting xmlns:xm="http://schemas.microsoft.com/office/excel/2006/main">
          <x14:cfRule type="dataBar" id="{74FF5CFA-B80D-48E8-A45A-CCA7CF544139}">
            <x14:dataBar minLength="0" maxLength="100" border="1" negativeBarBorderColorSameAsPositive="0">
              <x14:cfvo type="autoMin"/>
              <x14:cfvo type="autoMax"/>
              <x14:borderColor rgb="FF638EC6"/>
              <x14:negativeFillColor rgb="FFFF0000"/>
              <x14:negativeBorderColor rgb="FFFF0000"/>
              <x14:axisColor rgb="FF000000"/>
            </x14:dataBar>
          </x14:cfRule>
          <xm:sqref>AN1:AN12 AN81:AN1048576</xm:sqref>
        </x14:conditionalFormatting>
        <x14:conditionalFormatting xmlns:xm="http://schemas.microsoft.com/office/excel/2006/main">
          <x14:cfRule type="dataBar" id="{31D57B93-6042-44D1-A789-BF0A12BA116A}">
            <x14:dataBar minLength="0" maxLength="100" border="1" negativeBarBorderColorSameAsPositive="0">
              <x14:cfvo type="autoMin"/>
              <x14:cfvo type="autoMax"/>
              <x14:borderColor rgb="FF63C384"/>
              <x14:negativeFillColor rgb="FFFF0000"/>
              <x14:negativeBorderColor rgb="FFFF0000"/>
              <x14:axisColor rgb="FF000000"/>
            </x14:dataBar>
          </x14:cfRule>
          <xm:sqref>AM1:AM1048576</xm:sqref>
        </x14:conditionalFormatting>
        <x14:conditionalFormatting xmlns:xm="http://schemas.microsoft.com/office/excel/2006/main">
          <x14:cfRule type="dataBar" id="{B46DC36F-905F-4176-AFED-5DF63D3051EE}">
            <x14:dataBar minLength="0" maxLength="100" gradient="0">
              <x14:cfvo type="autoMin"/>
              <x14:cfvo type="autoMax"/>
              <x14:negativeFillColor rgb="FFFF0000"/>
              <x14:axisColor rgb="FF000000"/>
            </x14:dataBar>
          </x14:cfRule>
          <xm:sqref>BA1:BA1048576</xm:sqref>
        </x14:conditionalFormatting>
        <x14:conditionalFormatting xmlns:xm="http://schemas.microsoft.com/office/excel/2006/main">
          <x14:cfRule type="dataBar" id="{B2720A35-F288-4806-8E45-E61D4870B388}">
            <x14:dataBar minLength="0" maxLength="100" gradient="0">
              <x14:cfvo type="autoMin"/>
              <x14:cfvo type="autoMax"/>
              <x14:negativeFillColor rgb="FFFF0000"/>
              <x14:axisColor rgb="FF000000"/>
            </x14:dataBar>
          </x14:cfRule>
          <xm:sqref>BB1:BB1048576</xm:sqref>
        </x14:conditionalFormatting>
        <x14:conditionalFormatting xmlns:xm="http://schemas.microsoft.com/office/excel/2006/main">
          <x14:cfRule type="dataBar" id="{21746399-7EC8-457E-AB5E-EE2AC89F5045}">
            <x14:dataBar minLength="0" maxLength="100" gradient="0">
              <x14:cfvo type="autoMin"/>
              <x14:cfvo type="autoMax"/>
              <x14:negativeFillColor rgb="FFFF0000"/>
              <x14:axisColor rgb="FF000000"/>
            </x14:dataBar>
          </x14:cfRule>
          <xm:sqref>BC1:BC1048576</xm:sqref>
        </x14:conditionalFormatting>
        <x14:conditionalFormatting xmlns:xm="http://schemas.microsoft.com/office/excel/2006/main">
          <x14:cfRule type="dataBar" id="{2204188D-712A-4C89-B029-8726B7A58761}">
            <x14:dataBar minLength="0" maxLength="100" border="1" negativeBarBorderColorSameAsPositive="0">
              <x14:cfvo type="autoMin"/>
              <x14:cfvo type="autoMax"/>
              <x14:borderColor rgb="FF638EC6"/>
              <x14:negativeFillColor rgb="FFFF0000"/>
              <x14:negativeBorderColor rgb="FFFF0000"/>
              <x14:axisColor rgb="FF000000"/>
            </x14:dataBar>
          </x14:cfRule>
          <xm:sqref>BG1:BG1048576</xm:sqref>
        </x14:conditionalFormatting>
        <x14:conditionalFormatting xmlns:xm="http://schemas.microsoft.com/office/excel/2006/main">
          <x14:cfRule type="dataBar" id="{8E5A1563-43A0-4246-8F34-4DF8A67BA539}">
            <x14:dataBar minLength="0" maxLength="100" gradient="0">
              <x14:cfvo type="autoMin"/>
              <x14:cfvo type="autoMax"/>
              <x14:negativeFillColor rgb="FFFF0000"/>
              <x14:axisColor rgb="FF000000"/>
            </x14:dataBar>
          </x14:cfRule>
          <xm:sqref>AY1:AY1048576</xm:sqref>
        </x14:conditionalFormatting>
        <x14:conditionalFormatting xmlns:xm="http://schemas.microsoft.com/office/excel/2006/main">
          <x14:cfRule type="dataBar" id="{FB9C18E4-6E6D-4C83-A5A0-F1F14589D67B}">
            <x14:dataBar minLength="0" maxLength="100" gradient="0">
              <x14:cfvo type="autoMin"/>
              <x14:cfvo type="autoMax"/>
              <x14:negativeFillColor rgb="FFFF0000"/>
              <x14:axisColor rgb="FF000000"/>
            </x14:dataBar>
          </x14:cfRule>
          <xm:sqref>AZ1:AZ1048576</xm:sqref>
        </x14:conditionalFormatting>
        <x14:conditionalFormatting xmlns:xm="http://schemas.microsoft.com/office/excel/2006/main">
          <x14:cfRule type="dataBar" id="{31F4685D-B9DC-4158-A394-0DD8F26AF569}">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3C3F77A7-9A86-4208-B8B3-B87D7E04336C}">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A90D3959-1A14-465B-BD87-2F2571347974}">
            <x14:dataBar minLength="0" maxLength="100" gradient="0">
              <x14:cfvo type="autoMin"/>
              <x14:cfvo type="autoMax"/>
              <x14:negativeFillColor rgb="FFFF0000"/>
              <x14:axisColor rgb="FF000000"/>
            </x14:dataBar>
          </x14:cfRule>
          <xm:sqref>R1:R1048576</xm:sqref>
        </x14:conditionalFormatting>
        <x14:conditionalFormatting xmlns:xm="http://schemas.microsoft.com/office/excel/2006/main">
          <x14:cfRule type="dataBar" id="{94B6E9DE-8C01-43F3-9F39-05A3F90B4677}">
            <x14:dataBar minLength="0" maxLength="100" gradient="0">
              <x14:cfvo type="autoMin"/>
              <x14:cfvo type="autoMax"/>
              <x14:negativeFillColor rgb="FFFF0000"/>
              <x14:axisColor rgb="FF000000"/>
            </x14:dataBar>
          </x14:cfRule>
          <xm:sqref>K1:K1048576</xm:sqref>
        </x14:conditionalFormatting>
        <x14:conditionalFormatting xmlns:xm="http://schemas.microsoft.com/office/excel/2006/main">
          <x14:cfRule type="dataBar" id="{3775FF0D-5CBD-4FD5-A2F3-79E3CD5C8F30}">
            <x14:dataBar minLength="0" maxLength="100" gradient="0">
              <x14:cfvo type="autoMin"/>
              <x14:cfvo type="autoMax"/>
              <x14:negativeFillColor rgb="FFFF0000"/>
              <x14:axisColor rgb="FF000000"/>
            </x14:dataBar>
          </x14:cfRule>
          <xm:sqref>H1:H1048576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0">
    <tabColor rgb="FF19C3FF"/>
  </sheetPr>
  <dimension ref="A1:HI1001"/>
  <sheetViews>
    <sheetView zoomScale="90" zoomScaleNormal="90"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2" max="2" width="30.7109375" customWidth="1"/>
    <col min="3" max="3" width="12.5703125" customWidth="1"/>
    <col min="4" max="4" width="25.85546875" bestFit="1" customWidth="1"/>
    <col min="5" max="5" width="23.7109375" customWidth="1"/>
    <col min="6" max="6" width="15.7109375" customWidth="1"/>
    <col min="7" max="7" width="18.28515625" customWidth="1"/>
    <col min="8" max="8" width="24" bestFit="1" customWidth="1"/>
    <col min="9" max="9" width="11.140625" customWidth="1"/>
    <col min="10" max="13" width="15.7109375" customWidth="1"/>
    <col min="14" max="16" width="15.7109375" style="13" customWidth="1"/>
    <col min="17" max="24" width="18.7109375" customWidth="1"/>
    <col min="25" max="25" width="18.7109375" style="13" customWidth="1"/>
    <col min="26" max="45" width="18.7109375" customWidth="1"/>
    <col min="46" max="54" width="20.7109375" customWidth="1"/>
    <col min="55" max="60" width="18.7109375" customWidth="1"/>
    <col min="61" max="62" width="20.7109375" customWidth="1"/>
    <col min="63" max="66" width="20.7109375" style="13" customWidth="1"/>
    <col min="67" max="121" width="20.7109375" customWidth="1"/>
    <col min="122" max="126" width="18.7109375" customWidth="1"/>
    <col min="127" max="150" width="20.7109375" customWidth="1"/>
    <col min="151" max="151" width="20.7109375" style="176" customWidth="1"/>
    <col min="152" max="153" width="20.7109375" customWidth="1"/>
    <col min="154" max="156" width="20.7109375" style="13" customWidth="1"/>
    <col min="157" max="157" width="20.7109375" customWidth="1"/>
    <col min="158" max="159" width="20.7109375" style="13" customWidth="1"/>
    <col min="160" max="160" width="8.7109375" style="1" customWidth="1"/>
    <col min="161" max="168" width="11.7109375" style="1" customWidth="1"/>
    <col min="169" max="169" width="11.7109375" style="140" customWidth="1"/>
    <col min="170" max="170" width="11.5703125" style="1" bestFit="1" customWidth="1"/>
    <col min="171" max="217" width="11.7109375" style="1" customWidth="1"/>
    <col min="224" max="224" width="14.5703125" bestFit="1" customWidth="1"/>
  </cols>
  <sheetData>
    <row r="1" spans="1:217" ht="50.1" customHeight="1" thickBot="1" x14ac:dyDescent="0.3">
      <c r="A1" s="254"/>
      <c r="B1" s="4" t="s">
        <v>20</v>
      </c>
      <c r="C1" s="4" t="s">
        <v>201</v>
      </c>
      <c r="D1" s="4" t="s">
        <v>28</v>
      </c>
      <c r="E1" s="4" t="s">
        <v>487</v>
      </c>
      <c r="F1" s="4" t="s">
        <v>1</v>
      </c>
      <c r="G1" s="4" t="s">
        <v>80</v>
      </c>
      <c r="H1" s="82" t="s">
        <v>3</v>
      </c>
      <c r="I1" s="4" t="s">
        <v>216</v>
      </c>
      <c r="J1" s="30" t="s">
        <v>111</v>
      </c>
      <c r="K1" s="30" t="s">
        <v>401</v>
      </c>
      <c r="L1" s="30" t="s">
        <v>402</v>
      </c>
      <c r="M1" s="30" t="s">
        <v>405</v>
      </c>
      <c r="N1" s="90" t="s">
        <v>35</v>
      </c>
      <c r="O1" s="90" t="s">
        <v>398</v>
      </c>
      <c r="P1" s="90" t="s">
        <v>397</v>
      </c>
      <c r="Q1" s="207" t="s">
        <v>22</v>
      </c>
      <c r="R1" s="207" t="s">
        <v>59</v>
      </c>
      <c r="S1" s="207" t="s">
        <v>202</v>
      </c>
      <c r="T1" s="207" t="s">
        <v>138</v>
      </c>
      <c r="U1" s="207" t="s">
        <v>179</v>
      </c>
      <c r="V1" s="207" t="s">
        <v>178</v>
      </c>
      <c r="W1" s="207" t="s">
        <v>604</v>
      </c>
      <c r="X1" s="207" t="s">
        <v>303</v>
      </c>
      <c r="Y1" s="207" t="s">
        <v>227</v>
      </c>
      <c r="Z1" s="207" t="s">
        <v>536</v>
      </c>
      <c r="AA1" s="46" t="s">
        <v>7</v>
      </c>
      <c r="AB1" s="46" t="s">
        <v>453</v>
      </c>
      <c r="AC1" s="46" t="s">
        <v>454</v>
      </c>
      <c r="AD1" s="46" t="s">
        <v>156</v>
      </c>
      <c r="AE1" s="46" t="s">
        <v>320</v>
      </c>
      <c r="AF1" s="46" t="s">
        <v>327</v>
      </c>
      <c r="AG1" s="46" t="s">
        <v>328</v>
      </c>
      <c r="AH1" s="41" t="s">
        <v>236</v>
      </c>
      <c r="AI1" s="41" t="s">
        <v>314</v>
      </c>
      <c r="AJ1" s="351" t="s">
        <v>689</v>
      </c>
      <c r="AK1" s="351" t="s">
        <v>688</v>
      </c>
      <c r="AL1" s="41" t="s">
        <v>235</v>
      </c>
      <c r="AM1" s="41" t="s">
        <v>548</v>
      </c>
      <c r="AN1" s="355" t="s">
        <v>692</v>
      </c>
      <c r="AO1" s="355" t="s">
        <v>693</v>
      </c>
      <c r="AP1" s="372" t="s">
        <v>527</v>
      </c>
      <c r="AQ1" s="19" t="s">
        <v>55</v>
      </c>
      <c r="AR1" s="19" t="s">
        <v>79</v>
      </c>
      <c r="AS1" s="370" t="s">
        <v>386</v>
      </c>
      <c r="AT1" s="92" t="s">
        <v>594</v>
      </c>
      <c r="AU1" s="92" t="s">
        <v>596</v>
      </c>
      <c r="AV1" s="92" t="s">
        <v>426</v>
      </c>
      <c r="AW1" s="92" t="s">
        <v>597</v>
      </c>
      <c r="AX1" s="92" t="s">
        <v>595</v>
      </c>
      <c r="AY1" s="96" t="s">
        <v>226</v>
      </c>
      <c r="AZ1" s="96" t="s">
        <v>223</v>
      </c>
      <c r="BA1" s="97" t="s">
        <v>224</v>
      </c>
      <c r="BB1" s="96" t="s">
        <v>225</v>
      </c>
      <c r="BC1" s="40" t="s">
        <v>352</v>
      </c>
      <c r="BD1" s="40" t="s">
        <v>353</v>
      </c>
      <c r="BE1" s="40" t="s">
        <v>462</v>
      </c>
      <c r="BF1" s="40" t="s">
        <v>461</v>
      </c>
      <c r="BG1" s="141" t="s">
        <v>56</v>
      </c>
      <c r="BH1" s="141" t="s">
        <v>457</v>
      </c>
      <c r="BI1" s="37" t="s">
        <v>163</v>
      </c>
      <c r="BJ1" s="37" t="s">
        <v>203</v>
      </c>
      <c r="BK1" s="26" t="s">
        <v>322</v>
      </c>
      <c r="BL1" s="26" t="s">
        <v>323</v>
      </c>
      <c r="BM1" s="26" t="s">
        <v>282</v>
      </c>
      <c r="BN1" s="26" t="s">
        <v>361</v>
      </c>
      <c r="BO1" s="26" t="s">
        <v>97</v>
      </c>
      <c r="BP1" s="86" t="s">
        <v>169</v>
      </c>
      <c r="BQ1" s="86" t="s">
        <v>103</v>
      </c>
      <c r="BR1" s="86" t="s">
        <v>362</v>
      </c>
      <c r="BS1" s="147" t="s">
        <v>232</v>
      </c>
      <c r="BT1" s="147" t="s">
        <v>363</v>
      </c>
      <c r="BU1" s="86" t="s">
        <v>199</v>
      </c>
      <c r="BV1" s="146" t="s">
        <v>63</v>
      </c>
      <c r="BW1" s="146" t="s">
        <v>472</v>
      </c>
      <c r="BX1" s="381" t="s">
        <v>342</v>
      </c>
      <c r="BY1" s="381" t="s">
        <v>528</v>
      </c>
      <c r="BZ1" s="381" t="s">
        <v>529</v>
      </c>
      <c r="CA1" s="381" t="s">
        <v>530</v>
      </c>
      <c r="CB1" s="381" t="s">
        <v>532</v>
      </c>
      <c r="CC1" s="381" t="s">
        <v>531</v>
      </c>
      <c r="CD1" s="26" t="s">
        <v>196</v>
      </c>
      <c r="CE1" s="4" t="s">
        <v>364</v>
      </c>
      <c r="CF1" s="4" t="s">
        <v>365</v>
      </c>
      <c r="CG1" s="4" t="s">
        <v>197</v>
      </c>
      <c r="CH1" s="4" t="s">
        <v>91</v>
      </c>
      <c r="CI1" s="4" t="s">
        <v>366</v>
      </c>
      <c r="CJ1" s="4" t="s">
        <v>198</v>
      </c>
      <c r="CK1" s="4" t="s">
        <v>367</v>
      </c>
      <c r="CL1" s="4" t="s">
        <v>92</v>
      </c>
      <c r="CM1" s="18" t="s">
        <v>368</v>
      </c>
      <c r="CN1" s="18" t="s">
        <v>369</v>
      </c>
      <c r="CO1" s="18" t="s">
        <v>294</v>
      </c>
      <c r="CP1" s="18" t="s">
        <v>129</v>
      </c>
      <c r="CQ1" s="74" t="s">
        <v>180</v>
      </c>
      <c r="CR1" s="74" t="s">
        <v>181</v>
      </c>
      <c r="CS1" s="75" t="s">
        <v>182</v>
      </c>
      <c r="CT1" s="75" t="s">
        <v>183</v>
      </c>
      <c r="CU1" s="75" t="s">
        <v>184</v>
      </c>
      <c r="CV1" s="77" t="s">
        <v>185</v>
      </c>
      <c r="CW1" s="77" t="s">
        <v>186</v>
      </c>
      <c r="CX1" s="78" t="s">
        <v>187</v>
      </c>
      <c r="CY1" s="78" t="s">
        <v>188</v>
      </c>
      <c r="CZ1" s="79" t="s">
        <v>189</v>
      </c>
      <c r="DA1" s="26" t="s">
        <v>190</v>
      </c>
      <c r="DB1" s="26" t="s">
        <v>191</v>
      </c>
      <c r="DC1" s="26" t="s">
        <v>192</v>
      </c>
      <c r="DD1" s="139" t="s">
        <v>84</v>
      </c>
      <c r="DE1" s="139" t="s">
        <v>158</v>
      </c>
      <c r="DF1" s="414" t="s">
        <v>863</v>
      </c>
      <c r="DG1" s="19" t="s">
        <v>403</v>
      </c>
      <c r="DH1" s="19" t="s">
        <v>193</v>
      </c>
      <c r="DI1" s="19" t="s">
        <v>194</v>
      </c>
      <c r="DJ1" s="19" t="s">
        <v>404</v>
      </c>
      <c r="DK1" s="84" t="s">
        <v>379</v>
      </c>
      <c r="DL1" s="84" t="s">
        <v>228</v>
      </c>
      <c r="DM1" s="19" t="s">
        <v>229</v>
      </c>
      <c r="DN1" s="19" t="s">
        <v>406</v>
      </c>
      <c r="DO1" s="19" t="s">
        <v>460</v>
      </c>
      <c r="DP1" s="22" t="s">
        <v>233</v>
      </c>
      <c r="DQ1" s="22" t="s">
        <v>234</v>
      </c>
      <c r="DR1" s="4" t="s">
        <v>371</v>
      </c>
      <c r="DS1" s="4" t="s">
        <v>559</v>
      </c>
      <c r="DT1" s="4" t="s">
        <v>128</v>
      </c>
      <c r="DU1" s="4" t="s">
        <v>464</v>
      </c>
      <c r="DV1" s="4" t="s">
        <v>44</v>
      </c>
      <c r="DW1" s="40" t="s">
        <v>414</v>
      </c>
      <c r="DX1" s="40" t="s">
        <v>99</v>
      </c>
      <c r="DY1" s="40" t="s">
        <v>424</v>
      </c>
      <c r="DZ1" s="160" t="s">
        <v>425</v>
      </c>
      <c r="EA1" s="17" t="s">
        <v>423</v>
      </c>
      <c r="EB1" s="19" t="s">
        <v>430</v>
      </c>
      <c r="EC1" s="394" t="s">
        <v>75</v>
      </c>
      <c r="ED1" s="394" t="s">
        <v>157</v>
      </c>
      <c r="EE1" s="394" t="s">
        <v>520</v>
      </c>
      <c r="EF1" s="394" t="s">
        <v>209</v>
      </c>
      <c r="EG1" s="394" t="s">
        <v>519</v>
      </c>
      <c r="EH1" s="331" t="s">
        <v>267</v>
      </c>
      <c r="EI1" s="331" t="s">
        <v>266</v>
      </c>
      <c r="EJ1" s="393" t="s">
        <v>510</v>
      </c>
      <c r="EK1" s="393" t="s">
        <v>795</v>
      </c>
      <c r="EL1" s="393" t="s">
        <v>748</v>
      </c>
      <c r="EM1" s="149" t="s">
        <v>332</v>
      </c>
      <c r="EN1" s="149" t="s">
        <v>333</v>
      </c>
      <c r="EO1" s="186" t="s">
        <v>466</v>
      </c>
      <c r="EP1" s="186" t="s">
        <v>410</v>
      </c>
      <c r="EQ1" s="186" t="s">
        <v>747</v>
      </c>
      <c r="ER1" s="186" t="s">
        <v>410</v>
      </c>
      <c r="ES1" s="186" t="s">
        <v>796</v>
      </c>
      <c r="ET1" s="82" t="s">
        <v>330</v>
      </c>
      <c r="EU1" s="82" t="s">
        <v>200</v>
      </c>
      <c r="EV1" s="294" t="s">
        <v>411</v>
      </c>
      <c r="EW1" s="40" t="s">
        <v>412</v>
      </c>
      <c r="EX1" s="40" t="s">
        <v>154</v>
      </c>
      <c r="EY1" s="43" t="s">
        <v>395</v>
      </c>
      <c r="EZ1" s="43" t="s">
        <v>396</v>
      </c>
      <c r="FA1" s="37" t="s">
        <v>205</v>
      </c>
      <c r="FB1" s="101" t="s">
        <v>399</v>
      </c>
      <c r="FC1" s="101" t="s">
        <v>25</v>
      </c>
      <c r="FD1" s="261" t="s">
        <v>14</v>
      </c>
      <c r="FE1" s="262" t="s">
        <v>566</v>
      </c>
      <c r="FF1" s="262" t="s">
        <v>487</v>
      </c>
      <c r="FG1" s="262" t="s">
        <v>20</v>
      </c>
      <c r="FH1" s="262" t="s">
        <v>1</v>
      </c>
      <c r="FI1" s="262" t="s">
        <v>0</v>
      </c>
      <c r="FJ1" s="262" t="s">
        <v>29</v>
      </c>
      <c r="FK1" s="262" t="s">
        <v>37</v>
      </c>
      <c r="FL1" s="262" t="s">
        <v>2</v>
      </c>
      <c r="FM1" s="262" t="s">
        <v>3</v>
      </c>
      <c r="FN1" s="262" t="s">
        <v>81</v>
      </c>
      <c r="FO1" s="262" t="s">
        <v>567</v>
      </c>
      <c r="FP1" s="262" t="s">
        <v>580</v>
      </c>
      <c r="FQ1" s="262" t="s">
        <v>720</v>
      </c>
      <c r="FR1" s="262" t="s">
        <v>581</v>
      </c>
      <c r="FS1" s="262" t="s">
        <v>582</v>
      </c>
      <c r="FT1" s="262" t="s">
        <v>6</v>
      </c>
      <c r="FU1" s="262" t="s">
        <v>735</v>
      </c>
      <c r="FV1" s="262" t="s">
        <v>724</v>
      </c>
      <c r="FW1" s="262" t="s">
        <v>725</v>
      </c>
      <c r="FX1" s="262" t="s">
        <v>7</v>
      </c>
      <c r="FY1" s="262" t="s">
        <v>153</v>
      </c>
      <c r="FZ1" s="262" t="s">
        <v>575</v>
      </c>
      <c r="GA1" s="262" t="s">
        <v>576</v>
      </c>
      <c r="GB1" s="262" t="s">
        <v>71</v>
      </c>
      <c r="GC1" s="262" t="s">
        <v>520</v>
      </c>
      <c r="GD1" s="262" t="s">
        <v>414</v>
      </c>
      <c r="GE1" s="262" t="s">
        <v>577</v>
      </c>
      <c r="GF1" s="262" t="s">
        <v>84</v>
      </c>
      <c r="GG1" s="262" t="s">
        <v>8</v>
      </c>
      <c r="GH1" s="262" t="s">
        <v>736</v>
      </c>
      <c r="GI1" s="262" t="s">
        <v>732</v>
      </c>
      <c r="GJ1" s="262" t="s">
        <v>731</v>
      </c>
      <c r="GK1" s="262" t="s">
        <v>176</v>
      </c>
      <c r="GL1" s="262" t="s">
        <v>177</v>
      </c>
      <c r="GM1" s="262" t="s">
        <v>727</v>
      </c>
      <c r="GN1" s="262" t="s">
        <v>728</v>
      </c>
      <c r="GO1" s="262" t="s">
        <v>734</v>
      </c>
      <c r="GP1" s="262" t="s">
        <v>739</v>
      </c>
      <c r="GQ1" s="262" t="s">
        <v>740</v>
      </c>
      <c r="GR1" s="262" t="s">
        <v>371</v>
      </c>
      <c r="GS1" s="262" t="s">
        <v>741</v>
      </c>
      <c r="GT1" s="262" t="s">
        <v>591</v>
      </c>
      <c r="GU1" s="262" t="s">
        <v>588</v>
      </c>
      <c r="GV1" s="262" t="s">
        <v>583</v>
      </c>
      <c r="GW1" s="262" t="s">
        <v>12</v>
      </c>
      <c r="GX1" s="262" t="s">
        <v>238</v>
      </c>
      <c r="GY1" s="262" t="s">
        <v>221</v>
      </c>
      <c r="GZ1" s="262" t="s">
        <v>46</v>
      </c>
      <c r="HA1" s="262" t="s">
        <v>445</v>
      </c>
      <c r="HB1" s="262" t="s">
        <v>342</v>
      </c>
      <c r="HC1" s="262" t="s">
        <v>249</v>
      </c>
      <c r="HD1" s="262" t="s">
        <v>726</v>
      </c>
      <c r="HE1" s="262" t="s">
        <v>154</v>
      </c>
      <c r="HF1" s="262" t="s">
        <v>737</v>
      </c>
      <c r="HG1" s="262" t="s">
        <v>738</v>
      </c>
      <c r="HH1" s="262" t="s">
        <v>18</v>
      </c>
      <c r="HI1" s="263" t="s">
        <v>572</v>
      </c>
    </row>
    <row r="2" spans="1:217" ht="24.95" customHeight="1" thickBot="1" x14ac:dyDescent="0.3">
      <c r="A2" s="29" t="str">
        <f t="shared" ref="A2:A11" si="0">ROW()-1 &amp; "º"</f>
        <v>1º</v>
      </c>
      <c r="B2" s="67" t="str">
        <f t="shared" ref="B2:B11" si="1">FG2</f>
        <v>Diego Coppola</v>
      </c>
      <c r="C2" s="83" t="str">
        <f t="shared" ref="C2:C11" si="2">FE2</f>
        <v>ITA</v>
      </c>
      <c r="D2" s="239" t="str">
        <f t="shared" ref="D2:D11" si="3">FI2</f>
        <v>Paris FC</v>
      </c>
      <c r="E2" s="348" t="str">
        <f t="shared" ref="E2:E11" si="4">FF2</f>
        <v>D (C)</v>
      </c>
      <c r="F2" s="36">
        <f t="shared" ref="F2:F11" si="5">FH2</f>
        <v>22</v>
      </c>
      <c r="G2" s="342">
        <f t="shared" ref="G2:G11" si="6">FN2</f>
        <v>47664</v>
      </c>
      <c r="H2" s="299" t="str">
        <f t="shared" ref="H2:H11" si="7">FM2</f>
        <v>€126m p/m</v>
      </c>
      <c r="I2" s="89">
        <f t="shared" ref="I2:I11" si="8">AVERAGE(J:J)</f>
        <v>17.137777777777778</v>
      </c>
      <c r="J2" s="183">
        <f t="shared" ref="J2:J11" si="9">IFERROR(FO2/90,0)</f>
        <v>18.522222222222222</v>
      </c>
      <c r="K2" s="183">
        <f t="shared" ref="K2:K11" si="10">IFERROR(IF(ISERROR(FIND("(",FP2)), VALUE(FP2), VALUE(LEFT(FP2,FIND("(",FP2)-2)) + VALUE(MID(FP2,FIND("(",FP2)+1,FIND(")",FP2)-FIND("(",FP2)-1))),0)</f>
        <v>19</v>
      </c>
      <c r="L2" s="183">
        <f t="shared" ref="L2:L11" si="11">IFERROR(FO2/K2,0)</f>
        <v>87.736842105263165</v>
      </c>
      <c r="M2" s="184">
        <f t="shared" ref="M2:M11" si="12">IFERROR(IF(ISERROR(FIND("(",FP2)), "100%", TEXT(VALUE(LEFT(FP2,FIND("(",FP2)-2)) / (VALUE(LEFT(FP2,FIND("(",FP2)-2)) + VALUE(MID(FP2,FIND("(",FP2)+1,FIND(")",FP2)-FIND("(",FP2)-1))),"0%")),0)*1</f>
        <v>1</v>
      </c>
      <c r="N2" s="6">
        <f t="shared" ref="N2:N11" si="13">FQ2</f>
        <v>0</v>
      </c>
      <c r="O2" s="24">
        <f t="shared" ref="O2:O11" si="14">IFERROR((FO2/FQ2),5400)</f>
        <v>5400</v>
      </c>
      <c r="P2" s="21">
        <f t="shared" ref="P2:P11" si="15">IFERROR((N2*1)/J2,0)</f>
        <v>0</v>
      </c>
      <c r="Q2" s="373">
        <f t="shared" ref="Q2:Q11" si="16">FR2</f>
        <v>0</v>
      </c>
      <c r="R2" s="373">
        <f t="shared" ref="R2:R11" si="17">FS2</f>
        <v>0</v>
      </c>
      <c r="S2" s="373">
        <f t="shared" ref="S2:S11" si="18">Q2+R2</f>
        <v>0</v>
      </c>
      <c r="T2" s="374">
        <f t="shared" ref="T2:T11" si="19">IFERROR(Q2/J2,0)</f>
        <v>0</v>
      </c>
      <c r="U2" s="374">
        <f t="shared" ref="U2:U11" si="20">IFERROR(R2/J2,0)</f>
        <v>0</v>
      </c>
      <c r="V2" s="374">
        <f t="shared" ref="V2:V11" si="21">IFERROR((Q2+R2)/J2,0)</f>
        <v>0</v>
      </c>
      <c r="W2" s="383">
        <f t="shared" ref="W2:W11" si="22">FR2-GT2-HG2</f>
        <v>0</v>
      </c>
      <c r="X2" s="383">
        <f t="shared" ref="X2:X11" si="23">GT2</f>
        <v>0</v>
      </c>
      <c r="Y2" s="326">
        <f t="shared" ref="Y2:Y11" si="24">HG2</f>
        <v>0</v>
      </c>
      <c r="Z2" s="384">
        <f t="shared" ref="Z2:Z11" si="25">IFERROR(FR2-HG2,0)</f>
        <v>0</v>
      </c>
      <c r="AA2" s="73">
        <f t="shared" ref="AA2:AA11" si="26">SUBSTITUTE(FX2,".","," )*1</f>
        <v>0.13</v>
      </c>
      <c r="AB2" s="73">
        <f t="shared" ref="AB2:AB11" si="27">IFERROR(AA2-(HF2*0.79),0)</f>
        <v>0.13</v>
      </c>
      <c r="AC2" s="73">
        <f t="shared" ref="AC2:AC11" si="28">IFERROR(AB2/J2,0)</f>
        <v>7.0185962807438511E-3</v>
      </c>
      <c r="AD2" s="73">
        <f t="shared" ref="AD2:AD11" si="29">SUBSTITUTE(FY2,".","," )*1</f>
        <v>1.06</v>
      </c>
      <c r="AE2" s="73">
        <f t="shared" ref="AE2:AE11" si="30">IFERROR(AD2/J2,0)</f>
        <v>5.7228554289142176E-2</v>
      </c>
      <c r="AF2" s="73">
        <f t="shared" ref="AF2:AF11" si="31">IFERROR(AB2+AD2,0)</f>
        <v>1.19</v>
      </c>
      <c r="AG2" s="73">
        <f t="shared" ref="AG2:AG11" si="32">AC2+AE2</f>
        <v>6.424715056988603E-2</v>
      </c>
      <c r="AH2" s="6">
        <f t="shared" ref="AH2:AH11" si="33">GG2</f>
        <v>5</v>
      </c>
      <c r="AI2" s="5">
        <f t="shared" ref="AI2:AI11" si="34">IFERROR(GG2/J2,0)</f>
        <v>0.26994601079784042</v>
      </c>
      <c r="AJ2" s="6">
        <f t="shared" ref="AJ2:AJ11" si="35">GG2-GH2</f>
        <v>3</v>
      </c>
      <c r="AK2" s="5">
        <f t="shared" ref="AK2:AK11" si="36">AJ2/J2</f>
        <v>0.16196760647870426</v>
      </c>
      <c r="AL2" s="6">
        <f t="shared" ref="AL2:AL11" si="37">GH2</f>
        <v>2</v>
      </c>
      <c r="AM2" s="5">
        <f t="shared" ref="AM2:AM11" si="38">IFERROR(GH2/J2,0)</f>
        <v>0.10797840431913618</v>
      </c>
      <c r="AN2" s="6">
        <f t="shared" ref="AN2:AN11" si="39">GH2-FR2</f>
        <v>2</v>
      </c>
      <c r="AO2" s="5">
        <f t="shared" ref="AO2:AO11" si="40">IFERROR(AN2/J2,0)</f>
        <v>0.10797840431913618</v>
      </c>
      <c r="AP2" s="21">
        <f t="shared" ref="AP2:AP11" si="41">IFERROR(AL2/AH2,0)</f>
        <v>0.4</v>
      </c>
      <c r="AQ2" s="73">
        <f t="shared" ref="AQ2:AQ11" si="42">IFERROR((GG2-HF2)/(FR2-HG2),50)</f>
        <v>50</v>
      </c>
      <c r="AR2" s="73">
        <f t="shared" ref="AR2:AR11" si="43">IFERROR((GH2-HF2)/(FR2-HG2),50)</f>
        <v>50</v>
      </c>
      <c r="AS2" s="20">
        <f t="shared" ref="AS2:AS11" si="44">IFERROR((FR2-HG2)/(GG2-HF2),0)</f>
        <v>0</v>
      </c>
      <c r="AT2" s="278">
        <f t="shared" ref="AT2:AT11" si="45">GR2-GP2</f>
        <v>0</v>
      </c>
      <c r="AU2" s="279">
        <f t="shared" ref="AU2:AU11" si="46">AT2/J2</f>
        <v>0</v>
      </c>
      <c r="AV2" s="278">
        <f t="shared" ref="AV2:AV11" si="47">GS2-GQ2</f>
        <v>0</v>
      </c>
      <c r="AW2" s="279">
        <f t="shared" ref="AW2:AW11" si="48">AV2/J2</f>
        <v>0</v>
      </c>
      <c r="AX2" s="277">
        <f t="shared" ref="AX2:AX11" si="49">IFERROR(AV2/AT2,0)</f>
        <v>0</v>
      </c>
      <c r="AY2" s="278">
        <f t="shared" ref="AY2:AY11" si="50">HF2</f>
        <v>0</v>
      </c>
      <c r="AZ2" s="278">
        <f t="shared" ref="AZ2:AZ11" si="51">HG2</f>
        <v>0</v>
      </c>
      <c r="BA2" s="319">
        <f t="shared" ref="BA2:BA11" si="52">AY2-AZ2</f>
        <v>0</v>
      </c>
      <c r="BB2" s="318">
        <f t="shared" ref="BB2:BB11" si="53">IFERROR((AZ2*1)/AY2,0.00000001)</f>
        <v>1E-8</v>
      </c>
      <c r="BC2" s="73">
        <f t="shared" ref="BC2:BC11" si="54">IFERROR(FO2/GG2,700)</f>
        <v>333.4</v>
      </c>
      <c r="BD2" s="73">
        <f t="shared" ref="BD2:BD11" si="55">IFERROR(FO2/GH2,700)</f>
        <v>833.5</v>
      </c>
      <c r="BE2" s="73">
        <f t="shared" ref="BE2:BE11" si="56">IFERROR(FO2/FR2,FO2)</f>
        <v>1667</v>
      </c>
      <c r="BF2" s="73">
        <f t="shared" ref="BF2:BF11" si="57">IFERROR(FO2/S2,FO2)</f>
        <v>1667</v>
      </c>
      <c r="BG2" s="5">
        <f t="shared" ref="BG2:BG11" si="58">IFERROR(FR2-AA2,0)</f>
        <v>-0.13</v>
      </c>
      <c r="BH2" s="5">
        <f t="shared" ref="BH2:BH11" si="59">IFERROR((FR2 -HG2)-AB2,0)</f>
        <v>-0.13</v>
      </c>
      <c r="BI2" s="72">
        <f t="shared" ref="BI2:BI11" si="60">GW2</f>
        <v>0</v>
      </c>
      <c r="BJ2" s="73">
        <f t="shared" ref="BJ2:BJ11" si="61">IFERROR(BI2/J2,0)</f>
        <v>0</v>
      </c>
      <c r="BK2" s="72">
        <f t="shared" ref="BK2:BK11" si="62">GI2</f>
        <v>90</v>
      </c>
      <c r="BL2" s="72">
        <f t="shared" ref="BL2:BL11" si="63">GJ2</f>
        <v>63</v>
      </c>
      <c r="BM2" s="72">
        <f t="shared" ref="BM2:BM11" si="64">BK2-BL2</f>
        <v>27</v>
      </c>
      <c r="BN2" s="73">
        <f t="shared" ref="BN2:BN11" si="65">IFERROR(BL2/J2,0)</f>
        <v>3.4013197360527894</v>
      </c>
      <c r="BO2" s="76">
        <f t="shared" ref="BO2:BO11" si="66">IFERROR((BL2*1)/BK2,0)</f>
        <v>0.7</v>
      </c>
      <c r="BP2" s="72">
        <f t="shared" ref="BP2:BP11" si="67">GM2+FZ2</f>
        <v>16</v>
      </c>
      <c r="BQ2" s="72">
        <f t="shared" ref="BQ2:BQ11" si="68">GN2</f>
        <v>8</v>
      </c>
      <c r="BR2" s="73">
        <f t="shared" ref="BR2:BR11" si="69">IFERROR(GN2/J2,0)</f>
        <v>0.4319136172765447</v>
      </c>
      <c r="BS2" s="72">
        <f t="shared" ref="BS2:BS11" si="70">GM2-GN2</f>
        <v>0</v>
      </c>
      <c r="BT2" s="73">
        <f t="shared" ref="BT2:BT11" si="71">IFERROR(BS2/J2,0)</f>
        <v>0</v>
      </c>
      <c r="BU2" s="76">
        <f t="shared" ref="BU2:BU11" si="72">IFERROR(BQ2/BP2,0)</f>
        <v>0.5</v>
      </c>
      <c r="BV2" s="256">
        <f t="shared" ref="BV2:BV11" si="73">FZ2</f>
        <v>8</v>
      </c>
      <c r="BW2" s="255">
        <f t="shared" ref="BW2:BW11" si="74">IFERROR(BV2/J2,0)</f>
        <v>0.4319136172765447</v>
      </c>
      <c r="BX2" s="375">
        <f t="shared" ref="BX2:BX11" si="75">HB2</f>
        <v>3</v>
      </c>
      <c r="BY2" s="376">
        <f t="shared" ref="BY2:BY11" si="76">IFERROR(BX2/J2,0)</f>
        <v>0.16196760647870426</v>
      </c>
      <c r="BZ2" s="377">
        <f t="shared" ref="BZ2:BZ11" si="77">HC2</f>
        <v>0</v>
      </c>
      <c r="CA2" s="378">
        <f t="shared" ref="CA2:CA11" si="78">IFERROR(BZ2/J2,0)</f>
        <v>0</v>
      </c>
      <c r="CB2" s="379">
        <f t="shared" ref="CB2:CB11" si="79">BX2+BZ2</f>
        <v>3</v>
      </c>
      <c r="CC2" s="380">
        <f t="shared" ref="CC2:CC11" si="80">IFERROR(CB2/FZ2,0)</f>
        <v>0.375</v>
      </c>
      <c r="CD2" s="73">
        <f t="shared" ref="CD2:CD11" si="81">IFERROR(FV2-FW2,0)</f>
        <v>10.6</v>
      </c>
      <c r="CE2" s="72">
        <f t="shared" ref="CE2:CE11" si="82">GK2</f>
        <v>38</v>
      </c>
      <c r="CF2" s="72">
        <f t="shared" ref="CF2:CF11" si="83">GL2</f>
        <v>14</v>
      </c>
      <c r="CG2" s="148">
        <f t="shared" ref="CG2:CG11" si="84">IFERROR((CF2*1)/CE2,0)</f>
        <v>0.36842105263157893</v>
      </c>
      <c r="CH2" s="72">
        <f t="shared" ref="CH2:CH11" si="85">GI2+GM2+HA2+FZ2+GK2</f>
        <v>148</v>
      </c>
      <c r="CI2" s="73">
        <f t="shared" ref="CI2:CI11" si="86">IFERROR(CH2/J2,0)</f>
        <v>7.9904019196160769</v>
      </c>
      <c r="CJ2" s="72">
        <f t="shared" ref="CJ2:CJ11" si="87">GJ2+GN2+HA2+GL2</f>
        <v>89</v>
      </c>
      <c r="CK2" s="73">
        <f t="shared" ref="CK2:CK11" si="88">IFERROR(CJ2/J2,0)</f>
        <v>4.8050389922015597</v>
      </c>
      <c r="CL2" s="148">
        <f t="shared" ref="CL2:CL11" si="89">IFERROR((CJ2*1)/CH2,0)</f>
        <v>0.60135135135135132</v>
      </c>
      <c r="CM2" s="72">
        <f t="shared" ref="CM2:CM11" si="90">(GX2+GY2+GO2+HA2+(GZ2*2))</f>
        <v>131</v>
      </c>
      <c r="CN2" s="73">
        <f t="shared" ref="CN2:CN11" si="91">IFERROR(CM2/J2,0)</f>
        <v>7.0725854829034196</v>
      </c>
      <c r="CO2" s="72">
        <f t="shared" ref="CO2:CO11" si="92">IFERROR((GL2+GN2)+(HA2*2),0)</f>
        <v>30</v>
      </c>
      <c r="CP2" s="73">
        <f t="shared" ref="CP2:CP11" si="93">IFERROR(CO2/J2,0)</f>
        <v>1.6196760647870425</v>
      </c>
      <c r="CQ2" s="72">
        <f t="shared" ref="CQ2:CQ11" si="94">GR2+GF2+GW2+GG2+FU2+GD2+(GU2*J2)</f>
        <v>15.704444444444444</v>
      </c>
      <c r="CR2" s="73">
        <f t="shared" ref="CR2:CR11" si="95">IFERROR(CQ2/J2,0)</f>
        <v>0.84787042591481709</v>
      </c>
      <c r="CS2" s="72">
        <f t="shared" ref="CS2:CS11" si="96">GS2+GF2+GW2+GH2+FU2+GD2</f>
        <v>8</v>
      </c>
      <c r="CT2" s="73">
        <f t="shared" ref="CT2:CT11" si="97">IFERROR(CS2/J2,0)</f>
        <v>0.4319136172765447</v>
      </c>
      <c r="CU2" s="76">
        <f t="shared" ref="CU2:CU11" si="98">IFERROR((CS2*1)/CQ2,0)</f>
        <v>0.50940993349370312</v>
      </c>
      <c r="CV2" s="72">
        <f t="shared" ref="CV2:CV11" si="99">IFERROR((HD2*3)+GI2+GM2+GO2+GZ2+GX2+GY2+FZ2+HA2+HB2+(HC2*3),0)</f>
        <v>219</v>
      </c>
      <c r="CW2" s="73">
        <f t="shared" ref="CW2:CW11" si="100">IFERROR(CV2/J2,0)</f>
        <v>11.823635272945412</v>
      </c>
      <c r="CX2" s="72">
        <f t="shared" ref="CX2:CX11" si="101">IFERROR(GJ2+GN2+GO2+GZ2+GX2+GY2+(HA2*2),0)</f>
        <v>185</v>
      </c>
      <c r="CY2" s="73">
        <f t="shared" ref="CY2:CY11" si="102">IFERROR(CX2/J2,0)</f>
        <v>9.9880023995200968</v>
      </c>
      <c r="CZ2" s="76">
        <f t="shared" ref="CZ2:CZ11" si="103">IFERROR(CX2/CV2,0)</f>
        <v>0.84474885844748859</v>
      </c>
      <c r="DA2" s="80">
        <f t="shared" ref="DA2:DA11" si="104">(CV2+CQ2)+GB2</f>
        <v>1131.7044444444446</v>
      </c>
      <c r="DB2" s="80">
        <f t="shared" ref="DB2:DB11" si="105">IFERROR((CX2+CS2)+GC2,0)</f>
        <v>1040</v>
      </c>
      <c r="DC2" s="81">
        <f t="shared" ref="DC2:DC11" si="106">IFERROR(DB2/DA2,0)</f>
        <v>0.91896784987050006</v>
      </c>
      <c r="DD2" s="336">
        <f t="shared" ref="DD2:DD11" si="107">GF2</f>
        <v>1</v>
      </c>
      <c r="DE2" s="337">
        <f t="shared" ref="DE2:DE11" si="108">IFERROR(DD2/J2,0)</f>
        <v>5.3989202159568088E-2</v>
      </c>
      <c r="DF2" s="413">
        <f t="shared" ref="DF2:DF11" si="109">(0.45*(FU2/J2))+(0.15*DX2)+(0.05*EK2)+(0.15*DE2)+(0.15*AE2)+(0.05*(GA2/J2))</f>
        <v>0.20024595080983801</v>
      </c>
      <c r="DG2" s="72">
        <f t="shared" ref="DG2:DG11" si="110">IFERROR(GD2+FU2+GS2,0)</f>
        <v>5</v>
      </c>
      <c r="DH2" s="73">
        <f t="shared" ref="DH2:DH11" si="111">IFERROR(DG2/J2,0)</f>
        <v>0.26994601079784042</v>
      </c>
      <c r="DI2" s="72">
        <f t="shared" ref="DI2:DI11" si="112">IFERROR(GG2+FU2+GD2,0)</f>
        <v>10</v>
      </c>
      <c r="DJ2" s="73">
        <f t="shared" ref="DJ2:DJ11" si="113">IFERROR(DI2/J2,0)</f>
        <v>0.53989202159568084</v>
      </c>
      <c r="DK2" s="72">
        <f t="shared" ref="DK2:DK11" si="114">IFERROR(DL2*J2,0)</f>
        <v>3.7044444444444444</v>
      </c>
      <c r="DL2" s="73">
        <f t="shared" ref="DL2:DL11" si="115">IFERROR(GU2,0)</f>
        <v>0.2</v>
      </c>
      <c r="DM2" s="72">
        <f t="shared" ref="DM2:DM11" si="116">IFERROR((GR2+GN2+HA2+GO2+GL2+GI2+GF2+GG2+HF2+GV2+GB2),0)</f>
        <v>1078</v>
      </c>
      <c r="DN2" s="73">
        <f t="shared" ref="DN2:DN11" si="117">IFERROR(DM2/J2,0)</f>
        <v>58.2003599280144</v>
      </c>
      <c r="DO2" s="72">
        <f t="shared" ref="DO2:DO11" si="118">IFERROR((((FR2*1.5)+(FS2*1.5)+GF2+FU2+GD2+GH2)),0)</f>
        <v>8</v>
      </c>
      <c r="DP2" s="6">
        <f t="shared" ref="DP2:DP11" si="119">IFERROR(GH2+AD2+FU2+GD2+(GU2*J2)+(FR2*0.5)+(FS2*0.5),0)</f>
        <v>11.764444444444445</v>
      </c>
      <c r="DQ2" s="5">
        <f t="shared" ref="DQ2:DQ11" si="120">IFERROR(DP2/J2,0)</f>
        <v>0.63515296940611876</v>
      </c>
      <c r="DR2" s="55">
        <f t="shared" ref="DR2:DR11" si="121">GP2</f>
        <v>1</v>
      </c>
      <c r="DS2" s="56">
        <f t="shared" ref="DS2:DS11" si="122">DR2/J2</f>
        <v>5.3989202159568088E-2</v>
      </c>
      <c r="DT2" s="55">
        <f t="shared" ref="DT2:DT11" si="123">GQ2</f>
        <v>0</v>
      </c>
      <c r="DU2" s="56">
        <f t="shared" ref="DU2:DU11" si="124">DT2/J2</f>
        <v>0</v>
      </c>
      <c r="DV2" s="104">
        <f t="shared" ref="DV2:DV11" si="125">IFERROR(GQ2/GP2,0)</f>
        <v>0</v>
      </c>
      <c r="DW2" s="6">
        <f t="shared" ref="DW2:DW11" si="126">GD2</f>
        <v>2</v>
      </c>
      <c r="DX2" s="5">
        <f t="shared" ref="DX2:DX11" si="127">IFERROR(DW2/J2,0)</f>
        <v>0.10797840431913618</v>
      </c>
      <c r="DY2" s="5">
        <f t="shared" ref="DY2:DY11" si="128">IFERROR(GD2/FS2,70)</f>
        <v>70</v>
      </c>
      <c r="DZ2" s="21">
        <f t="shared" ref="DZ2:DZ11" si="129">IFERROR((FS2*1)/GD2,0)</f>
        <v>0</v>
      </c>
      <c r="EA2" s="5">
        <f t="shared" ref="EA2:EA11" si="130">(AD2-FS2)</f>
        <v>1.06</v>
      </c>
      <c r="EB2" s="5">
        <f t="shared" ref="EB2:EB11" si="131">IFERROR(AD2/GD2,0)</f>
        <v>0.53</v>
      </c>
      <c r="EC2" s="72">
        <f t="shared" ref="EC2:EC11" si="132">GB2</f>
        <v>897</v>
      </c>
      <c r="ED2" s="73">
        <f t="shared" ref="ED2:ED11" si="133">IFERROR(EC2/J2,0)</f>
        <v>48.428314337132576</v>
      </c>
      <c r="EE2" s="72">
        <f t="shared" ref="EE2:EE11" si="134">GC2</f>
        <v>847</v>
      </c>
      <c r="EF2" s="73">
        <f t="shared" ref="EF2:EF11" si="135">IFERROR(EE2/J2,0)</f>
        <v>45.728854229154166</v>
      </c>
      <c r="EG2" s="76">
        <f t="shared" ref="EG2:EG11" si="136">IFERROR(EE2/EC2,0)</f>
        <v>0.94425863991081382</v>
      </c>
      <c r="EH2" s="416">
        <f t="shared" ref="EH2:EH11" si="137">GB2-GC2</f>
        <v>50</v>
      </c>
      <c r="EI2" s="396">
        <f t="shared" ref="EI2:EI11" si="138">IFERROR(EH2/J2,0)</f>
        <v>2.6994601079784042</v>
      </c>
      <c r="EJ2" s="256">
        <f t="shared" ref="EJ2:EJ11" si="139">GE2</f>
        <v>32</v>
      </c>
      <c r="EK2" s="255">
        <f t="shared" ref="EK2:EK11" si="140">IFERROR(GE2/J2,0)</f>
        <v>1.7276544691061788</v>
      </c>
      <c r="EL2" s="397">
        <f t="shared" ref="EL2:EL11" si="141">IFERROR(GE2/GB2,0)</f>
        <v>3.5674470457079152E-2</v>
      </c>
      <c r="EM2" s="73">
        <f t="shared" ref="EM2:EM11" si="142">IFERROR(FO2/GD2,700)</f>
        <v>833.5</v>
      </c>
      <c r="EN2" s="73">
        <f t="shared" ref="EN2:EN11" si="143">IFERROR(FO2/(GH2+FU2+GD2),700)</f>
        <v>238.14285714285714</v>
      </c>
      <c r="EO2" s="205">
        <f t="shared" ref="EO2:EO11" si="144">IFERROR((GR2+GG2+GF2+GD2+GE2+GW2+HF2+FR2+FS2),0)</f>
        <v>41</v>
      </c>
      <c r="EP2" s="206">
        <f t="shared" ref="EP2:EP11" si="145">IFERROR(EO2/J2,0)</f>
        <v>2.2135572885422916</v>
      </c>
      <c r="EQ2" s="205">
        <f t="shared" ref="EQ2:EQ11" si="146">IFERROR((GS2+GH2+GF2+GD2+GE2+HG2+FR2+FS2),0)</f>
        <v>37</v>
      </c>
      <c r="ER2" s="206">
        <f t="shared" ref="ER2:ER11" si="147">IFERROR(EQ2/J2,0)</f>
        <v>1.9976004799040192</v>
      </c>
      <c r="ES2" s="81">
        <f t="shared" ref="ES2:ES11" si="148">IFERROR(EQ2/EO2,0)</f>
        <v>0.90243902439024393</v>
      </c>
      <c r="ET2" s="174">
        <f t="shared" ref="ET2:ET11" si="149">IFERROR(VALUE(SUBSTITUTE(HH2, " km", "")),0)</f>
        <v>187.9</v>
      </c>
      <c r="EU2" s="191">
        <f t="shared" ref="EU2:EU11" si="150">IFERROR(ET2/J2,0)</f>
        <v>10.144571085782843</v>
      </c>
      <c r="EV2" s="193">
        <f t="shared" ref="EV2:EV11" si="151">IFERROR(ET2/(FO2/60),0)</f>
        <v>6.7630473905218951</v>
      </c>
      <c r="EW2" s="192">
        <f t="shared" ref="EW2:EW11" si="152">IFERROR((EX2*J2),0)</f>
        <v>79.645555555555546</v>
      </c>
      <c r="EX2" s="73">
        <f t="shared" ref="EX2:EX11" si="153">IFERROR(HE2,0)</f>
        <v>4.3</v>
      </c>
      <c r="EY2" s="55">
        <f t="shared" ref="EY2:EY11" si="154">(GR2-GS2)+(GI2-GJ2)+(GG2-GH2)+(GB2-GC2)</f>
        <v>81</v>
      </c>
      <c r="EZ2" s="56">
        <f t="shared" ref="EZ2:EZ11" si="155">IFERROR(EY2/J2,0)</f>
        <v>4.3731253749250154</v>
      </c>
      <c r="FA2" s="73">
        <f t="shared" ref="FA2:FA11" si="156">FW2</f>
        <v>3</v>
      </c>
      <c r="FB2" s="56">
        <f t="shared" ref="FB2:FB11" si="157">FC2*J2</f>
        <v>124.09888888888889</v>
      </c>
      <c r="FC2" s="60">
        <f t="shared" ref="FC2:FC11" si="158">IFERROR(VALUE(SUBSTITUTE(HI2, ".", ",")),5)</f>
        <v>6.7</v>
      </c>
      <c r="FD2" s="270"/>
      <c r="FE2" s="266" t="s">
        <v>614</v>
      </c>
      <c r="FF2" s="266" t="s">
        <v>808</v>
      </c>
      <c r="FG2" s="266" t="s">
        <v>824</v>
      </c>
      <c r="FH2" s="266">
        <v>22</v>
      </c>
      <c r="FI2" s="266" t="s">
        <v>825</v>
      </c>
      <c r="FJ2" s="266" t="s">
        <v>523</v>
      </c>
      <c r="FK2" s="266" t="s">
        <v>573</v>
      </c>
      <c r="FL2" s="266" t="s">
        <v>794</v>
      </c>
      <c r="FM2" s="266" t="s">
        <v>826</v>
      </c>
      <c r="FN2" s="267">
        <v>47664</v>
      </c>
      <c r="FO2" s="266">
        <v>1667</v>
      </c>
      <c r="FP2" s="266">
        <v>19</v>
      </c>
      <c r="FQ2" s="266">
        <v>0</v>
      </c>
      <c r="FR2" s="266">
        <v>0</v>
      </c>
      <c r="FS2" s="266">
        <v>0</v>
      </c>
      <c r="FT2" s="266">
        <v>4</v>
      </c>
      <c r="FU2" s="266">
        <v>3</v>
      </c>
      <c r="FV2" s="266">
        <v>13.6</v>
      </c>
      <c r="FW2" s="266">
        <v>3</v>
      </c>
      <c r="FX2" s="266" t="s">
        <v>864</v>
      </c>
      <c r="FY2" s="266" t="s">
        <v>865</v>
      </c>
      <c r="FZ2" s="266">
        <v>8</v>
      </c>
      <c r="GA2" s="266">
        <v>3</v>
      </c>
      <c r="GB2" s="266">
        <v>897</v>
      </c>
      <c r="GC2" s="266">
        <v>847</v>
      </c>
      <c r="GD2" s="266">
        <v>2</v>
      </c>
      <c r="GE2" s="266">
        <v>32</v>
      </c>
      <c r="GF2" s="266">
        <v>1</v>
      </c>
      <c r="GG2" s="266">
        <v>5</v>
      </c>
      <c r="GH2" s="266">
        <v>2</v>
      </c>
      <c r="GI2" s="266">
        <v>90</v>
      </c>
      <c r="GJ2" s="266">
        <v>63</v>
      </c>
      <c r="GK2" s="266">
        <v>38</v>
      </c>
      <c r="GL2" s="266">
        <v>14</v>
      </c>
      <c r="GM2" s="266">
        <v>8</v>
      </c>
      <c r="GN2" s="266">
        <v>8</v>
      </c>
      <c r="GO2" s="266">
        <v>58</v>
      </c>
      <c r="GP2" s="266">
        <v>1</v>
      </c>
      <c r="GQ2" s="266">
        <v>0</v>
      </c>
      <c r="GR2" s="266">
        <v>1</v>
      </c>
      <c r="GS2" s="266">
        <v>0</v>
      </c>
      <c r="GT2" s="266">
        <v>0</v>
      </c>
      <c r="GU2" s="266">
        <v>0.2</v>
      </c>
      <c r="GV2" s="266">
        <v>0</v>
      </c>
      <c r="GW2" s="266">
        <v>0</v>
      </c>
      <c r="GX2" s="266">
        <v>14</v>
      </c>
      <c r="GY2" s="266">
        <v>13</v>
      </c>
      <c r="GZ2" s="266">
        <v>21</v>
      </c>
      <c r="HA2" s="266">
        <v>4</v>
      </c>
      <c r="HB2" s="266">
        <v>3</v>
      </c>
      <c r="HC2" s="266">
        <v>0</v>
      </c>
      <c r="HD2" s="266">
        <v>0</v>
      </c>
      <c r="HE2" s="266">
        <v>4.3</v>
      </c>
      <c r="HF2" s="266">
        <v>0</v>
      </c>
      <c r="HG2" s="266">
        <v>0</v>
      </c>
      <c r="HH2" s="266" t="s">
        <v>827</v>
      </c>
      <c r="HI2" s="271">
        <v>6.7</v>
      </c>
    </row>
    <row r="3" spans="1:217" ht="24.95" customHeight="1" thickBot="1" x14ac:dyDescent="0.3">
      <c r="A3" s="29" t="str">
        <f t="shared" si="0"/>
        <v>2º</v>
      </c>
      <c r="B3" s="67" t="str">
        <f t="shared" si="1"/>
        <v>Emerson</v>
      </c>
      <c r="C3" s="83" t="str">
        <f t="shared" si="2"/>
        <v>ITA</v>
      </c>
      <c r="D3" s="239" t="str">
        <f t="shared" si="3"/>
        <v>Marseille</v>
      </c>
      <c r="E3" s="348" t="str">
        <f t="shared" si="4"/>
        <v>D (E)</v>
      </c>
      <c r="F3" s="36">
        <f t="shared" si="5"/>
        <v>31</v>
      </c>
      <c r="G3" s="342">
        <f t="shared" si="6"/>
        <v>46568</v>
      </c>
      <c r="H3" s="299" t="str">
        <f t="shared" si="7"/>
        <v>€116m p/m</v>
      </c>
      <c r="I3" s="89">
        <f t="shared" si="8"/>
        <v>17.137777777777778</v>
      </c>
      <c r="J3" s="183">
        <f t="shared" si="9"/>
        <v>19.022222222222222</v>
      </c>
      <c r="K3" s="183">
        <f t="shared" si="10"/>
        <v>21</v>
      </c>
      <c r="L3" s="183">
        <f t="shared" si="11"/>
        <v>81.523809523809518</v>
      </c>
      <c r="M3" s="184">
        <f t="shared" si="12"/>
        <v>0.9</v>
      </c>
      <c r="N3" s="6">
        <f t="shared" si="13"/>
        <v>0</v>
      </c>
      <c r="O3" s="24">
        <f t="shared" si="14"/>
        <v>5400</v>
      </c>
      <c r="P3" s="21">
        <f t="shared" si="15"/>
        <v>0</v>
      </c>
      <c r="Q3" s="373">
        <f t="shared" si="16"/>
        <v>0</v>
      </c>
      <c r="R3" s="373">
        <f t="shared" si="17"/>
        <v>2</v>
      </c>
      <c r="S3" s="373">
        <f t="shared" si="18"/>
        <v>2</v>
      </c>
      <c r="T3" s="374">
        <f t="shared" si="19"/>
        <v>0</v>
      </c>
      <c r="U3" s="374">
        <f t="shared" si="20"/>
        <v>0.10514018691588785</v>
      </c>
      <c r="V3" s="374">
        <f t="shared" si="21"/>
        <v>0.10514018691588785</v>
      </c>
      <c r="W3" s="383">
        <f t="shared" si="22"/>
        <v>0</v>
      </c>
      <c r="X3" s="383">
        <f t="shared" si="23"/>
        <v>0</v>
      </c>
      <c r="Y3" s="326">
        <f t="shared" si="24"/>
        <v>0</v>
      </c>
      <c r="Z3" s="384">
        <f t="shared" si="25"/>
        <v>0</v>
      </c>
      <c r="AA3" s="73">
        <f t="shared" si="26"/>
        <v>0.99</v>
      </c>
      <c r="AB3" s="73">
        <f t="shared" si="27"/>
        <v>0.99</v>
      </c>
      <c r="AC3" s="73">
        <f t="shared" si="28"/>
        <v>5.2044392523364486E-2</v>
      </c>
      <c r="AD3" s="73">
        <f t="shared" si="29"/>
        <v>1.92</v>
      </c>
      <c r="AE3" s="73">
        <f t="shared" si="30"/>
        <v>0.10093457943925234</v>
      </c>
      <c r="AF3" s="73">
        <f t="shared" si="31"/>
        <v>2.91</v>
      </c>
      <c r="AG3" s="73">
        <f t="shared" si="32"/>
        <v>0.15297897196261684</v>
      </c>
      <c r="AH3" s="6">
        <f t="shared" si="33"/>
        <v>11</v>
      </c>
      <c r="AI3" s="5">
        <f t="shared" si="34"/>
        <v>0.57827102803738317</v>
      </c>
      <c r="AJ3" s="6">
        <f t="shared" si="35"/>
        <v>9</v>
      </c>
      <c r="AK3" s="5">
        <f t="shared" si="36"/>
        <v>0.47313084112149534</v>
      </c>
      <c r="AL3" s="6">
        <f t="shared" si="37"/>
        <v>2</v>
      </c>
      <c r="AM3" s="5">
        <f t="shared" si="38"/>
        <v>0.10514018691588785</v>
      </c>
      <c r="AN3" s="6">
        <f t="shared" si="39"/>
        <v>2</v>
      </c>
      <c r="AO3" s="5">
        <f t="shared" si="40"/>
        <v>0.10514018691588785</v>
      </c>
      <c r="AP3" s="21">
        <f t="shared" si="41"/>
        <v>0.18181818181818182</v>
      </c>
      <c r="AQ3" s="73">
        <f t="shared" si="42"/>
        <v>50</v>
      </c>
      <c r="AR3" s="73">
        <f t="shared" si="43"/>
        <v>50</v>
      </c>
      <c r="AS3" s="20">
        <f t="shared" si="44"/>
        <v>0</v>
      </c>
      <c r="AT3" s="278">
        <f t="shared" si="45"/>
        <v>54</v>
      </c>
      <c r="AU3" s="279">
        <f t="shared" si="46"/>
        <v>2.8387850467289719</v>
      </c>
      <c r="AV3" s="278">
        <f t="shared" si="47"/>
        <v>5</v>
      </c>
      <c r="AW3" s="279">
        <f t="shared" si="48"/>
        <v>0.26285046728971961</v>
      </c>
      <c r="AX3" s="277">
        <f t="shared" si="49"/>
        <v>9.2592592592592587E-2</v>
      </c>
      <c r="AY3" s="278">
        <f t="shared" si="50"/>
        <v>0</v>
      </c>
      <c r="AZ3" s="278">
        <f t="shared" si="51"/>
        <v>0</v>
      </c>
      <c r="BA3" s="319">
        <f t="shared" si="52"/>
        <v>0</v>
      </c>
      <c r="BB3" s="318">
        <f t="shared" si="53"/>
        <v>1E-8</v>
      </c>
      <c r="BC3" s="73">
        <f t="shared" si="54"/>
        <v>155.63636363636363</v>
      </c>
      <c r="BD3" s="73">
        <f t="shared" si="55"/>
        <v>856</v>
      </c>
      <c r="BE3" s="73">
        <f t="shared" si="56"/>
        <v>1712</v>
      </c>
      <c r="BF3" s="73">
        <f t="shared" si="57"/>
        <v>856</v>
      </c>
      <c r="BG3" s="5">
        <f t="shared" si="58"/>
        <v>-0.99</v>
      </c>
      <c r="BH3" s="5">
        <f t="shared" si="59"/>
        <v>-0.99</v>
      </c>
      <c r="BI3" s="72">
        <f t="shared" si="60"/>
        <v>3</v>
      </c>
      <c r="BJ3" s="73">
        <f t="shared" si="61"/>
        <v>0.15771028037383178</v>
      </c>
      <c r="BK3" s="72">
        <f t="shared" si="62"/>
        <v>50</v>
      </c>
      <c r="BL3" s="72">
        <f t="shared" si="63"/>
        <v>24</v>
      </c>
      <c r="BM3" s="72">
        <f t="shared" si="64"/>
        <v>26</v>
      </c>
      <c r="BN3" s="73">
        <f t="shared" si="65"/>
        <v>1.2616822429906542</v>
      </c>
      <c r="BO3" s="76">
        <f t="shared" si="66"/>
        <v>0.48</v>
      </c>
      <c r="BP3" s="72">
        <f t="shared" si="67"/>
        <v>73</v>
      </c>
      <c r="BQ3" s="72">
        <f t="shared" si="68"/>
        <v>43</v>
      </c>
      <c r="BR3" s="73">
        <f t="shared" si="69"/>
        <v>2.2605140186915889</v>
      </c>
      <c r="BS3" s="72">
        <f t="shared" si="70"/>
        <v>10</v>
      </c>
      <c r="BT3" s="73">
        <f t="shared" si="71"/>
        <v>0.52570093457943923</v>
      </c>
      <c r="BU3" s="76">
        <f t="shared" si="72"/>
        <v>0.58904109589041098</v>
      </c>
      <c r="BV3" s="256">
        <f t="shared" si="73"/>
        <v>20</v>
      </c>
      <c r="BW3" s="255">
        <f t="shared" si="74"/>
        <v>1.0514018691588785</v>
      </c>
      <c r="BX3" s="375">
        <f t="shared" si="75"/>
        <v>4</v>
      </c>
      <c r="BY3" s="376">
        <f t="shared" si="76"/>
        <v>0.2102803738317757</v>
      </c>
      <c r="BZ3" s="377">
        <f t="shared" si="77"/>
        <v>0</v>
      </c>
      <c r="CA3" s="378">
        <f t="shared" si="78"/>
        <v>0</v>
      </c>
      <c r="CB3" s="379">
        <f t="shared" si="79"/>
        <v>4</v>
      </c>
      <c r="CC3" s="380">
        <f t="shared" si="80"/>
        <v>0.2</v>
      </c>
      <c r="CD3" s="73">
        <f t="shared" si="81"/>
        <v>-2.9000000000000004</v>
      </c>
      <c r="CE3" s="72">
        <f t="shared" si="82"/>
        <v>143</v>
      </c>
      <c r="CF3" s="72">
        <f t="shared" si="83"/>
        <v>40</v>
      </c>
      <c r="CG3" s="148">
        <f t="shared" si="84"/>
        <v>0.27972027972027974</v>
      </c>
      <c r="CH3" s="72">
        <f t="shared" si="85"/>
        <v>268</v>
      </c>
      <c r="CI3" s="73">
        <f t="shared" si="86"/>
        <v>14.088785046728972</v>
      </c>
      <c r="CJ3" s="72">
        <f t="shared" si="87"/>
        <v>109</v>
      </c>
      <c r="CK3" s="73">
        <f t="shared" si="88"/>
        <v>5.7301401869158877</v>
      </c>
      <c r="CL3" s="148">
        <f t="shared" si="89"/>
        <v>0.40671641791044777</v>
      </c>
      <c r="CM3" s="72">
        <f t="shared" si="90"/>
        <v>112</v>
      </c>
      <c r="CN3" s="73">
        <f t="shared" si="91"/>
        <v>5.8878504672897201</v>
      </c>
      <c r="CO3" s="72">
        <f t="shared" si="92"/>
        <v>87</v>
      </c>
      <c r="CP3" s="73">
        <f t="shared" si="93"/>
        <v>4.5735981308411215</v>
      </c>
      <c r="CQ3" s="72">
        <f t="shared" si="94"/>
        <v>127.90222222222222</v>
      </c>
      <c r="CR3" s="73">
        <f t="shared" si="95"/>
        <v>6.7238317757009343</v>
      </c>
      <c r="CS3" s="72">
        <f t="shared" si="96"/>
        <v>51</v>
      </c>
      <c r="CT3" s="73">
        <f t="shared" si="97"/>
        <v>2.6810747663551404</v>
      </c>
      <c r="CU3" s="76">
        <f t="shared" si="98"/>
        <v>0.3987420946556397</v>
      </c>
      <c r="CV3" s="72">
        <f t="shared" si="99"/>
        <v>232</v>
      </c>
      <c r="CW3" s="73">
        <f t="shared" si="100"/>
        <v>12.196261682242991</v>
      </c>
      <c r="CX3" s="72">
        <f t="shared" si="101"/>
        <v>174</v>
      </c>
      <c r="CY3" s="73">
        <f t="shared" si="102"/>
        <v>9.1471962616822431</v>
      </c>
      <c r="CZ3" s="76">
        <f t="shared" si="103"/>
        <v>0.75</v>
      </c>
      <c r="DA3" s="80">
        <f t="shared" si="104"/>
        <v>1491.9022222222222</v>
      </c>
      <c r="DB3" s="80">
        <f t="shared" si="105"/>
        <v>1231</v>
      </c>
      <c r="DC3" s="81">
        <f t="shared" si="106"/>
        <v>0.82512109819529433</v>
      </c>
      <c r="DD3" s="336">
        <f t="shared" si="107"/>
        <v>22</v>
      </c>
      <c r="DE3" s="337">
        <f t="shared" si="108"/>
        <v>1.1565420560747663</v>
      </c>
      <c r="DF3" s="413">
        <f t="shared" si="109"/>
        <v>0.74323598130841129</v>
      </c>
      <c r="DG3" s="72">
        <f t="shared" si="110"/>
        <v>24</v>
      </c>
      <c r="DH3" s="73">
        <f t="shared" si="111"/>
        <v>1.2616822429906542</v>
      </c>
      <c r="DI3" s="72">
        <f t="shared" si="112"/>
        <v>26</v>
      </c>
      <c r="DJ3" s="73">
        <f t="shared" si="113"/>
        <v>1.3668224299065421</v>
      </c>
      <c r="DK3" s="72">
        <f t="shared" si="114"/>
        <v>1.9022222222222223</v>
      </c>
      <c r="DL3" s="73">
        <f t="shared" si="115"/>
        <v>0.1</v>
      </c>
      <c r="DM3" s="72">
        <f t="shared" si="116"/>
        <v>1448</v>
      </c>
      <c r="DN3" s="73">
        <f t="shared" si="117"/>
        <v>76.121495327102807</v>
      </c>
      <c r="DO3" s="72">
        <f t="shared" si="118"/>
        <v>42</v>
      </c>
      <c r="DP3" s="6">
        <f t="shared" si="119"/>
        <v>21.822222222222223</v>
      </c>
      <c r="DQ3" s="5">
        <f t="shared" si="120"/>
        <v>1.1471962616822431</v>
      </c>
      <c r="DR3" s="55">
        <f t="shared" si="121"/>
        <v>21</v>
      </c>
      <c r="DS3" s="56">
        <f t="shared" si="122"/>
        <v>1.1039719626168225</v>
      </c>
      <c r="DT3" s="55">
        <f t="shared" si="123"/>
        <v>4</v>
      </c>
      <c r="DU3" s="56">
        <f t="shared" si="124"/>
        <v>0.2102803738317757</v>
      </c>
      <c r="DV3" s="104">
        <f t="shared" si="125"/>
        <v>0.19047619047619047</v>
      </c>
      <c r="DW3" s="6">
        <f t="shared" si="126"/>
        <v>12</v>
      </c>
      <c r="DX3" s="5">
        <f t="shared" si="127"/>
        <v>0.63084112149532712</v>
      </c>
      <c r="DY3" s="5">
        <f t="shared" si="128"/>
        <v>6</v>
      </c>
      <c r="DZ3" s="21">
        <f t="shared" si="129"/>
        <v>0.16666666666666666</v>
      </c>
      <c r="EA3" s="5">
        <f t="shared" si="130"/>
        <v>-8.0000000000000071E-2</v>
      </c>
      <c r="EB3" s="5">
        <f t="shared" si="131"/>
        <v>0.16</v>
      </c>
      <c r="EC3" s="72">
        <f t="shared" si="132"/>
        <v>1132</v>
      </c>
      <c r="ED3" s="73">
        <f t="shared" si="133"/>
        <v>59.509345794392523</v>
      </c>
      <c r="EE3" s="72">
        <f t="shared" si="134"/>
        <v>1006</v>
      </c>
      <c r="EF3" s="73">
        <f t="shared" si="135"/>
        <v>52.885514018691588</v>
      </c>
      <c r="EG3" s="76">
        <f t="shared" si="136"/>
        <v>0.88869257950530034</v>
      </c>
      <c r="EH3" s="395">
        <f t="shared" si="137"/>
        <v>126</v>
      </c>
      <c r="EI3" s="396">
        <f t="shared" si="138"/>
        <v>6.6238317757009346</v>
      </c>
      <c r="EJ3" s="256">
        <f t="shared" si="139"/>
        <v>134</v>
      </c>
      <c r="EK3" s="255">
        <f t="shared" si="140"/>
        <v>7.0443925233644862</v>
      </c>
      <c r="EL3" s="397">
        <f t="shared" si="141"/>
        <v>0.11837455830388692</v>
      </c>
      <c r="EM3" s="73">
        <f t="shared" si="142"/>
        <v>142.66666666666666</v>
      </c>
      <c r="EN3" s="73">
        <f t="shared" si="143"/>
        <v>100.70588235294117</v>
      </c>
      <c r="EO3" s="205">
        <f t="shared" si="144"/>
        <v>259</v>
      </c>
      <c r="EP3" s="206">
        <f t="shared" si="145"/>
        <v>13.615654205607477</v>
      </c>
      <c r="EQ3" s="205">
        <f t="shared" si="146"/>
        <v>181</v>
      </c>
      <c r="ER3" s="206">
        <f t="shared" si="147"/>
        <v>9.5151869158878508</v>
      </c>
      <c r="ES3" s="81">
        <f t="shared" si="148"/>
        <v>0.69884169884169889</v>
      </c>
      <c r="ET3" s="174">
        <f t="shared" si="149"/>
        <v>220</v>
      </c>
      <c r="EU3" s="191">
        <f t="shared" si="150"/>
        <v>11.565420560747663</v>
      </c>
      <c r="EV3" s="193">
        <f t="shared" si="151"/>
        <v>7.7102803738317753</v>
      </c>
      <c r="EW3" s="192">
        <f t="shared" si="152"/>
        <v>310.06222222222226</v>
      </c>
      <c r="EX3" s="73">
        <f t="shared" si="153"/>
        <v>16.3</v>
      </c>
      <c r="EY3" s="55">
        <f t="shared" si="154"/>
        <v>227</v>
      </c>
      <c r="EZ3" s="56">
        <f t="shared" si="155"/>
        <v>11.933411214953271</v>
      </c>
      <c r="FA3" s="73">
        <f t="shared" si="156"/>
        <v>14.6</v>
      </c>
      <c r="FB3" s="56">
        <f t="shared" si="157"/>
        <v>131.44355555555555</v>
      </c>
      <c r="FC3" s="60">
        <f t="shared" si="158"/>
        <v>6.91</v>
      </c>
      <c r="FD3" s="268"/>
      <c r="FE3" s="264" t="s">
        <v>614</v>
      </c>
      <c r="FF3" s="264" t="s">
        <v>819</v>
      </c>
      <c r="FG3" s="264" t="s">
        <v>820</v>
      </c>
      <c r="FH3" s="264">
        <v>31</v>
      </c>
      <c r="FI3" s="264" t="s">
        <v>821</v>
      </c>
      <c r="FJ3" s="264" t="s">
        <v>545</v>
      </c>
      <c r="FK3" s="264" t="s">
        <v>579</v>
      </c>
      <c r="FL3" s="264" t="s">
        <v>394</v>
      </c>
      <c r="FM3" s="264" t="s">
        <v>822</v>
      </c>
      <c r="FN3" s="265">
        <v>46568</v>
      </c>
      <c r="FO3" s="264">
        <v>1712</v>
      </c>
      <c r="FP3" s="264" t="s">
        <v>630</v>
      </c>
      <c r="FQ3" s="264">
        <v>0</v>
      </c>
      <c r="FR3" s="264">
        <v>0</v>
      </c>
      <c r="FS3" s="264">
        <v>2</v>
      </c>
      <c r="FT3" s="264">
        <v>7</v>
      </c>
      <c r="FU3" s="264">
        <v>3</v>
      </c>
      <c r="FV3" s="264">
        <v>11.7</v>
      </c>
      <c r="FW3" s="264">
        <v>14.6</v>
      </c>
      <c r="FX3" s="264" t="s">
        <v>866</v>
      </c>
      <c r="FY3" s="264" t="s">
        <v>867</v>
      </c>
      <c r="FZ3" s="264">
        <v>20</v>
      </c>
      <c r="GA3" s="264">
        <v>14</v>
      </c>
      <c r="GB3" s="264">
        <v>1132</v>
      </c>
      <c r="GC3" s="264">
        <v>1006</v>
      </c>
      <c r="GD3" s="264">
        <v>12</v>
      </c>
      <c r="GE3" s="264">
        <v>134</v>
      </c>
      <c r="GF3" s="264">
        <v>22</v>
      </c>
      <c r="GG3" s="264">
        <v>11</v>
      </c>
      <c r="GH3" s="264">
        <v>2</v>
      </c>
      <c r="GI3" s="264">
        <v>50</v>
      </c>
      <c r="GJ3" s="264">
        <v>24</v>
      </c>
      <c r="GK3" s="264">
        <v>143</v>
      </c>
      <c r="GL3" s="264">
        <v>40</v>
      </c>
      <c r="GM3" s="264">
        <v>53</v>
      </c>
      <c r="GN3" s="264">
        <v>43</v>
      </c>
      <c r="GO3" s="264">
        <v>72</v>
      </c>
      <c r="GP3" s="264">
        <v>21</v>
      </c>
      <c r="GQ3" s="264">
        <v>4</v>
      </c>
      <c r="GR3" s="264">
        <v>75</v>
      </c>
      <c r="GS3" s="264">
        <v>9</v>
      </c>
      <c r="GT3" s="264">
        <v>0</v>
      </c>
      <c r="GU3" s="264">
        <v>0.1</v>
      </c>
      <c r="GV3" s="264">
        <v>1</v>
      </c>
      <c r="GW3" s="264">
        <v>3</v>
      </c>
      <c r="GX3" s="264">
        <v>9</v>
      </c>
      <c r="GY3" s="264">
        <v>15</v>
      </c>
      <c r="GZ3" s="264">
        <v>7</v>
      </c>
      <c r="HA3" s="264">
        <v>2</v>
      </c>
      <c r="HB3" s="264">
        <v>4</v>
      </c>
      <c r="HC3" s="264">
        <v>0</v>
      </c>
      <c r="HD3" s="264">
        <v>0</v>
      </c>
      <c r="HE3" s="264">
        <v>16.3</v>
      </c>
      <c r="HF3" s="264">
        <v>0</v>
      </c>
      <c r="HG3" s="264">
        <v>0</v>
      </c>
      <c r="HH3" s="264" t="s">
        <v>823</v>
      </c>
      <c r="HI3" s="269">
        <v>6.91</v>
      </c>
    </row>
    <row r="4" spans="1:217" ht="24.95" customHeight="1" thickBot="1" x14ac:dyDescent="0.3">
      <c r="A4" s="29" t="str">
        <f t="shared" si="0"/>
        <v>3º</v>
      </c>
      <c r="B4" s="67" t="str">
        <f t="shared" si="1"/>
        <v>Fabio Chiarodia</v>
      </c>
      <c r="C4" s="83" t="str">
        <f t="shared" si="2"/>
        <v>GER</v>
      </c>
      <c r="D4" s="239" t="str">
        <f t="shared" si="3"/>
        <v>Gladbach</v>
      </c>
      <c r="E4" s="348" t="str">
        <f t="shared" si="4"/>
        <v>D (C)</v>
      </c>
      <c r="F4" s="36">
        <f t="shared" si="5"/>
        <v>20</v>
      </c>
      <c r="G4" s="342">
        <f t="shared" si="6"/>
        <v>46568</v>
      </c>
      <c r="H4" s="299" t="str">
        <f t="shared" si="7"/>
        <v>€83,5m p/m</v>
      </c>
      <c r="I4" s="89">
        <f t="shared" si="8"/>
        <v>17.137777777777778</v>
      </c>
      <c r="J4" s="183">
        <f t="shared" si="9"/>
        <v>15.866666666666667</v>
      </c>
      <c r="K4" s="183">
        <f t="shared" si="10"/>
        <v>17</v>
      </c>
      <c r="L4" s="183">
        <f t="shared" si="11"/>
        <v>84</v>
      </c>
      <c r="M4" s="184">
        <f t="shared" si="12"/>
        <v>0.94</v>
      </c>
      <c r="N4" s="6">
        <f t="shared" si="13"/>
        <v>0</v>
      </c>
      <c r="O4" s="24">
        <f t="shared" si="14"/>
        <v>5400</v>
      </c>
      <c r="P4" s="21">
        <f t="shared" si="15"/>
        <v>0</v>
      </c>
      <c r="Q4" s="373">
        <f t="shared" si="16"/>
        <v>0</v>
      </c>
      <c r="R4" s="373">
        <f t="shared" si="17"/>
        <v>0</v>
      </c>
      <c r="S4" s="373">
        <f t="shared" si="18"/>
        <v>0</v>
      </c>
      <c r="T4" s="374">
        <f t="shared" si="19"/>
        <v>0</v>
      </c>
      <c r="U4" s="374">
        <f t="shared" si="20"/>
        <v>0</v>
      </c>
      <c r="V4" s="374">
        <f t="shared" si="21"/>
        <v>0</v>
      </c>
      <c r="W4" s="383">
        <f t="shared" si="22"/>
        <v>0</v>
      </c>
      <c r="X4" s="383">
        <f t="shared" si="23"/>
        <v>0</v>
      </c>
      <c r="Y4" s="326">
        <f t="shared" si="24"/>
        <v>0</v>
      </c>
      <c r="Z4" s="384">
        <f t="shared" si="25"/>
        <v>0</v>
      </c>
      <c r="AA4" s="73">
        <f t="shared" si="26"/>
        <v>0.23</v>
      </c>
      <c r="AB4" s="73">
        <f t="shared" si="27"/>
        <v>0.23</v>
      </c>
      <c r="AC4" s="73">
        <f t="shared" si="28"/>
        <v>1.4495798319327732E-2</v>
      </c>
      <c r="AD4" s="73">
        <f t="shared" si="29"/>
        <v>0.95</v>
      </c>
      <c r="AE4" s="73">
        <f t="shared" si="30"/>
        <v>5.9873949579831928E-2</v>
      </c>
      <c r="AF4" s="73">
        <f t="shared" si="31"/>
        <v>1.18</v>
      </c>
      <c r="AG4" s="73">
        <f t="shared" si="32"/>
        <v>7.4369747899159663E-2</v>
      </c>
      <c r="AH4" s="6">
        <f t="shared" si="33"/>
        <v>4</v>
      </c>
      <c r="AI4" s="5">
        <f t="shared" si="34"/>
        <v>0.25210084033613445</v>
      </c>
      <c r="AJ4" s="6">
        <f t="shared" si="35"/>
        <v>3</v>
      </c>
      <c r="AK4" s="5">
        <f t="shared" si="36"/>
        <v>0.18907563025210083</v>
      </c>
      <c r="AL4" s="6">
        <f t="shared" si="37"/>
        <v>1</v>
      </c>
      <c r="AM4" s="5">
        <f t="shared" si="38"/>
        <v>6.3025210084033612E-2</v>
      </c>
      <c r="AN4" s="6">
        <f t="shared" si="39"/>
        <v>1</v>
      </c>
      <c r="AO4" s="5">
        <f t="shared" si="40"/>
        <v>6.3025210084033612E-2</v>
      </c>
      <c r="AP4" s="21">
        <f t="shared" si="41"/>
        <v>0.25</v>
      </c>
      <c r="AQ4" s="73">
        <f t="shared" si="42"/>
        <v>50</v>
      </c>
      <c r="AR4" s="73">
        <f t="shared" si="43"/>
        <v>50</v>
      </c>
      <c r="AS4" s="20">
        <f t="shared" si="44"/>
        <v>0</v>
      </c>
      <c r="AT4" s="278">
        <f t="shared" si="45"/>
        <v>0</v>
      </c>
      <c r="AU4" s="279">
        <f t="shared" si="46"/>
        <v>0</v>
      </c>
      <c r="AV4" s="278">
        <f t="shared" si="47"/>
        <v>0</v>
      </c>
      <c r="AW4" s="279">
        <f t="shared" si="48"/>
        <v>0</v>
      </c>
      <c r="AX4" s="277">
        <f t="shared" si="49"/>
        <v>0</v>
      </c>
      <c r="AY4" s="278">
        <f t="shared" si="50"/>
        <v>0</v>
      </c>
      <c r="AZ4" s="278">
        <f t="shared" si="51"/>
        <v>0</v>
      </c>
      <c r="BA4" s="319">
        <f t="shared" si="52"/>
        <v>0</v>
      </c>
      <c r="BB4" s="318">
        <f t="shared" si="53"/>
        <v>1E-8</v>
      </c>
      <c r="BC4" s="73">
        <f t="shared" si="54"/>
        <v>357</v>
      </c>
      <c r="BD4" s="73">
        <f t="shared" si="55"/>
        <v>1428</v>
      </c>
      <c r="BE4" s="73">
        <f t="shared" si="56"/>
        <v>1428</v>
      </c>
      <c r="BF4" s="73">
        <f t="shared" si="57"/>
        <v>1428</v>
      </c>
      <c r="BG4" s="5">
        <f t="shared" si="58"/>
        <v>-0.23</v>
      </c>
      <c r="BH4" s="5">
        <f t="shared" si="59"/>
        <v>-0.23</v>
      </c>
      <c r="BI4" s="72">
        <f t="shared" si="60"/>
        <v>0</v>
      </c>
      <c r="BJ4" s="73">
        <f t="shared" si="61"/>
        <v>0</v>
      </c>
      <c r="BK4" s="72">
        <f t="shared" si="62"/>
        <v>79</v>
      </c>
      <c r="BL4" s="72">
        <f t="shared" si="63"/>
        <v>54</v>
      </c>
      <c r="BM4" s="72">
        <f t="shared" si="64"/>
        <v>25</v>
      </c>
      <c r="BN4" s="73">
        <f t="shared" si="65"/>
        <v>3.403361344537815</v>
      </c>
      <c r="BO4" s="76">
        <f t="shared" si="66"/>
        <v>0.68354430379746833</v>
      </c>
      <c r="BP4" s="72">
        <f t="shared" si="67"/>
        <v>17</v>
      </c>
      <c r="BQ4" s="72">
        <f t="shared" si="68"/>
        <v>9</v>
      </c>
      <c r="BR4" s="73">
        <f t="shared" si="69"/>
        <v>0.5672268907563025</v>
      </c>
      <c r="BS4" s="72">
        <f t="shared" si="70"/>
        <v>4</v>
      </c>
      <c r="BT4" s="73">
        <f t="shared" si="71"/>
        <v>0.25210084033613445</v>
      </c>
      <c r="BU4" s="76">
        <f t="shared" si="72"/>
        <v>0.52941176470588236</v>
      </c>
      <c r="BV4" s="256">
        <f t="shared" si="73"/>
        <v>4</v>
      </c>
      <c r="BW4" s="255">
        <f t="shared" si="74"/>
        <v>0.25210084033613445</v>
      </c>
      <c r="BX4" s="375">
        <f t="shared" si="75"/>
        <v>1</v>
      </c>
      <c r="BY4" s="376">
        <f t="shared" si="76"/>
        <v>6.3025210084033612E-2</v>
      </c>
      <c r="BZ4" s="377">
        <f t="shared" si="77"/>
        <v>1</v>
      </c>
      <c r="CA4" s="378">
        <f t="shared" si="78"/>
        <v>6.3025210084033612E-2</v>
      </c>
      <c r="CB4" s="379">
        <f t="shared" si="79"/>
        <v>2</v>
      </c>
      <c r="CC4" s="380">
        <f t="shared" si="80"/>
        <v>0.5</v>
      </c>
      <c r="CD4" s="73">
        <f t="shared" si="81"/>
        <v>5.3000000000000007</v>
      </c>
      <c r="CE4" s="72">
        <f t="shared" si="82"/>
        <v>36</v>
      </c>
      <c r="CF4" s="72">
        <f t="shared" si="83"/>
        <v>16</v>
      </c>
      <c r="CG4" s="148">
        <f t="shared" si="84"/>
        <v>0.44444444444444442</v>
      </c>
      <c r="CH4" s="72">
        <f t="shared" si="85"/>
        <v>136</v>
      </c>
      <c r="CI4" s="73">
        <f t="shared" si="86"/>
        <v>8.5714285714285712</v>
      </c>
      <c r="CJ4" s="72">
        <f t="shared" si="87"/>
        <v>83</v>
      </c>
      <c r="CK4" s="73">
        <f t="shared" si="88"/>
        <v>5.23109243697479</v>
      </c>
      <c r="CL4" s="148">
        <f t="shared" si="89"/>
        <v>0.61029411764705888</v>
      </c>
      <c r="CM4" s="72">
        <f t="shared" si="90"/>
        <v>108</v>
      </c>
      <c r="CN4" s="73">
        <f t="shared" si="91"/>
        <v>6.8067226890756301</v>
      </c>
      <c r="CO4" s="72">
        <f t="shared" si="92"/>
        <v>33</v>
      </c>
      <c r="CP4" s="73">
        <f t="shared" si="93"/>
        <v>2.079831932773109</v>
      </c>
      <c r="CQ4" s="72">
        <f t="shared" si="94"/>
        <v>10.586666666666666</v>
      </c>
      <c r="CR4" s="73">
        <f t="shared" si="95"/>
        <v>0.66722689075630248</v>
      </c>
      <c r="CS4" s="72">
        <f t="shared" si="96"/>
        <v>5</v>
      </c>
      <c r="CT4" s="73">
        <f t="shared" si="97"/>
        <v>0.31512605042016806</v>
      </c>
      <c r="CU4" s="76">
        <f t="shared" si="98"/>
        <v>0.47229219143576828</v>
      </c>
      <c r="CV4" s="72">
        <f t="shared" si="99"/>
        <v>192</v>
      </c>
      <c r="CW4" s="73">
        <f t="shared" si="100"/>
        <v>12.100840336134453</v>
      </c>
      <c r="CX4" s="72">
        <f t="shared" si="101"/>
        <v>159</v>
      </c>
      <c r="CY4" s="73">
        <f t="shared" si="102"/>
        <v>10.021008403361344</v>
      </c>
      <c r="CZ4" s="76">
        <f t="shared" si="103"/>
        <v>0.828125</v>
      </c>
      <c r="DA4" s="80">
        <f t="shared" si="104"/>
        <v>862.5866666666667</v>
      </c>
      <c r="DB4" s="80">
        <f t="shared" si="105"/>
        <v>768</v>
      </c>
      <c r="DC4" s="81">
        <f t="shared" si="106"/>
        <v>0.89034531795838867</v>
      </c>
      <c r="DD4" s="336">
        <f t="shared" si="107"/>
        <v>0</v>
      </c>
      <c r="DE4" s="337">
        <f t="shared" si="108"/>
        <v>0</v>
      </c>
      <c r="DF4" s="413">
        <f t="shared" si="109"/>
        <v>0.16339285714285715</v>
      </c>
      <c r="DG4" s="72">
        <f t="shared" si="110"/>
        <v>4</v>
      </c>
      <c r="DH4" s="73">
        <f t="shared" si="111"/>
        <v>0.25210084033613445</v>
      </c>
      <c r="DI4" s="72">
        <f t="shared" si="112"/>
        <v>8</v>
      </c>
      <c r="DJ4" s="73">
        <f t="shared" si="113"/>
        <v>0.50420168067226889</v>
      </c>
      <c r="DK4" s="72">
        <f t="shared" si="114"/>
        <v>1.5866666666666669</v>
      </c>
      <c r="DL4" s="73">
        <f t="shared" si="115"/>
        <v>0.1</v>
      </c>
      <c r="DM4" s="72">
        <f t="shared" si="116"/>
        <v>823</v>
      </c>
      <c r="DN4" s="73">
        <f t="shared" si="117"/>
        <v>51.869747899159663</v>
      </c>
      <c r="DO4" s="72">
        <f t="shared" si="118"/>
        <v>5</v>
      </c>
      <c r="DP4" s="6">
        <f t="shared" si="119"/>
        <v>7.5366666666666671</v>
      </c>
      <c r="DQ4" s="5">
        <f t="shared" si="120"/>
        <v>0.47500000000000003</v>
      </c>
      <c r="DR4" s="55">
        <f t="shared" si="121"/>
        <v>1</v>
      </c>
      <c r="DS4" s="56">
        <f t="shared" si="122"/>
        <v>6.3025210084033612E-2</v>
      </c>
      <c r="DT4" s="55">
        <f t="shared" si="123"/>
        <v>0</v>
      </c>
      <c r="DU4" s="56">
        <f t="shared" si="124"/>
        <v>0</v>
      </c>
      <c r="DV4" s="104">
        <f t="shared" si="125"/>
        <v>0</v>
      </c>
      <c r="DW4" s="6">
        <f t="shared" si="126"/>
        <v>4</v>
      </c>
      <c r="DX4" s="5">
        <f t="shared" si="127"/>
        <v>0.25210084033613445</v>
      </c>
      <c r="DY4" s="5">
        <f t="shared" si="128"/>
        <v>70</v>
      </c>
      <c r="DZ4" s="21">
        <f t="shared" si="129"/>
        <v>0</v>
      </c>
      <c r="EA4" s="5">
        <f t="shared" si="130"/>
        <v>0.95</v>
      </c>
      <c r="EB4" s="5">
        <f t="shared" si="131"/>
        <v>0.23749999999999999</v>
      </c>
      <c r="EC4" s="72">
        <f t="shared" si="132"/>
        <v>660</v>
      </c>
      <c r="ED4" s="73">
        <f t="shared" si="133"/>
        <v>41.596638655462186</v>
      </c>
      <c r="EE4" s="72">
        <f t="shared" si="134"/>
        <v>604</v>
      </c>
      <c r="EF4" s="73">
        <f t="shared" si="135"/>
        <v>38.067226890756302</v>
      </c>
      <c r="EG4" s="76">
        <f t="shared" si="136"/>
        <v>0.91515151515151516</v>
      </c>
      <c r="EH4" s="395">
        <f t="shared" si="137"/>
        <v>56</v>
      </c>
      <c r="EI4" s="396">
        <f t="shared" si="138"/>
        <v>3.5294117647058822</v>
      </c>
      <c r="EJ4" s="256">
        <f t="shared" si="139"/>
        <v>33</v>
      </c>
      <c r="EK4" s="255">
        <f t="shared" si="140"/>
        <v>2.079831932773109</v>
      </c>
      <c r="EL4" s="397">
        <f t="shared" si="141"/>
        <v>0.05</v>
      </c>
      <c r="EM4" s="73">
        <f t="shared" si="142"/>
        <v>357</v>
      </c>
      <c r="EN4" s="73">
        <f t="shared" si="143"/>
        <v>285.60000000000002</v>
      </c>
      <c r="EO4" s="205">
        <f t="shared" si="144"/>
        <v>42</v>
      </c>
      <c r="EP4" s="206">
        <f t="shared" si="145"/>
        <v>2.6470588235294117</v>
      </c>
      <c r="EQ4" s="205">
        <f t="shared" si="146"/>
        <v>38</v>
      </c>
      <c r="ER4" s="206">
        <f t="shared" si="147"/>
        <v>2.3949579831932772</v>
      </c>
      <c r="ES4" s="81">
        <f t="shared" si="148"/>
        <v>0.90476190476190477</v>
      </c>
      <c r="ET4" s="174">
        <f t="shared" si="149"/>
        <v>150.80000000000001</v>
      </c>
      <c r="EU4" s="191">
        <f t="shared" si="150"/>
        <v>9.5042016806722689</v>
      </c>
      <c r="EV4" s="193">
        <f t="shared" si="151"/>
        <v>6.3361344537815132</v>
      </c>
      <c r="EW4" s="192">
        <f t="shared" si="152"/>
        <v>38.08</v>
      </c>
      <c r="EX4" s="73">
        <f t="shared" si="153"/>
        <v>2.4</v>
      </c>
      <c r="EY4" s="55">
        <f t="shared" si="154"/>
        <v>85</v>
      </c>
      <c r="EZ4" s="56">
        <f t="shared" si="155"/>
        <v>5.3571428571428568</v>
      </c>
      <c r="FA4" s="73">
        <f t="shared" si="156"/>
        <v>4.5</v>
      </c>
      <c r="FB4" s="56">
        <f t="shared" si="157"/>
        <v>109.004</v>
      </c>
      <c r="FC4" s="60">
        <f t="shared" si="158"/>
        <v>6.87</v>
      </c>
      <c r="FD4" s="270"/>
      <c r="FE4" s="266" t="s">
        <v>834</v>
      </c>
      <c r="FF4" s="266" t="s">
        <v>808</v>
      </c>
      <c r="FG4" s="266" t="s">
        <v>835</v>
      </c>
      <c r="FH4" s="266">
        <v>20</v>
      </c>
      <c r="FI4" s="266" t="s">
        <v>836</v>
      </c>
      <c r="FJ4" s="266" t="s">
        <v>541</v>
      </c>
      <c r="FK4" s="266" t="s">
        <v>695</v>
      </c>
      <c r="FL4" s="266" t="s">
        <v>837</v>
      </c>
      <c r="FM4" s="266" t="s">
        <v>838</v>
      </c>
      <c r="FN4" s="267">
        <v>46568</v>
      </c>
      <c r="FO4" s="266">
        <v>1428</v>
      </c>
      <c r="FP4" s="266" t="s">
        <v>758</v>
      </c>
      <c r="FQ4" s="266">
        <v>0</v>
      </c>
      <c r="FR4" s="266">
        <v>0</v>
      </c>
      <c r="FS4" s="266">
        <v>0</v>
      </c>
      <c r="FT4" s="266">
        <v>1</v>
      </c>
      <c r="FU4" s="266">
        <v>0</v>
      </c>
      <c r="FV4" s="266">
        <v>9.8000000000000007</v>
      </c>
      <c r="FW4" s="266">
        <v>4.5</v>
      </c>
      <c r="FX4" s="266" t="s">
        <v>868</v>
      </c>
      <c r="FY4" s="266" t="s">
        <v>869</v>
      </c>
      <c r="FZ4" s="266">
        <v>4</v>
      </c>
      <c r="GA4" s="266">
        <v>4</v>
      </c>
      <c r="GB4" s="266">
        <v>660</v>
      </c>
      <c r="GC4" s="266">
        <v>604</v>
      </c>
      <c r="GD4" s="266">
        <v>4</v>
      </c>
      <c r="GE4" s="266">
        <v>33</v>
      </c>
      <c r="GF4" s="266">
        <v>0</v>
      </c>
      <c r="GG4" s="266">
        <v>4</v>
      </c>
      <c r="GH4" s="266">
        <v>1</v>
      </c>
      <c r="GI4" s="266">
        <v>79</v>
      </c>
      <c r="GJ4" s="266">
        <v>54</v>
      </c>
      <c r="GK4" s="266">
        <v>36</v>
      </c>
      <c r="GL4" s="266">
        <v>16</v>
      </c>
      <c r="GM4" s="266">
        <v>13</v>
      </c>
      <c r="GN4" s="266">
        <v>9</v>
      </c>
      <c r="GO4" s="266">
        <v>50</v>
      </c>
      <c r="GP4" s="266">
        <v>1</v>
      </c>
      <c r="GQ4" s="266">
        <v>0</v>
      </c>
      <c r="GR4" s="266">
        <v>1</v>
      </c>
      <c r="GS4" s="266">
        <v>0</v>
      </c>
      <c r="GT4" s="266">
        <v>0</v>
      </c>
      <c r="GU4" s="266">
        <v>0.1</v>
      </c>
      <c r="GV4" s="266">
        <v>0</v>
      </c>
      <c r="GW4" s="266">
        <v>0</v>
      </c>
      <c r="GX4" s="266">
        <v>14</v>
      </c>
      <c r="GY4" s="266">
        <v>8</v>
      </c>
      <c r="GZ4" s="266">
        <v>16</v>
      </c>
      <c r="HA4" s="266">
        <v>4</v>
      </c>
      <c r="HB4" s="266">
        <v>1</v>
      </c>
      <c r="HC4" s="266">
        <v>1</v>
      </c>
      <c r="HD4" s="266">
        <v>0</v>
      </c>
      <c r="HE4" s="266">
        <v>2.4</v>
      </c>
      <c r="HF4" s="266">
        <v>0</v>
      </c>
      <c r="HG4" s="266">
        <v>0</v>
      </c>
      <c r="HH4" s="266" t="s">
        <v>839</v>
      </c>
      <c r="HI4" s="271">
        <v>6.87</v>
      </c>
    </row>
    <row r="5" spans="1:217" ht="24.95" customHeight="1" thickBot="1" x14ac:dyDescent="0.3">
      <c r="A5" s="29" t="str">
        <f t="shared" si="0"/>
        <v>4º</v>
      </c>
      <c r="B5" s="67" t="str">
        <f t="shared" si="1"/>
        <v>Facundo Buonanotte</v>
      </c>
      <c r="C5" s="83" t="str">
        <f t="shared" si="2"/>
        <v>ARG</v>
      </c>
      <c r="D5" s="239" t="str">
        <f t="shared" si="3"/>
        <v>Leeds Utd</v>
      </c>
      <c r="E5" s="348" t="str">
        <f t="shared" si="4"/>
        <v>MO (DC)</v>
      </c>
      <c r="F5" s="36">
        <f t="shared" si="5"/>
        <v>21</v>
      </c>
      <c r="G5" s="342">
        <f t="shared" si="6"/>
        <v>47664</v>
      </c>
      <c r="H5" s="299" t="str">
        <f t="shared" si="7"/>
        <v>€238m p/m</v>
      </c>
      <c r="I5" s="89">
        <f t="shared" si="8"/>
        <v>17.137777777777778</v>
      </c>
      <c r="J5" s="183">
        <f t="shared" si="9"/>
        <v>12.144444444444444</v>
      </c>
      <c r="K5" s="183">
        <f t="shared" si="10"/>
        <v>16</v>
      </c>
      <c r="L5" s="183">
        <f t="shared" si="11"/>
        <v>68.3125</v>
      </c>
      <c r="M5" s="184">
        <f t="shared" si="12"/>
        <v>0.81</v>
      </c>
      <c r="N5" s="6">
        <f t="shared" si="13"/>
        <v>1</v>
      </c>
      <c r="O5" s="24">
        <f t="shared" si="14"/>
        <v>1093</v>
      </c>
      <c r="P5" s="21">
        <f t="shared" si="15"/>
        <v>8.2342177493138158E-2</v>
      </c>
      <c r="Q5" s="373">
        <f t="shared" si="16"/>
        <v>2</v>
      </c>
      <c r="R5" s="373">
        <f t="shared" si="17"/>
        <v>1</v>
      </c>
      <c r="S5" s="373">
        <f t="shared" si="18"/>
        <v>3</v>
      </c>
      <c r="T5" s="374">
        <f t="shared" si="19"/>
        <v>0.16468435498627632</v>
      </c>
      <c r="U5" s="374">
        <f t="shared" si="20"/>
        <v>8.2342177493138158E-2</v>
      </c>
      <c r="V5" s="374">
        <f t="shared" si="21"/>
        <v>0.24702653247941447</v>
      </c>
      <c r="W5" s="383">
        <f t="shared" si="22"/>
        <v>1</v>
      </c>
      <c r="X5" s="383">
        <f t="shared" si="23"/>
        <v>1</v>
      </c>
      <c r="Y5" s="326">
        <f t="shared" si="24"/>
        <v>0</v>
      </c>
      <c r="Z5" s="384">
        <f t="shared" si="25"/>
        <v>2</v>
      </c>
      <c r="AA5" s="73">
        <f t="shared" si="26"/>
        <v>2.2999999999999998</v>
      </c>
      <c r="AB5" s="73">
        <f t="shared" si="27"/>
        <v>2.2999999999999998</v>
      </c>
      <c r="AC5" s="73">
        <f t="shared" si="28"/>
        <v>0.18938700823421775</v>
      </c>
      <c r="AD5" s="73">
        <f t="shared" si="29"/>
        <v>2.21</v>
      </c>
      <c r="AE5" s="73">
        <f t="shared" si="30"/>
        <v>0.18197621225983532</v>
      </c>
      <c r="AF5" s="73">
        <f t="shared" si="31"/>
        <v>4.51</v>
      </c>
      <c r="AG5" s="73">
        <f t="shared" si="32"/>
        <v>0.37136322049405307</v>
      </c>
      <c r="AH5" s="6">
        <f t="shared" si="33"/>
        <v>24</v>
      </c>
      <c r="AI5" s="5">
        <f t="shared" si="34"/>
        <v>1.9762122598353158</v>
      </c>
      <c r="AJ5" s="6">
        <f t="shared" si="35"/>
        <v>17</v>
      </c>
      <c r="AK5" s="5">
        <f t="shared" si="36"/>
        <v>1.3998170173833486</v>
      </c>
      <c r="AL5" s="6">
        <f t="shared" si="37"/>
        <v>7</v>
      </c>
      <c r="AM5" s="5">
        <f t="shared" si="38"/>
        <v>0.57639524245196705</v>
      </c>
      <c r="AN5" s="6">
        <f t="shared" si="39"/>
        <v>5</v>
      </c>
      <c r="AO5" s="5">
        <f t="shared" si="40"/>
        <v>0.41171088746569079</v>
      </c>
      <c r="AP5" s="21">
        <f t="shared" si="41"/>
        <v>0.29166666666666669</v>
      </c>
      <c r="AQ5" s="73">
        <f t="shared" si="42"/>
        <v>12</v>
      </c>
      <c r="AR5" s="73">
        <f t="shared" si="43"/>
        <v>3.5</v>
      </c>
      <c r="AS5" s="20">
        <f t="shared" si="44"/>
        <v>8.3333333333333329E-2</v>
      </c>
      <c r="AT5" s="278">
        <f t="shared" si="45"/>
        <v>0</v>
      </c>
      <c r="AU5" s="279">
        <f t="shared" si="46"/>
        <v>0</v>
      </c>
      <c r="AV5" s="278">
        <f t="shared" si="47"/>
        <v>0</v>
      </c>
      <c r="AW5" s="279">
        <f t="shared" si="48"/>
        <v>0</v>
      </c>
      <c r="AX5" s="277">
        <f t="shared" si="49"/>
        <v>0</v>
      </c>
      <c r="AY5" s="278">
        <f t="shared" si="50"/>
        <v>0</v>
      </c>
      <c r="AZ5" s="278">
        <f t="shared" si="51"/>
        <v>0</v>
      </c>
      <c r="BA5" s="319">
        <f t="shared" si="52"/>
        <v>0</v>
      </c>
      <c r="BB5" s="318">
        <f t="shared" si="53"/>
        <v>1E-8</v>
      </c>
      <c r="BC5" s="73">
        <f t="shared" si="54"/>
        <v>45.541666666666664</v>
      </c>
      <c r="BD5" s="73">
        <f t="shared" si="55"/>
        <v>156.14285714285714</v>
      </c>
      <c r="BE5" s="73">
        <f t="shared" si="56"/>
        <v>546.5</v>
      </c>
      <c r="BF5" s="73">
        <f t="shared" si="57"/>
        <v>364.33333333333331</v>
      </c>
      <c r="BG5" s="5">
        <f t="shared" si="58"/>
        <v>-0.29999999999999982</v>
      </c>
      <c r="BH5" s="5">
        <f t="shared" si="59"/>
        <v>-0.29999999999999982</v>
      </c>
      <c r="BI5" s="72">
        <f t="shared" si="60"/>
        <v>11</v>
      </c>
      <c r="BJ5" s="73">
        <f t="shared" si="61"/>
        <v>0.90576395242451968</v>
      </c>
      <c r="BK5" s="72">
        <f t="shared" si="62"/>
        <v>27</v>
      </c>
      <c r="BL5" s="72">
        <f t="shared" si="63"/>
        <v>7</v>
      </c>
      <c r="BM5" s="72">
        <f t="shared" si="64"/>
        <v>20</v>
      </c>
      <c r="BN5" s="73">
        <f t="shared" si="65"/>
        <v>0.57639524245196705</v>
      </c>
      <c r="BO5" s="76">
        <f t="shared" si="66"/>
        <v>0.25925925925925924</v>
      </c>
      <c r="BP5" s="72">
        <f t="shared" si="67"/>
        <v>45</v>
      </c>
      <c r="BQ5" s="72">
        <f t="shared" si="68"/>
        <v>17</v>
      </c>
      <c r="BR5" s="73">
        <f t="shared" si="69"/>
        <v>1.3998170173833486</v>
      </c>
      <c r="BS5" s="72">
        <f t="shared" si="70"/>
        <v>6</v>
      </c>
      <c r="BT5" s="73">
        <f t="shared" si="71"/>
        <v>0.49405306495882895</v>
      </c>
      <c r="BU5" s="76">
        <f t="shared" si="72"/>
        <v>0.37777777777777777</v>
      </c>
      <c r="BV5" s="256">
        <f t="shared" si="73"/>
        <v>22</v>
      </c>
      <c r="BW5" s="255">
        <f t="shared" si="74"/>
        <v>1.8115279048490394</v>
      </c>
      <c r="BX5" s="375">
        <f t="shared" si="75"/>
        <v>0</v>
      </c>
      <c r="BY5" s="376">
        <f t="shared" si="76"/>
        <v>0</v>
      </c>
      <c r="BZ5" s="377">
        <f t="shared" si="77"/>
        <v>0</v>
      </c>
      <c r="CA5" s="378">
        <f t="shared" si="78"/>
        <v>0</v>
      </c>
      <c r="CB5" s="379">
        <f t="shared" si="79"/>
        <v>0</v>
      </c>
      <c r="CC5" s="380">
        <f t="shared" si="80"/>
        <v>0</v>
      </c>
      <c r="CD5" s="73">
        <f t="shared" si="81"/>
        <v>-14.000000000000002</v>
      </c>
      <c r="CE5" s="72">
        <f t="shared" si="82"/>
        <v>120</v>
      </c>
      <c r="CF5" s="72">
        <f t="shared" si="83"/>
        <v>27</v>
      </c>
      <c r="CG5" s="148">
        <f t="shared" si="84"/>
        <v>0.22500000000000001</v>
      </c>
      <c r="CH5" s="72">
        <f t="shared" si="85"/>
        <v>192</v>
      </c>
      <c r="CI5" s="73">
        <f t="shared" si="86"/>
        <v>15.809698078682526</v>
      </c>
      <c r="CJ5" s="72">
        <f t="shared" si="87"/>
        <v>51</v>
      </c>
      <c r="CK5" s="73">
        <f t="shared" si="88"/>
        <v>4.1994510521500459</v>
      </c>
      <c r="CL5" s="148">
        <f t="shared" si="89"/>
        <v>0.265625</v>
      </c>
      <c r="CM5" s="72">
        <f t="shared" si="90"/>
        <v>40</v>
      </c>
      <c r="CN5" s="73">
        <f t="shared" si="91"/>
        <v>3.2936870997255263</v>
      </c>
      <c r="CO5" s="72">
        <f t="shared" si="92"/>
        <v>44</v>
      </c>
      <c r="CP5" s="73">
        <f t="shared" si="93"/>
        <v>3.6230558096980787</v>
      </c>
      <c r="CQ5" s="72">
        <f t="shared" si="94"/>
        <v>157.28666666666666</v>
      </c>
      <c r="CR5" s="73">
        <f t="shared" si="95"/>
        <v>12.951326623970722</v>
      </c>
      <c r="CS5" s="72">
        <f t="shared" si="96"/>
        <v>104</v>
      </c>
      <c r="CT5" s="73">
        <f t="shared" si="97"/>
        <v>8.563586459286368</v>
      </c>
      <c r="CU5" s="76">
        <f t="shared" si="98"/>
        <v>0.66121307167380161</v>
      </c>
      <c r="CV5" s="72">
        <f t="shared" si="99"/>
        <v>111</v>
      </c>
      <c r="CW5" s="73">
        <f t="shared" si="100"/>
        <v>9.1399817017383356</v>
      </c>
      <c r="CX5" s="72">
        <f t="shared" si="101"/>
        <v>63</v>
      </c>
      <c r="CY5" s="73">
        <f t="shared" si="102"/>
        <v>5.187557182067704</v>
      </c>
      <c r="CZ5" s="76">
        <f t="shared" si="103"/>
        <v>0.56756756756756754</v>
      </c>
      <c r="DA5" s="80">
        <f t="shared" si="104"/>
        <v>884.28666666666663</v>
      </c>
      <c r="DB5" s="80">
        <f t="shared" si="105"/>
        <v>724</v>
      </c>
      <c r="DC5" s="81">
        <f t="shared" si="106"/>
        <v>0.81873902128269116</v>
      </c>
      <c r="DD5" s="336">
        <f t="shared" si="107"/>
        <v>36</v>
      </c>
      <c r="DE5" s="337">
        <f t="shared" si="108"/>
        <v>2.9643183897529735</v>
      </c>
      <c r="DF5" s="413">
        <f t="shared" si="109"/>
        <v>1.097744739249771</v>
      </c>
      <c r="DG5" s="72">
        <f t="shared" si="110"/>
        <v>50</v>
      </c>
      <c r="DH5" s="73">
        <f t="shared" si="111"/>
        <v>4.1171088746569078</v>
      </c>
      <c r="DI5" s="72">
        <f t="shared" si="112"/>
        <v>51</v>
      </c>
      <c r="DJ5" s="73">
        <f t="shared" si="113"/>
        <v>4.1994510521500459</v>
      </c>
      <c r="DK5" s="72">
        <f t="shared" si="114"/>
        <v>7.2866666666666662</v>
      </c>
      <c r="DL5" s="73">
        <f t="shared" si="115"/>
        <v>0.6</v>
      </c>
      <c r="DM5" s="72">
        <f t="shared" si="116"/>
        <v>837</v>
      </c>
      <c r="DN5" s="73">
        <f t="shared" si="117"/>
        <v>68.920402561756632</v>
      </c>
      <c r="DO5" s="72">
        <f t="shared" si="118"/>
        <v>74.5</v>
      </c>
      <c r="DP5" s="6">
        <f t="shared" si="119"/>
        <v>44.99666666666667</v>
      </c>
      <c r="DQ5" s="5">
        <f t="shared" si="120"/>
        <v>3.7051235132662401</v>
      </c>
      <c r="DR5" s="55">
        <f t="shared" si="121"/>
        <v>52</v>
      </c>
      <c r="DS5" s="56">
        <f t="shared" si="122"/>
        <v>4.281793229643184</v>
      </c>
      <c r="DT5" s="55">
        <f t="shared" si="123"/>
        <v>23</v>
      </c>
      <c r="DU5" s="56">
        <f t="shared" si="124"/>
        <v>1.8938700823421775</v>
      </c>
      <c r="DV5" s="104">
        <f t="shared" si="125"/>
        <v>0.44230769230769229</v>
      </c>
      <c r="DW5" s="6">
        <f t="shared" si="126"/>
        <v>24</v>
      </c>
      <c r="DX5" s="5">
        <f t="shared" si="127"/>
        <v>1.9762122598353158</v>
      </c>
      <c r="DY5" s="5">
        <f t="shared" si="128"/>
        <v>24</v>
      </c>
      <c r="DZ5" s="21">
        <f t="shared" si="129"/>
        <v>4.1666666666666664E-2</v>
      </c>
      <c r="EA5" s="5">
        <f t="shared" si="130"/>
        <v>1.21</v>
      </c>
      <c r="EB5" s="5">
        <f t="shared" si="131"/>
        <v>9.2083333333333336E-2</v>
      </c>
      <c r="EC5" s="72">
        <f t="shared" si="132"/>
        <v>616</v>
      </c>
      <c r="ED5" s="73">
        <f t="shared" si="133"/>
        <v>50.722781335773107</v>
      </c>
      <c r="EE5" s="72">
        <f t="shared" si="134"/>
        <v>557</v>
      </c>
      <c r="EF5" s="73">
        <f t="shared" si="135"/>
        <v>45.864592863677956</v>
      </c>
      <c r="EG5" s="76">
        <f t="shared" si="136"/>
        <v>0.90422077922077926</v>
      </c>
      <c r="EH5" s="395">
        <f t="shared" si="137"/>
        <v>59</v>
      </c>
      <c r="EI5" s="396">
        <f t="shared" si="138"/>
        <v>4.8581884720951516</v>
      </c>
      <c r="EJ5" s="256">
        <f t="shared" si="139"/>
        <v>46</v>
      </c>
      <c r="EK5" s="255">
        <f t="shared" si="140"/>
        <v>3.7877401646843549</v>
      </c>
      <c r="EL5" s="397">
        <f t="shared" si="141"/>
        <v>7.4675324675324672E-2</v>
      </c>
      <c r="EM5" s="73">
        <f t="shared" si="142"/>
        <v>45.541666666666664</v>
      </c>
      <c r="EN5" s="73">
        <f t="shared" si="143"/>
        <v>32.147058823529413</v>
      </c>
      <c r="EO5" s="205">
        <f t="shared" si="144"/>
        <v>196</v>
      </c>
      <c r="EP5" s="206">
        <f t="shared" si="145"/>
        <v>16.139066788655079</v>
      </c>
      <c r="EQ5" s="205">
        <f t="shared" si="146"/>
        <v>139</v>
      </c>
      <c r="ER5" s="206">
        <f t="shared" si="147"/>
        <v>11.445562671546204</v>
      </c>
      <c r="ES5" s="81">
        <f t="shared" si="148"/>
        <v>0.70918367346938771</v>
      </c>
      <c r="ET5" s="174">
        <f t="shared" si="149"/>
        <v>136</v>
      </c>
      <c r="EU5" s="191">
        <f t="shared" si="150"/>
        <v>11.198536139066789</v>
      </c>
      <c r="EV5" s="193">
        <f t="shared" si="151"/>
        <v>7.4656907593778596</v>
      </c>
      <c r="EW5" s="192">
        <f t="shared" si="152"/>
        <v>188.23888888888888</v>
      </c>
      <c r="EX5" s="73">
        <f t="shared" si="153"/>
        <v>15.5</v>
      </c>
      <c r="EY5" s="55">
        <f t="shared" si="154"/>
        <v>125</v>
      </c>
      <c r="EZ5" s="56">
        <f t="shared" si="155"/>
        <v>10.292772186642269</v>
      </c>
      <c r="FA5" s="73">
        <f t="shared" si="156"/>
        <v>18.600000000000001</v>
      </c>
      <c r="FB5" s="56">
        <f t="shared" si="157"/>
        <v>84.039555555555552</v>
      </c>
      <c r="FC5" s="60">
        <f t="shared" si="158"/>
        <v>6.92</v>
      </c>
      <c r="FD5" s="270"/>
      <c r="FE5" s="266" t="s">
        <v>708</v>
      </c>
      <c r="FF5" s="266" t="s">
        <v>850</v>
      </c>
      <c r="FG5" s="266" t="s">
        <v>851</v>
      </c>
      <c r="FH5" s="266">
        <v>21</v>
      </c>
      <c r="FI5" s="266" t="s">
        <v>852</v>
      </c>
      <c r="FJ5" s="266" t="s">
        <v>853</v>
      </c>
      <c r="FK5" s="266" t="s">
        <v>579</v>
      </c>
      <c r="FL5" s="266" t="s">
        <v>854</v>
      </c>
      <c r="FM5" s="266" t="s">
        <v>855</v>
      </c>
      <c r="FN5" s="267">
        <v>47664</v>
      </c>
      <c r="FO5" s="266">
        <v>1093</v>
      </c>
      <c r="FP5" s="266" t="s">
        <v>856</v>
      </c>
      <c r="FQ5" s="266">
        <v>1</v>
      </c>
      <c r="FR5" s="266">
        <v>2</v>
      </c>
      <c r="FS5" s="266">
        <v>1</v>
      </c>
      <c r="FT5" s="266">
        <v>15</v>
      </c>
      <c r="FU5" s="266">
        <v>3</v>
      </c>
      <c r="FV5" s="266">
        <v>4.5999999999999996</v>
      </c>
      <c r="FW5" s="266">
        <v>18.600000000000001</v>
      </c>
      <c r="FX5" s="266" t="s">
        <v>870</v>
      </c>
      <c r="FY5" s="266" t="s">
        <v>871</v>
      </c>
      <c r="FZ5" s="266">
        <v>22</v>
      </c>
      <c r="GA5" s="266">
        <v>7</v>
      </c>
      <c r="GB5" s="266">
        <v>616</v>
      </c>
      <c r="GC5" s="266">
        <v>557</v>
      </c>
      <c r="GD5" s="266">
        <v>24</v>
      </c>
      <c r="GE5" s="266">
        <v>46</v>
      </c>
      <c r="GF5" s="266">
        <v>36</v>
      </c>
      <c r="GG5" s="266">
        <v>24</v>
      </c>
      <c r="GH5" s="266">
        <v>7</v>
      </c>
      <c r="GI5" s="266">
        <v>27</v>
      </c>
      <c r="GJ5" s="266">
        <v>7</v>
      </c>
      <c r="GK5" s="266">
        <v>120</v>
      </c>
      <c r="GL5" s="266">
        <v>27</v>
      </c>
      <c r="GM5" s="266">
        <v>23</v>
      </c>
      <c r="GN5" s="266">
        <v>17</v>
      </c>
      <c r="GO5" s="266">
        <v>36</v>
      </c>
      <c r="GP5" s="266">
        <v>52</v>
      </c>
      <c r="GQ5" s="266">
        <v>23</v>
      </c>
      <c r="GR5" s="266">
        <v>52</v>
      </c>
      <c r="GS5" s="266">
        <v>23</v>
      </c>
      <c r="GT5" s="266">
        <v>1</v>
      </c>
      <c r="GU5" s="266">
        <v>0.6</v>
      </c>
      <c r="GV5" s="266">
        <v>2</v>
      </c>
      <c r="GW5" s="266">
        <v>11</v>
      </c>
      <c r="GX5" s="266">
        <v>2</v>
      </c>
      <c r="GY5" s="266">
        <v>0</v>
      </c>
      <c r="GZ5" s="266">
        <v>1</v>
      </c>
      <c r="HA5" s="266">
        <v>0</v>
      </c>
      <c r="HB5" s="266">
        <v>0</v>
      </c>
      <c r="HC5" s="266">
        <v>0</v>
      </c>
      <c r="HD5" s="266">
        <v>0</v>
      </c>
      <c r="HE5" s="266">
        <v>15.5</v>
      </c>
      <c r="HF5" s="266">
        <v>0</v>
      </c>
      <c r="HG5" s="266">
        <v>0</v>
      </c>
      <c r="HH5" s="266" t="s">
        <v>857</v>
      </c>
      <c r="HI5" s="271">
        <v>6.92</v>
      </c>
    </row>
    <row r="6" spans="1:217" ht="24.95" customHeight="1" thickBot="1" x14ac:dyDescent="0.3">
      <c r="A6" s="29" t="str">
        <f t="shared" si="0"/>
        <v>5º</v>
      </c>
      <c r="B6" s="67" t="str">
        <f t="shared" si="1"/>
        <v>Filippo Mané</v>
      </c>
      <c r="C6" s="83" t="str">
        <f t="shared" si="2"/>
        <v>ITA</v>
      </c>
      <c r="D6" s="239" t="str">
        <f t="shared" si="3"/>
        <v>Dortmund</v>
      </c>
      <c r="E6" s="348" t="str">
        <f t="shared" si="4"/>
        <v>D (C)</v>
      </c>
      <c r="F6" s="36">
        <f t="shared" si="5"/>
        <v>20</v>
      </c>
      <c r="G6" s="342">
        <f t="shared" si="6"/>
        <v>46934</v>
      </c>
      <c r="H6" s="299" t="str">
        <f t="shared" si="7"/>
        <v>€42m p/m</v>
      </c>
      <c r="I6" s="89">
        <f t="shared" si="8"/>
        <v>17.137777777777778</v>
      </c>
      <c r="J6" s="183">
        <f t="shared" si="9"/>
        <v>12.966666666666667</v>
      </c>
      <c r="K6" s="183">
        <f t="shared" si="10"/>
        <v>14</v>
      </c>
      <c r="L6" s="183">
        <f t="shared" si="11"/>
        <v>83.357142857142861</v>
      </c>
      <c r="M6" s="184">
        <f t="shared" si="12"/>
        <v>0.79</v>
      </c>
      <c r="N6" s="6">
        <f t="shared" si="13"/>
        <v>0</v>
      </c>
      <c r="O6" s="24">
        <f t="shared" si="14"/>
        <v>5400</v>
      </c>
      <c r="P6" s="21">
        <f t="shared" si="15"/>
        <v>0</v>
      </c>
      <c r="Q6" s="373">
        <f t="shared" si="16"/>
        <v>1</v>
      </c>
      <c r="R6" s="373">
        <f t="shared" si="17"/>
        <v>0</v>
      </c>
      <c r="S6" s="373">
        <f t="shared" si="18"/>
        <v>1</v>
      </c>
      <c r="T6" s="374">
        <f t="shared" si="19"/>
        <v>7.7120822622107968E-2</v>
      </c>
      <c r="U6" s="374">
        <f t="shared" si="20"/>
        <v>0</v>
      </c>
      <c r="V6" s="374">
        <f t="shared" si="21"/>
        <v>7.7120822622107968E-2</v>
      </c>
      <c r="W6" s="383">
        <f t="shared" si="22"/>
        <v>1</v>
      </c>
      <c r="X6" s="383">
        <f t="shared" si="23"/>
        <v>0</v>
      </c>
      <c r="Y6" s="326">
        <f t="shared" si="24"/>
        <v>0</v>
      </c>
      <c r="Z6" s="384">
        <f t="shared" si="25"/>
        <v>1</v>
      </c>
      <c r="AA6" s="73">
        <f t="shared" si="26"/>
        <v>0.25</v>
      </c>
      <c r="AB6" s="73">
        <f t="shared" si="27"/>
        <v>0.25</v>
      </c>
      <c r="AC6" s="73">
        <f t="shared" si="28"/>
        <v>1.9280205655526992E-2</v>
      </c>
      <c r="AD6" s="73">
        <f t="shared" si="29"/>
        <v>0.14000000000000001</v>
      </c>
      <c r="AE6" s="73">
        <f t="shared" si="30"/>
        <v>1.0796915167095116E-2</v>
      </c>
      <c r="AF6" s="73">
        <f t="shared" si="31"/>
        <v>0.39</v>
      </c>
      <c r="AG6" s="73">
        <f t="shared" si="32"/>
        <v>3.0077120822622108E-2</v>
      </c>
      <c r="AH6" s="6">
        <f t="shared" si="33"/>
        <v>5</v>
      </c>
      <c r="AI6" s="5">
        <f t="shared" si="34"/>
        <v>0.38560411311053983</v>
      </c>
      <c r="AJ6" s="6">
        <f t="shared" si="35"/>
        <v>4</v>
      </c>
      <c r="AK6" s="5">
        <f t="shared" si="36"/>
        <v>0.30848329048843187</v>
      </c>
      <c r="AL6" s="6">
        <f t="shared" si="37"/>
        <v>1</v>
      </c>
      <c r="AM6" s="5">
        <f t="shared" si="38"/>
        <v>7.7120822622107968E-2</v>
      </c>
      <c r="AN6" s="6">
        <f t="shared" si="39"/>
        <v>0</v>
      </c>
      <c r="AO6" s="5">
        <f t="shared" si="40"/>
        <v>0</v>
      </c>
      <c r="AP6" s="21">
        <f t="shared" si="41"/>
        <v>0.2</v>
      </c>
      <c r="AQ6" s="73">
        <f t="shared" si="42"/>
        <v>5</v>
      </c>
      <c r="AR6" s="73">
        <f t="shared" si="43"/>
        <v>1</v>
      </c>
      <c r="AS6" s="20">
        <f t="shared" si="44"/>
        <v>0.2</v>
      </c>
      <c r="AT6" s="278">
        <f t="shared" si="45"/>
        <v>0</v>
      </c>
      <c r="AU6" s="279">
        <f t="shared" si="46"/>
        <v>0</v>
      </c>
      <c r="AV6" s="278">
        <f t="shared" si="47"/>
        <v>0</v>
      </c>
      <c r="AW6" s="279">
        <f t="shared" si="48"/>
        <v>0</v>
      </c>
      <c r="AX6" s="277">
        <f t="shared" si="49"/>
        <v>0</v>
      </c>
      <c r="AY6" s="278">
        <f t="shared" si="50"/>
        <v>0</v>
      </c>
      <c r="AZ6" s="278">
        <f t="shared" si="51"/>
        <v>0</v>
      </c>
      <c r="BA6" s="319">
        <f t="shared" si="52"/>
        <v>0</v>
      </c>
      <c r="BB6" s="318">
        <f t="shared" si="53"/>
        <v>1E-8</v>
      </c>
      <c r="BC6" s="73">
        <f t="shared" si="54"/>
        <v>233.4</v>
      </c>
      <c r="BD6" s="73">
        <f t="shared" si="55"/>
        <v>1167</v>
      </c>
      <c r="BE6" s="73">
        <f t="shared" si="56"/>
        <v>1167</v>
      </c>
      <c r="BF6" s="73">
        <f t="shared" si="57"/>
        <v>1167</v>
      </c>
      <c r="BG6" s="5">
        <f t="shared" si="58"/>
        <v>0.75</v>
      </c>
      <c r="BH6" s="5">
        <f t="shared" si="59"/>
        <v>0.75</v>
      </c>
      <c r="BI6" s="72">
        <f t="shared" si="60"/>
        <v>0</v>
      </c>
      <c r="BJ6" s="73">
        <f t="shared" si="61"/>
        <v>0</v>
      </c>
      <c r="BK6" s="72">
        <f t="shared" si="62"/>
        <v>66</v>
      </c>
      <c r="BL6" s="72">
        <f t="shared" si="63"/>
        <v>44</v>
      </c>
      <c r="BM6" s="72">
        <f t="shared" si="64"/>
        <v>22</v>
      </c>
      <c r="BN6" s="73">
        <f t="shared" si="65"/>
        <v>3.3933161953727504</v>
      </c>
      <c r="BO6" s="76">
        <f t="shared" si="66"/>
        <v>0.66666666666666663</v>
      </c>
      <c r="BP6" s="72">
        <f t="shared" si="67"/>
        <v>21</v>
      </c>
      <c r="BQ6" s="72">
        <f t="shared" si="68"/>
        <v>11</v>
      </c>
      <c r="BR6" s="73">
        <f t="shared" si="69"/>
        <v>0.84832904884318761</v>
      </c>
      <c r="BS6" s="72">
        <f t="shared" si="70"/>
        <v>0</v>
      </c>
      <c r="BT6" s="73">
        <f t="shared" si="71"/>
        <v>0</v>
      </c>
      <c r="BU6" s="76">
        <f t="shared" si="72"/>
        <v>0.52380952380952384</v>
      </c>
      <c r="BV6" s="256">
        <f t="shared" si="73"/>
        <v>10</v>
      </c>
      <c r="BW6" s="255">
        <f t="shared" si="74"/>
        <v>0.77120822622107965</v>
      </c>
      <c r="BX6" s="375">
        <f t="shared" si="75"/>
        <v>4</v>
      </c>
      <c r="BY6" s="376">
        <f t="shared" si="76"/>
        <v>0.30848329048843187</v>
      </c>
      <c r="BZ6" s="377">
        <f t="shared" si="77"/>
        <v>0</v>
      </c>
      <c r="CA6" s="378">
        <f t="shared" si="78"/>
        <v>0</v>
      </c>
      <c r="CB6" s="379">
        <f t="shared" si="79"/>
        <v>4</v>
      </c>
      <c r="CC6" s="380">
        <f t="shared" si="80"/>
        <v>0.4</v>
      </c>
      <c r="CD6" s="73">
        <f t="shared" si="81"/>
        <v>5.7</v>
      </c>
      <c r="CE6" s="72">
        <f t="shared" si="82"/>
        <v>31</v>
      </c>
      <c r="CF6" s="72">
        <f t="shared" si="83"/>
        <v>15</v>
      </c>
      <c r="CG6" s="148">
        <f t="shared" si="84"/>
        <v>0.4838709677419355</v>
      </c>
      <c r="CH6" s="72">
        <f t="shared" si="85"/>
        <v>122</v>
      </c>
      <c r="CI6" s="73">
        <f t="shared" si="86"/>
        <v>9.4087403598971715</v>
      </c>
      <c r="CJ6" s="72">
        <f t="shared" si="87"/>
        <v>74</v>
      </c>
      <c r="CK6" s="73">
        <f t="shared" si="88"/>
        <v>5.7069408740359897</v>
      </c>
      <c r="CL6" s="148">
        <f t="shared" si="89"/>
        <v>0.60655737704918034</v>
      </c>
      <c r="CM6" s="72">
        <f t="shared" si="90"/>
        <v>92</v>
      </c>
      <c r="CN6" s="73">
        <f t="shared" si="91"/>
        <v>7.0951156812339331</v>
      </c>
      <c r="CO6" s="72">
        <f t="shared" si="92"/>
        <v>34</v>
      </c>
      <c r="CP6" s="73">
        <f t="shared" si="93"/>
        <v>2.6221079691516711</v>
      </c>
      <c r="CQ6" s="72">
        <f t="shared" si="94"/>
        <v>11.593333333333334</v>
      </c>
      <c r="CR6" s="73">
        <f t="shared" si="95"/>
        <v>0.89408740359897176</v>
      </c>
      <c r="CS6" s="72">
        <f t="shared" si="96"/>
        <v>3</v>
      </c>
      <c r="CT6" s="73">
        <f t="shared" si="97"/>
        <v>0.23136246786632392</v>
      </c>
      <c r="CU6" s="76">
        <f t="shared" si="98"/>
        <v>0.25876940770557794</v>
      </c>
      <c r="CV6" s="72">
        <f t="shared" si="99"/>
        <v>169</v>
      </c>
      <c r="CW6" s="73">
        <f t="shared" si="100"/>
        <v>13.033419023136247</v>
      </c>
      <c r="CX6" s="72">
        <f t="shared" si="101"/>
        <v>137</v>
      </c>
      <c r="CY6" s="73">
        <f t="shared" si="102"/>
        <v>10.565552699228792</v>
      </c>
      <c r="CZ6" s="76">
        <f t="shared" si="103"/>
        <v>0.81065088757396453</v>
      </c>
      <c r="DA6" s="80">
        <f t="shared" si="104"/>
        <v>705.59333333333336</v>
      </c>
      <c r="DB6" s="80">
        <f t="shared" si="105"/>
        <v>600</v>
      </c>
      <c r="DC6" s="81">
        <f t="shared" si="106"/>
        <v>0.85034817033418675</v>
      </c>
      <c r="DD6" s="336">
        <f t="shared" si="107"/>
        <v>0</v>
      </c>
      <c r="DE6" s="337">
        <f t="shared" si="108"/>
        <v>0</v>
      </c>
      <c r="DF6" s="413">
        <f t="shared" si="109"/>
        <v>0.13658097686375326</v>
      </c>
      <c r="DG6" s="72">
        <f t="shared" si="110"/>
        <v>2</v>
      </c>
      <c r="DH6" s="73">
        <f t="shared" si="111"/>
        <v>0.15424164524421594</v>
      </c>
      <c r="DI6" s="72">
        <f t="shared" si="112"/>
        <v>7</v>
      </c>
      <c r="DJ6" s="73">
        <f t="shared" si="113"/>
        <v>0.53984575835475579</v>
      </c>
      <c r="DK6" s="72">
        <f t="shared" si="114"/>
        <v>2.5933333333333337</v>
      </c>
      <c r="DL6" s="73">
        <f t="shared" si="115"/>
        <v>0.2</v>
      </c>
      <c r="DM6" s="72">
        <f t="shared" si="116"/>
        <v>674</v>
      </c>
      <c r="DN6" s="73">
        <f t="shared" si="117"/>
        <v>51.979434447300768</v>
      </c>
      <c r="DO6" s="72">
        <f t="shared" si="118"/>
        <v>4.5</v>
      </c>
      <c r="DP6" s="6">
        <f t="shared" si="119"/>
        <v>6.2333333333333343</v>
      </c>
      <c r="DQ6" s="5">
        <f t="shared" si="120"/>
        <v>0.48071979434447309</v>
      </c>
      <c r="DR6" s="55">
        <f t="shared" si="121"/>
        <v>2</v>
      </c>
      <c r="DS6" s="56">
        <f t="shared" si="122"/>
        <v>0.15424164524421594</v>
      </c>
      <c r="DT6" s="55">
        <f t="shared" si="123"/>
        <v>0</v>
      </c>
      <c r="DU6" s="56">
        <f t="shared" si="124"/>
        <v>0</v>
      </c>
      <c r="DV6" s="104">
        <f t="shared" si="125"/>
        <v>0</v>
      </c>
      <c r="DW6" s="6">
        <f t="shared" si="126"/>
        <v>2</v>
      </c>
      <c r="DX6" s="5">
        <f t="shared" si="127"/>
        <v>0.15424164524421594</v>
      </c>
      <c r="DY6" s="5">
        <f t="shared" si="128"/>
        <v>70</v>
      </c>
      <c r="DZ6" s="21">
        <f t="shared" si="129"/>
        <v>0</v>
      </c>
      <c r="EA6" s="5">
        <f t="shared" si="130"/>
        <v>0.14000000000000001</v>
      </c>
      <c r="EB6" s="5">
        <f t="shared" si="131"/>
        <v>7.0000000000000007E-2</v>
      </c>
      <c r="EC6" s="72">
        <f t="shared" si="132"/>
        <v>525</v>
      </c>
      <c r="ED6" s="73">
        <f t="shared" si="133"/>
        <v>40.488431876606683</v>
      </c>
      <c r="EE6" s="72">
        <f t="shared" si="134"/>
        <v>460</v>
      </c>
      <c r="EF6" s="73">
        <f t="shared" si="135"/>
        <v>35.475578406169667</v>
      </c>
      <c r="EG6" s="76">
        <f t="shared" si="136"/>
        <v>0.87619047619047619</v>
      </c>
      <c r="EH6" s="395">
        <f t="shared" si="137"/>
        <v>65</v>
      </c>
      <c r="EI6" s="396">
        <f t="shared" si="138"/>
        <v>5.012853470437018</v>
      </c>
      <c r="EJ6" s="256">
        <f t="shared" si="139"/>
        <v>28</v>
      </c>
      <c r="EK6" s="255">
        <f t="shared" si="140"/>
        <v>2.1593830334190232</v>
      </c>
      <c r="EL6" s="397">
        <f t="shared" si="141"/>
        <v>5.3333333333333337E-2</v>
      </c>
      <c r="EM6" s="73">
        <f t="shared" si="142"/>
        <v>583.5</v>
      </c>
      <c r="EN6" s="73">
        <f t="shared" si="143"/>
        <v>389</v>
      </c>
      <c r="EO6" s="205">
        <f t="shared" si="144"/>
        <v>38</v>
      </c>
      <c r="EP6" s="206">
        <f t="shared" si="145"/>
        <v>2.9305912596401029</v>
      </c>
      <c r="EQ6" s="205">
        <f t="shared" si="146"/>
        <v>32</v>
      </c>
      <c r="ER6" s="206">
        <f t="shared" si="147"/>
        <v>2.467866323907455</v>
      </c>
      <c r="ES6" s="81">
        <f t="shared" si="148"/>
        <v>0.84210526315789469</v>
      </c>
      <c r="ET6" s="174">
        <f t="shared" si="149"/>
        <v>127.3</v>
      </c>
      <c r="EU6" s="191">
        <f t="shared" si="150"/>
        <v>9.8174807197943448</v>
      </c>
      <c r="EV6" s="193">
        <f t="shared" si="151"/>
        <v>6.5449871465295635</v>
      </c>
      <c r="EW6" s="192">
        <f t="shared" si="152"/>
        <v>54.46</v>
      </c>
      <c r="EX6" s="73">
        <f t="shared" si="153"/>
        <v>4.2</v>
      </c>
      <c r="EY6" s="55">
        <f t="shared" si="154"/>
        <v>93</v>
      </c>
      <c r="EZ6" s="56">
        <f t="shared" si="155"/>
        <v>7.1722365038560412</v>
      </c>
      <c r="FA6" s="73">
        <f t="shared" si="156"/>
        <v>5.3</v>
      </c>
      <c r="FB6" s="56">
        <f t="shared" si="157"/>
        <v>87.265666666666675</v>
      </c>
      <c r="FC6" s="60">
        <f t="shared" si="158"/>
        <v>6.73</v>
      </c>
      <c r="FD6" s="268"/>
      <c r="FE6" s="264" t="s">
        <v>614</v>
      </c>
      <c r="FF6" s="264" t="s">
        <v>808</v>
      </c>
      <c r="FG6" s="264" t="s">
        <v>845</v>
      </c>
      <c r="FH6" s="264">
        <v>20</v>
      </c>
      <c r="FI6" s="264" t="s">
        <v>846</v>
      </c>
      <c r="FJ6" s="264" t="s">
        <v>623</v>
      </c>
      <c r="FK6" s="264" t="s">
        <v>573</v>
      </c>
      <c r="FL6" s="264" t="s">
        <v>778</v>
      </c>
      <c r="FM6" s="264" t="s">
        <v>847</v>
      </c>
      <c r="FN6" s="265">
        <v>46934</v>
      </c>
      <c r="FO6" s="264">
        <v>1167</v>
      </c>
      <c r="FP6" s="264" t="s">
        <v>848</v>
      </c>
      <c r="FQ6" s="264">
        <v>0</v>
      </c>
      <c r="FR6" s="264">
        <v>1</v>
      </c>
      <c r="FS6" s="264">
        <v>0</v>
      </c>
      <c r="FT6" s="264">
        <v>1</v>
      </c>
      <c r="FU6" s="264">
        <v>0</v>
      </c>
      <c r="FV6" s="264">
        <v>11</v>
      </c>
      <c r="FW6" s="264">
        <v>5.3</v>
      </c>
      <c r="FX6" s="264" t="s">
        <v>872</v>
      </c>
      <c r="FY6" s="264" t="s">
        <v>873</v>
      </c>
      <c r="FZ6" s="264">
        <v>10</v>
      </c>
      <c r="GA6" s="264">
        <v>1</v>
      </c>
      <c r="GB6" s="264">
        <v>525</v>
      </c>
      <c r="GC6" s="264">
        <v>460</v>
      </c>
      <c r="GD6" s="264">
        <v>2</v>
      </c>
      <c r="GE6" s="264">
        <v>28</v>
      </c>
      <c r="GF6" s="264">
        <v>0</v>
      </c>
      <c r="GG6" s="264">
        <v>5</v>
      </c>
      <c r="GH6" s="264">
        <v>1</v>
      </c>
      <c r="GI6" s="264">
        <v>66</v>
      </c>
      <c r="GJ6" s="264">
        <v>44</v>
      </c>
      <c r="GK6" s="264">
        <v>31</v>
      </c>
      <c r="GL6" s="264">
        <v>15</v>
      </c>
      <c r="GM6" s="264">
        <v>11</v>
      </c>
      <c r="GN6" s="264">
        <v>11</v>
      </c>
      <c r="GO6" s="264">
        <v>46</v>
      </c>
      <c r="GP6" s="264">
        <v>2</v>
      </c>
      <c r="GQ6" s="264">
        <v>0</v>
      </c>
      <c r="GR6" s="264">
        <v>2</v>
      </c>
      <c r="GS6" s="264">
        <v>0</v>
      </c>
      <c r="GT6" s="264">
        <v>0</v>
      </c>
      <c r="GU6" s="264">
        <v>0.2</v>
      </c>
      <c r="GV6" s="264">
        <v>0</v>
      </c>
      <c r="GW6" s="264">
        <v>0</v>
      </c>
      <c r="GX6" s="264">
        <v>9</v>
      </c>
      <c r="GY6" s="264">
        <v>5</v>
      </c>
      <c r="GZ6" s="264">
        <v>14</v>
      </c>
      <c r="HA6" s="264">
        <v>4</v>
      </c>
      <c r="HB6" s="264">
        <v>4</v>
      </c>
      <c r="HC6" s="264">
        <v>0</v>
      </c>
      <c r="HD6" s="264">
        <v>0</v>
      </c>
      <c r="HE6" s="264">
        <v>4.2</v>
      </c>
      <c r="HF6" s="264">
        <v>0</v>
      </c>
      <c r="HG6" s="264">
        <v>0</v>
      </c>
      <c r="HH6" s="264" t="s">
        <v>849</v>
      </c>
      <c r="HI6" s="269">
        <v>6.73</v>
      </c>
    </row>
    <row r="7" spans="1:217" ht="24.95" customHeight="1" thickBot="1" x14ac:dyDescent="0.3">
      <c r="A7" s="29" t="str">
        <f t="shared" si="0"/>
        <v>6º</v>
      </c>
      <c r="B7" s="67" t="str">
        <f t="shared" si="1"/>
        <v>Liziero</v>
      </c>
      <c r="C7" s="83" t="str">
        <f t="shared" si="2"/>
        <v>BRA</v>
      </c>
      <c r="D7" s="239" t="str">
        <f t="shared" si="3"/>
        <v>Nacional</v>
      </c>
      <c r="E7" s="348" t="str">
        <f t="shared" si="4"/>
        <v>MD, M (C)</v>
      </c>
      <c r="F7" s="36">
        <f t="shared" si="5"/>
        <v>27</v>
      </c>
      <c r="G7" s="342">
        <f t="shared" si="6"/>
        <v>46934</v>
      </c>
      <c r="H7" s="299" t="str">
        <f t="shared" si="7"/>
        <v>€12,25m p/m</v>
      </c>
      <c r="I7" s="89">
        <f t="shared" si="8"/>
        <v>17.137777777777778</v>
      </c>
      <c r="J7" s="183">
        <f t="shared" si="9"/>
        <v>17.322222222222223</v>
      </c>
      <c r="K7" s="183">
        <f t="shared" si="10"/>
        <v>19</v>
      </c>
      <c r="L7" s="183">
        <f t="shared" si="11"/>
        <v>82.05263157894737</v>
      </c>
      <c r="M7" s="184">
        <f t="shared" si="12"/>
        <v>1</v>
      </c>
      <c r="N7" s="6">
        <f t="shared" si="13"/>
        <v>2</v>
      </c>
      <c r="O7" s="24">
        <f t="shared" si="14"/>
        <v>779.5</v>
      </c>
      <c r="P7" s="21">
        <f t="shared" si="15"/>
        <v>0.11545862732520847</v>
      </c>
      <c r="Q7" s="373">
        <f t="shared" si="16"/>
        <v>0</v>
      </c>
      <c r="R7" s="373">
        <f t="shared" si="17"/>
        <v>4</v>
      </c>
      <c r="S7" s="373">
        <f t="shared" si="18"/>
        <v>4</v>
      </c>
      <c r="T7" s="374">
        <f t="shared" si="19"/>
        <v>0</v>
      </c>
      <c r="U7" s="374">
        <f t="shared" si="20"/>
        <v>0.23091725465041693</v>
      </c>
      <c r="V7" s="374">
        <f t="shared" si="21"/>
        <v>0.23091725465041693</v>
      </c>
      <c r="W7" s="383">
        <f t="shared" si="22"/>
        <v>-1</v>
      </c>
      <c r="X7" s="383">
        <f t="shared" si="23"/>
        <v>1</v>
      </c>
      <c r="Y7" s="326">
        <f t="shared" si="24"/>
        <v>0</v>
      </c>
      <c r="Z7" s="384">
        <f t="shared" si="25"/>
        <v>0</v>
      </c>
      <c r="AA7" s="73">
        <f t="shared" si="26"/>
        <v>1.79</v>
      </c>
      <c r="AB7" s="73">
        <f t="shared" si="27"/>
        <v>1.79</v>
      </c>
      <c r="AC7" s="73">
        <f t="shared" si="28"/>
        <v>0.10333547145606158</v>
      </c>
      <c r="AD7" s="73">
        <f t="shared" si="29"/>
        <v>3.87</v>
      </c>
      <c r="AE7" s="73">
        <f t="shared" si="30"/>
        <v>0.22341244387427839</v>
      </c>
      <c r="AF7" s="73">
        <f t="shared" si="31"/>
        <v>5.66</v>
      </c>
      <c r="AG7" s="73">
        <f t="shared" si="32"/>
        <v>0.32674791533033998</v>
      </c>
      <c r="AH7" s="6">
        <f t="shared" si="33"/>
        <v>12</v>
      </c>
      <c r="AI7" s="5">
        <f t="shared" si="34"/>
        <v>0.69275176395125082</v>
      </c>
      <c r="AJ7" s="6">
        <f t="shared" si="35"/>
        <v>10</v>
      </c>
      <c r="AK7" s="5">
        <f t="shared" si="36"/>
        <v>0.57729313662604231</v>
      </c>
      <c r="AL7" s="6">
        <f t="shared" si="37"/>
        <v>2</v>
      </c>
      <c r="AM7" s="5">
        <f t="shared" si="38"/>
        <v>0.11545862732520847</v>
      </c>
      <c r="AN7" s="6">
        <f t="shared" si="39"/>
        <v>2</v>
      </c>
      <c r="AO7" s="5">
        <f t="shared" si="40"/>
        <v>0.11545862732520847</v>
      </c>
      <c r="AP7" s="21">
        <f t="shared" si="41"/>
        <v>0.16666666666666666</v>
      </c>
      <c r="AQ7" s="73">
        <f t="shared" si="42"/>
        <v>50</v>
      </c>
      <c r="AR7" s="73">
        <f t="shared" si="43"/>
        <v>50</v>
      </c>
      <c r="AS7" s="20">
        <f t="shared" si="44"/>
        <v>0</v>
      </c>
      <c r="AT7" s="278">
        <f t="shared" si="45"/>
        <v>52</v>
      </c>
      <c r="AU7" s="279">
        <f t="shared" si="46"/>
        <v>3.0019243104554199</v>
      </c>
      <c r="AV7" s="278">
        <f t="shared" si="47"/>
        <v>7</v>
      </c>
      <c r="AW7" s="279">
        <f t="shared" si="48"/>
        <v>0.40410519563822961</v>
      </c>
      <c r="AX7" s="277">
        <f t="shared" si="49"/>
        <v>0.13461538461538461</v>
      </c>
      <c r="AY7" s="278">
        <f t="shared" si="50"/>
        <v>0</v>
      </c>
      <c r="AZ7" s="278">
        <f t="shared" si="51"/>
        <v>0</v>
      </c>
      <c r="BA7" s="319">
        <f t="shared" si="52"/>
        <v>0</v>
      </c>
      <c r="BB7" s="318">
        <f t="shared" si="53"/>
        <v>1E-8</v>
      </c>
      <c r="BC7" s="73">
        <f t="shared" si="54"/>
        <v>129.91666666666666</v>
      </c>
      <c r="BD7" s="73">
        <f t="shared" si="55"/>
        <v>779.5</v>
      </c>
      <c r="BE7" s="73">
        <f t="shared" si="56"/>
        <v>1559</v>
      </c>
      <c r="BF7" s="73">
        <f t="shared" si="57"/>
        <v>389.75</v>
      </c>
      <c r="BG7" s="5">
        <f t="shared" si="58"/>
        <v>-1.79</v>
      </c>
      <c r="BH7" s="5">
        <f t="shared" si="59"/>
        <v>-1.79</v>
      </c>
      <c r="BI7" s="72">
        <f t="shared" si="60"/>
        <v>0</v>
      </c>
      <c r="BJ7" s="73">
        <f t="shared" si="61"/>
        <v>0</v>
      </c>
      <c r="BK7" s="72">
        <f t="shared" si="62"/>
        <v>36</v>
      </c>
      <c r="BL7" s="72">
        <f t="shared" si="63"/>
        <v>18</v>
      </c>
      <c r="BM7" s="72">
        <f t="shared" si="64"/>
        <v>18</v>
      </c>
      <c r="BN7" s="73">
        <f t="shared" si="65"/>
        <v>1.0391276459268761</v>
      </c>
      <c r="BO7" s="76">
        <f t="shared" si="66"/>
        <v>0.5</v>
      </c>
      <c r="BP7" s="72">
        <f t="shared" si="67"/>
        <v>36</v>
      </c>
      <c r="BQ7" s="72">
        <f t="shared" si="68"/>
        <v>23</v>
      </c>
      <c r="BR7" s="73">
        <f t="shared" si="69"/>
        <v>1.3277742142398974</v>
      </c>
      <c r="BS7" s="72">
        <f t="shared" si="70"/>
        <v>5</v>
      </c>
      <c r="BT7" s="73">
        <f t="shared" si="71"/>
        <v>0.28864656831302116</v>
      </c>
      <c r="BU7" s="76">
        <f t="shared" si="72"/>
        <v>0.63888888888888884</v>
      </c>
      <c r="BV7" s="256">
        <f t="shared" si="73"/>
        <v>8</v>
      </c>
      <c r="BW7" s="255">
        <f t="shared" si="74"/>
        <v>0.46183450930083386</v>
      </c>
      <c r="BX7" s="375">
        <f t="shared" si="75"/>
        <v>1</v>
      </c>
      <c r="BY7" s="376">
        <f t="shared" si="76"/>
        <v>5.7729313662604233E-2</v>
      </c>
      <c r="BZ7" s="377">
        <f t="shared" si="77"/>
        <v>0</v>
      </c>
      <c r="CA7" s="378">
        <f t="shared" si="78"/>
        <v>0</v>
      </c>
      <c r="CB7" s="379">
        <f t="shared" si="79"/>
        <v>1</v>
      </c>
      <c r="CC7" s="380">
        <f t="shared" si="80"/>
        <v>0.125</v>
      </c>
      <c r="CD7" s="73">
        <f t="shared" si="81"/>
        <v>7.1</v>
      </c>
      <c r="CE7" s="72">
        <f t="shared" si="82"/>
        <v>92</v>
      </c>
      <c r="CF7" s="72">
        <f t="shared" si="83"/>
        <v>30</v>
      </c>
      <c r="CG7" s="148">
        <f t="shared" si="84"/>
        <v>0.32608695652173914</v>
      </c>
      <c r="CH7" s="72">
        <f t="shared" si="85"/>
        <v>166</v>
      </c>
      <c r="CI7" s="73">
        <f t="shared" si="86"/>
        <v>9.5830660679923021</v>
      </c>
      <c r="CJ7" s="72">
        <f t="shared" si="87"/>
        <v>73</v>
      </c>
      <c r="CK7" s="73">
        <f t="shared" si="88"/>
        <v>4.214239897370109</v>
      </c>
      <c r="CL7" s="148">
        <f t="shared" si="89"/>
        <v>0.43975903614457829</v>
      </c>
      <c r="CM7" s="72">
        <f t="shared" si="90"/>
        <v>96</v>
      </c>
      <c r="CN7" s="73">
        <f t="shared" si="91"/>
        <v>5.5420141116100066</v>
      </c>
      <c r="CO7" s="72">
        <f t="shared" si="92"/>
        <v>57</v>
      </c>
      <c r="CP7" s="73">
        <f t="shared" si="93"/>
        <v>3.2905708787684413</v>
      </c>
      <c r="CQ7" s="72">
        <f t="shared" si="94"/>
        <v>127.46444444444444</v>
      </c>
      <c r="CR7" s="73">
        <f t="shared" si="95"/>
        <v>7.3584348941629241</v>
      </c>
      <c r="CS7" s="72">
        <f t="shared" si="96"/>
        <v>64</v>
      </c>
      <c r="CT7" s="73">
        <f t="shared" si="97"/>
        <v>3.6946760744066709</v>
      </c>
      <c r="CU7" s="76">
        <f t="shared" si="98"/>
        <v>0.50210080370996713</v>
      </c>
      <c r="CV7" s="72">
        <f t="shared" si="99"/>
        <v>152</v>
      </c>
      <c r="CW7" s="73">
        <f t="shared" si="100"/>
        <v>8.774855676715843</v>
      </c>
      <c r="CX7" s="72">
        <f t="shared" si="101"/>
        <v>122</v>
      </c>
      <c r="CY7" s="73">
        <f t="shared" si="102"/>
        <v>7.0429762668377158</v>
      </c>
      <c r="CZ7" s="76">
        <f t="shared" si="103"/>
        <v>0.80263157894736847</v>
      </c>
      <c r="DA7" s="80">
        <f t="shared" si="104"/>
        <v>1186.4644444444443</v>
      </c>
      <c r="DB7" s="80">
        <f t="shared" si="105"/>
        <v>1000</v>
      </c>
      <c r="DC7" s="81">
        <f t="shared" si="106"/>
        <v>0.84284025929512341</v>
      </c>
      <c r="DD7" s="336">
        <f t="shared" si="107"/>
        <v>6</v>
      </c>
      <c r="DE7" s="337">
        <f t="shared" si="108"/>
        <v>0.34637588197562541</v>
      </c>
      <c r="DF7" s="413">
        <f t="shared" si="109"/>
        <v>0.97738614496472109</v>
      </c>
      <c r="DG7" s="72">
        <f t="shared" si="110"/>
        <v>56</v>
      </c>
      <c r="DH7" s="73">
        <f t="shared" si="111"/>
        <v>3.2328415651058369</v>
      </c>
      <c r="DI7" s="72">
        <f t="shared" si="112"/>
        <v>60</v>
      </c>
      <c r="DJ7" s="73">
        <f t="shared" si="113"/>
        <v>3.4637588197562539</v>
      </c>
      <c r="DK7" s="72">
        <f t="shared" si="114"/>
        <v>3.4644444444444447</v>
      </c>
      <c r="DL7" s="73">
        <f t="shared" si="115"/>
        <v>0.2</v>
      </c>
      <c r="DM7" s="72">
        <f t="shared" si="116"/>
        <v>1122</v>
      </c>
      <c r="DN7" s="73">
        <f t="shared" si="117"/>
        <v>64.772289929441953</v>
      </c>
      <c r="DO7" s="72">
        <f t="shared" si="118"/>
        <v>62</v>
      </c>
      <c r="DP7" s="6">
        <f t="shared" si="119"/>
        <v>59.334444444444451</v>
      </c>
      <c r="DQ7" s="5">
        <f t="shared" si="120"/>
        <v>3.4253367543296989</v>
      </c>
      <c r="DR7" s="55">
        <f t="shared" si="121"/>
        <v>6</v>
      </c>
      <c r="DS7" s="56">
        <f t="shared" si="122"/>
        <v>0.34637588197562541</v>
      </c>
      <c r="DT7" s="55">
        <f t="shared" si="123"/>
        <v>1</v>
      </c>
      <c r="DU7" s="56">
        <f t="shared" si="124"/>
        <v>5.7729313662604233E-2</v>
      </c>
      <c r="DV7" s="104">
        <f t="shared" si="125"/>
        <v>0.16666666666666666</v>
      </c>
      <c r="DW7" s="6">
        <f t="shared" si="126"/>
        <v>40</v>
      </c>
      <c r="DX7" s="5">
        <f t="shared" si="127"/>
        <v>2.3091725465041693</v>
      </c>
      <c r="DY7" s="5">
        <f t="shared" si="128"/>
        <v>10</v>
      </c>
      <c r="DZ7" s="21">
        <f t="shared" si="129"/>
        <v>0.1</v>
      </c>
      <c r="EA7" s="5">
        <f t="shared" si="130"/>
        <v>-0.12999999999999989</v>
      </c>
      <c r="EB7" s="5">
        <f t="shared" si="131"/>
        <v>9.6750000000000003E-2</v>
      </c>
      <c r="EC7" s="72">
        <f t="shared" si="132"/>
        <v>907</v>
      </c>
      <c r="ED7" s="73">
        <f t="shared" si="133"/>
        <v>52.360487491982035</v>
      </c>
      <c r="EE7" s="72">
        <f t="shared" si="134"/>
        <v>814</v>
      </c>
      <c r="EF7" s="73">
        <f t="shared" si="135"/>
        <v>46.991661321359842</v>
      </c>
      <c r="EG7" s="76">
        <f t="shared" si="136"/>
        <v>0.89746416758544656</v>
      </c>
      <c r="EH7" s="395">
        <f t="shared" si="137"/>
        <v>93</v>
      </c>
      <c r="EI7" s="396">
        <f t="shared" si="138"/>
        <v>5.3688261706221931</v>
      </c>
      <c r="EJ7" s="256">
        <f t="shared" si="139"/>
        <v>107</v>
      </c>
      <c r="EK7" s="255">
        <f t="shared" si="140"/>
        <v>6.1770365618986531</v>
      </c>
      <c r="EL7" s="397">
        <f t="shared" si="141"/>
        <v>0.11797133406835722</v>
      </c>
      <c r="EM7" s="73">
        <f t="shared" si="142"/>
        <v>38.975000000000001</v>
      </c>
      <c r="EN7" s="73">
        <f t="shared" si="143"/>
        <v>31.18</v>
      </c>
      <c r="EO7" s="205">
        <f t="shared" si="144"/>
        <v>227</v>
      </c>
      <c r="EP7" s="206">
        <f t="shared" si="145"/>
        <v>13.10455420141116</v>
      </c>
      <c r="EQ7" s="205">
        <f t="shared" si="146"/>
        <v>167</v>
      </c>
      <c r="ER7" s="206">
        <f t="shared" si="147"/>
        <v>9.6407953816549075</v>
      </c>
      <c r="ES7" s="81">
        <f t="shared" si="148"/>
        <v>0.73568281938325997</v>
      </c>
      <c r="ET7" s="174">
        <f t="shared" si="149"/>
        <v>187.7</v>
      </c>
      <c r="EU7" s="191">
        <f t="shared" si="150"/>
        <v>10.835792174470814</v>
      </c>
      <c r="EV7" s="193">
        <f t="shared" si="151"/>
        <v>7.2238614496472087</v>
      </c>
      <c r="EW7" s="192">
        <f t="shared" si="152"/>
        <v>173.22222222222223</v>
      </c>
      <c r="EX7" s="73">
        <f t="shared" si="153"/>
        <v>10</v>
      </c>
      <c r="EY7" s="55">
        <f t="shared" si="154"/>
        <v>171</v>
      </c>
      <c r="EZ7" s="56">
        <f t="shared" si="155"/>
        <v>9.8717126363053236</v>
      </c>
      <c r="FA7" s="73">
        <f t="shared" si="156"/>
        <v>7</v>
      </c>
      <c r="FB7" s="56">
        <f t="shared" si="157"/>
        <v>120.04300000000001</v>
      </c>
      <c r="FC7" s="60">
        <f t="shared" si="158"/>
        <v>6.93</v>
      </c>
      <c r="FD7" s="268"/>
      <c r="FE7" s="264" t="s">
        <v>13</v>
      </c>
      <c r="FF7" s="264" t="s">
        <v>828</v>
      </c>
      <c r="FG7" s="264" t="s">
        <v>829</v>
      </c>
      <c r="FH7" s="264">
        <v>27</v>
      </c>
      <c r="FI7" s="264" t="s">
        <v>830</v>
      </c>
      <c r="FJ7" s="264" t="s">
        <v>605</v>
      </c>
      <c r="FK7" s="264" t="s">
        <v>579</v>
      </c>
      <c r="FL7" s="264" t="s">
        <v>831</v>
      </c>
      <c r="FM7" s="264" t="s">
        <v>832</v>
      </c>
      <c r="FN7" s="265">
        <v>46934</v>
      </c>
      <c r="FO7" s="264">
        <v>1559</v>
      </c>
      <c r="FP7" s="264">
        <v>19</v>
      </c>
      <c r="FQ7" s="264">
        <v>2</v>
      </c>
      <c r="FR7" s="264">
        <v>0</v>
      </c>
      <c r="FS7" s="264">
        <v>4</v>
      </c>
      <c r="FT7" s="264">
        <v>6</v>
      </c>
      <c r="FU7" s="264">
        <v>8</v>
      </c>
      <c r="FV7" s="264">
        <v>14.1</v>
      </c>
      <c r="FW7" s="264">
        <v>7</v>
      </c>
      <c r="FX7" s="264" t="s">
        <v>874</v>
      </c>
      <c r="FY7" s="264" t="s">
        <v>875</v>
      </c>
      <c r="FZ7" s="264">
        <v>8</v>
      </c>
      <c r="GA7" s="264">
        <v>10</v>
      </c>
      <c r="GB7" s="264">
        <v>907</v>
      </c>
      <c r="GC7" s="264">
        <v>814</v>
      </c>
      <c r="GD7" s="264">
        <v>40</v>
      </c>
      <c r="GE7" s="264">
        <v>107</v>
      </c>
      <c r="GF7" s="264">
        <v>6</v>
      </c>
      <c r="GG7" s="264">
        <v>12</v>
      </c>
      <c r="GH7" s="264">
        <v>2</v>
      </c>
      <c r="GI7" s="264">
        <v>36</v>
      </c>
      <c r="GJ7" s="264">
        <v>18</v>
      </c>
      <c r="GK7" s="264">
        <v>92</v>
      </c>
      <c r="GL7" s="264">
        <v>30</v>
      </c>
      <c r="GM7" s="264">
        <v>28</v>
      </c>
      <c r="GN7" s="264">
        <v>23</v>
      </c>
      <c r="GO7" s="264">
        <v>48</v>
      </c>
      <c r="GP7" s="264">
        <v>6</v>
      </c>
      <c r="GQ7" s="264">
        <v>1</v>
      </c>
      <c r="GR7" s="264">
        <v>58</v>
      </c>
      <c r="GS7" s="264">
        <v>8</v>
      </c>
      <c r="GT7" s="264">
        <v>1</v>
      </c>
      <c r="GU7" s="264">
        <v>0.2</v>
      </c>
      <c r="GV7" s="264">
        <v>0</v>
      </c>
      <c r="GW7" s="264">
        <v>0</v>
      </c>
      <c r="GX7" s="264">
        <v>9</v>
      </c>
      <c r="GY7" s="264">
        <v>3</v>
      </c>
      <c r="GZ7" s="264">
        <v>17</v>
      </c>
      <c r="HA7" s="264">
        <v>2</v>
      </c>
      <c r="HB7" s="264">
        <v>1</v>
      </c>
      <c r="HC7" s="264">
        <v>0</v>
      </c>
      <c r="HD7" s="264">
        <v>0</v>
      </c>
      <c r="HE7" s="264">
        <v>10</v>
      </c>
      <c r="HF7" s="264">
        <v>0</v>
      </c>
      <c r="HG7" s="264">
        <v>0</v>
      </c>
      <c r="HH7" s="264" t="s">
        <v>833</v>
      </c>
      <c r="HI7" s="269">
        <v>6.93</v>
      </c>
    </row>
    <row r="8" spans="1:217" ht="24.95" customHeight="1" thickBot="1" x14ac:dyDescent="0.3">
      <c r="A8" s="29" t="str">
        <f t="shared" si="0"/>
        <v>7º</v>
      </c>
      <c r="B8" s="67" t="str">
        <f t="shared" si="1"/>
        <v>Marcos Senesi</v>
      </c>
      <c r="C8" s="83" t="str">
        <f t="shared" si="2"/>
        <v>ARG</v>
      </c>
      <c r="D8" s="239" t="str">
        <f t="shared" si="3"/>
        <v>Bournemouth</v>
      </c>
      <c r="E8" s="348" t="str">
        <f t="shared" si="4"/>
        <v>D (C)</v>
      </c>
      <c r="F8" s="36">
        <f t="shared" si="5"/>
        <v>28</v>
      </c>
      <c r="G8" s="342">
        <f t="shared" si="6"/>
        <v>46203</v>
      </c>
      <c r="H8" s="299" t="str">
        <f t="shared" si="7"/>
        <v>€303m p/m</v>
      </c>
      <c r="I8" s="89">
        <f t="shared" si="8"/>
        <v>17.137777777777778</v>
      </c>
      <c r="J8" s="183">
        <f t="shared" si="9"/>
        <v>27</v>
      </c>
      <c r="K8" s="183">
        <f t="shared" si="10"/>
        <v>27</v>
      </c>
      <c r="L8" s="183">
        <f t="shared" si="11"/>
        <v>90</v>
      </c>
      <c r="M8" s="184">
        <f t="shared" si="12"/>
        <v>1</v>
      </c>
      <c r="N8" s="6">
        <f t="shared" si="13"/>
        <v>0</v>
      </c>
      <c r="O8" s="24">
        <f t="shared" si="14"/>
        <v>5400</v>
      </c>
      <c r="P8" s="21">
        <f t="shared" si="15"/>
        <v>0</v>
      </c>
      <c r="Q8" s="373">
        <f t="shared" si="16"/>
        <v>1</v>
      </c>
      <c r="R8" s="373">
        <f t="shared" si="17"/>
        <v>0</v>
      </c>
      <c r="S8" s="373">
        <f t="shared" si="18"/>
        <v>1</v>
      </c>
      <c r="T8" s="374">
        <f t="shared" si="19"/>
        <v>3.7037037037037035E-2</v>
      </c>
      <c r="U8" s="374">
        <f t="shared" si="20"/>
        <v>0</v>
      </c>
      <c r="V8" s="374">
        <f t="shared" si="21"/>
        <v>3.7037037037037035E-2</v>
      </c>
      <c r="W8" s="383">
        <f t="shared" si="22"/>
        <v>1</v>
      </c>
      <c r="X8" s="383">
        <f t="shared" si="23"/>
        <v>0</v>
      </c>
      <c r="Y8" s="326">
        <f t="shared" si="24"/>
        <v>0</v>
      </c>
      <c r="Z8" s="384">
        <f t="shared" si="25"/>
        <v>1</v>
      </c>
      <c r="AA8" s="73">
        <f t="shared" si="26"/>
        <v>0.91</v>
      </c>
      <c r="AB8" s="73">
        <f t="shared" si="27"/>
        <v>0.91</v>
      </c>
      <c r="AC8" s="73">
        <f t="shared" si="28"/>
        <v>3.3703703703703708E-2</v>
      </c>
      <c r="AD8" s="73">
        <f t="shared" si="29"/>
        <v>1.77</v>
      </c>
      <c r="AE8" s="73">
        <f t="shared" si="30"/>
        <v>6.5555555555555561E-2</v>
      </c>
      <c r="AF8" s="73">
        <f t="shared" si="31"/>
        <v>2.68</v>
      </c>
      <c r="AG8" s="73">
        <f t="shared" si="32"/>
        <v>9.9259259259259269E-2</v>
      </c>
      <c r="AH8" s="6">
        <f t="shared" si="33"/>
        <v>9</v>
      </c>
      <c r="AI8" s="5">
        <f t="shared" si="34"/>
        <v>0.33333333333333331</v>
      </c>
      <c r="AJ8" s="6">
        <f t="shared" si="35"/>
        <v>7</v>
      </c>
      <c r="AK8" s="5">
        <f t="shared" si="36"/>
        <v>0.25925925925925924</v>
      </c>
      <c r="AL8" s="6">
        <f t="shared" si="37"/>
        <v>2</v>
      </c>
      <c r="AM8" s="5">
        <f t="shared" si="38"/>
        <v>7.407407407407407E-2</v>
      </c>
      <c r="AN8" s="6">
        <f t="shared" si="39"/>
        <v>1</v>
      </c>
      <c r="AO8" s="5">
        <f t="shared" si="40"/>
        <v>3.7037037037037035E-2</v>
      </c>
      <c r="AP8" s="21">
        <f t="shared" si="41"/>
        <v>0.22222222222222221</v>
      </c>
      <c r="AQ8" s="73">
        <f t="shared" si="42"/>
        <v>9</v>
      </c>
      <c r="AR8" s="73">
        <f t="shared" si="43"/>
        <v>2</v>
      </c>
      <c r="AS8" s="20">
        <f t="shared" si="44"/>
        <v>0.1111111111111111</v>
      </c>
      <c r="AT8" s="278">
        <f t="shared" si="45"/>
        <v>0</v>
      </c>
      <c r="AU8" s="279">
        <f t="shared" si="46"/>
        <v>0</v>
      </c>
      <c r="AV8" s="278">
        <f t="shared" si="47"/>
        <v>0</v>
      </c>
      <c r="AW8" s="279">
        <f t="shared" si="48"/>
        <v>0</v>
      </c>
      <c r="AX8" s="277">
        <f t="shared" si="49"/>
        <v>0</v>
      </c>
      <c r="AY8" s="278">
        <f t="shared" si="50"/>
        <v>0</v>
      </c>
      <c r="AZ8" s="278">
        <f t="shared" si="51"/>
        <v>0</v>
      </c>
      <c r="BA8" s="319">
        <f t="shared" si="52"/>
        <v>0</v>
      </c>
      <c r="BB8" s="318">
        <f t="shared" si="53"/>
        <v>1E-8</v>
      </c>
      <c r="BC8" s="73">
        <f t="shared" si="54"/>
        <v>270</v>
      </c>
      <c r="BD8" s="73">
        <f t="shared" si="55"/>
        <v>1215</v>
      </c>
      <c r="BE8" s="73">
        <f t="shared" si="56"/>
        <v>2430</v>
      </c>
      <c r="BF8" s="73">
        <f t="shared" si="57"/>
        <v>2430</v>
      </c>
      <c r="BG8" s="5">
        <f t="shared" si="58"/>
        <v>8.9999999999999969E-2</v>
      </c>
      <c r="BH8" s="5">
        <f t="shared" si="59"/>
        <v>8.9999999999999969E-2</v>
      </c>
      <c r="BI8" s="72">
        <f t="shared" si="60"/>
        <v>1</v>
      </c>
      <c r="BJ8" s="73">
        <f t="shared" si="61"/>
        <v>3.7037037037037035E-2</v>
      </c>
      <c r="BK8" s="72">
        <f t="shared" si="62"/>
        <v>156</v>
      </c>
      <c r="BL8" s="72">
        <f t="shared" si="63"/>
        <v>102</v>
      </c>
      <c r="BM8" s="72">
        <f t="shared" si="64"/>
        <v>54</v>
      </c>
      <c r="BN8" s="73">
        <f t="shared" si="65"/>
        <v>3.7777777777777777</v>
      </c>
      <c r="BO8" s="76">
        <f t="shared" si="66"/>
        <v>0.65384615384615385</v>
      </c>
      <c r="BP8" s="72">
        <f t="shared" si="67"/>
        <v>35</v>
      </c>
      <c r="BQ8" s="72">
        <f t="shared" si="68"/>
        <v>14</v>
      </c>
      <c r="BR8" s="73">
        <f t="shared" si="69"/>
        <v>0.51851851851851849</v>
      </c>
      <c r="BS8" s="72">
        <f t="shared" si="70"/>
        <v>5</v>
      </c>
      <c r="BT8" s="73">
        <f t="shared" si="71"/>
        <v>0.18518518518518517</v>
      </c>
      <c r="BU8" s="76">
        <f t="shared" si="72"/>
        <v>0.4</v>
      </c>
      <c r="BV8" s="256">
        <f t="shared" si="73"/>
        <v>16</v>
      </c>
      <c r="BW8" s="255">
        <f t="shared" si="74"/>
        <v>0.59259259259259256</v>
      </c>
      <c r="BX8" s="375">
        <f t="shared" si="75"/>
        <v>6</v>
      </c>
      <c r="BY8" s="376">
        <f t="shared" si="76"/>
        <v>0.22222222222222221</v>
      </c>
      <c r="BZ8" s="377">
        <f t="shared" si="77"/>
        <v>0</v>
      </c>
      <c r="CA8" s="378">
        <f t="shared" si="78"/>
        <v>0</v>
      </c>
      <c r="CB8" s="379">
        <f t="shared" si="79"/>
        <v>6</v>
      </c>
      <c r="CC8" s="380">
        <f t="shared" si="80"/>
        <v>0.375</v>
      </c>
      <c r="CD8" s="73">
        <f t="shared" si="81"/>
        <v>15</v>
      </c>
      <c r="CE8" s="72">
        <f t="shared" si="82"/>
        <v>69</v>
      </c>
      <c r="CF8" s="72">
        <f t="shared" si="83"/>
        <v>23</v>
      </c>
      <c r="CG8" s="148">
        <f t="shared" si="84"/>
        <v>0.33333333333333331</v>
      </c>
      <c r="CH8" s="72">
        <f t="shared" si="85"/>
        <v>263</v>
      </c>
      <c r="CI8" s="73">
        <f t="shared" si="86"/>
        <v>9.7407407407407405</v>
      </c>
      <c r="CJ8" s="72">
        <f t="shared" si="87"/>
        <v>142</v>
      </c>
      <c r="CK8" s="73">
        <f t="shared" si="88"/>
        <v>5.2592592592592595</v>
      </c>
      <c r="CL8" s="148">
        <f t="shared" si="89"/>
        <v>0.53992395437262353</v>
      </c>
      <c r="CM8" s="72">
        <f t="shared" si="90"/>
        <v>170</v>
      </c>
      <c r="CN8" s="73">
        <f t="shared" si="91"/>
        <v>6.2962962962962967</v>
      </c>
      <c r="CO8" s="72">
        <f t="shared" si="92"/>
        <v>43</v>
      </c>
      <c r="CP8" s="73">
        <f t="shared" si="93"/>
        <v>1.5925925925925926</v>
      </c>
      <c r="CQ8" s="72">
        <f t="shared" si="94"/>
        <v>21.7</v>
      </c>
      <c r="CR8" s="73">
        <f t="shared" si="95"/>
        <v>0.8037037037037037</v>
      </c>
      <c r="CS8" s="72">
        <f t="shared" si="96"/>
        <v>12</v>
      </c>
      <c r="CT8" s="73">
        <f t="shared" si="97"/>
        <v>0.44444444444444442</v>
      </c>
      <c r="CU8" s="76">
        <f t="shared" si="98"/>
        <v>0.55299539170506917</v>
      </c>
      <c r="CV8" s="72">
        <f t="shared" si="99"/>
        <v>339</v>
      </c>
      <c r="CW8" s="73">
        <f t="shared" si="100"/>
        <v>12.555555555555555</v>
      </c>
      <c r="CX8" s="72">
        <f t="shared" si="101"/>
        <v>261</v>
      </c>
      <c r="CY8" s="73">
        <f t="shared" si="102"/>
        <v>9.6666666666666661</v>
      </c>
      <c r="CZ8" s="76">
        <f t="shared" si="103"/>
        <v>0.76991150442477874</v>
      </c>
      <c r="DA8" s="80">
        <f t="shared" si="104"/>
        <v>1782.7</v>
      </c>
      <c r="DB8" s="80">
        <f t="shared" si="105"/>
        <v>1597</v>
      </c>
      <c r="DC8" s="81">
        <f t="shared" si="106"/>
        <v>0.89583216469400351</v>
      </c>
      <c r="DD8" s="336">
        <f t="shared" si="107"/>
        <v>0</v>
      </c>
      <c r="DE8" s="337">
        <f t="shared" si="108"/>
        <v>0</v>
      </c>
      <c r="DF8" s="413">
        <f t="shared" si="109"/>
        <v>0.24131481481481482</v>
      </c>
      <c r="DG8" s="72">
        <f t="shared" si="110"/>
        <v>9</v>
      </c>
      <c r="DH8" s="73">
        <f t="shared" si="111"/>
        <v>0.33333333333333331</v>
      </c>
      <c r="DI8" s="72">
        <f t="shared" si="112"/>
        <v>18</v>
      </c>
      <c r="DJ8" s="73">
        <f t="shared" si="113"/>
        <v>0.66666666666666663</v>
      </c>
      <c r="DK8" s="72">
        <f t="shared" si="114"/>
        <v>2.7</v>
      </c>
      <c r="DL8" s="73">
        <f t="shared" si="115"/>
        <v>0.1</v>
      </c>
      <c r="DM8" s="72">
        <f t="shared" si="116"/>
        <v>1694</v>
      </c>
      <c r="DN8" s="73">
        <f t="shared" si="117"/>
        <v>62.74074074074074</v>
      </c>
      <c r="DO8" s="72">
        <f t="shared" si="118"/>
        <v>12.5</v>
      </c>
      <c r="DP8" s="6">
        <f t="shared" si="119"/>
        <v>15.969999999999999</v>
      </c>
      <c r="DQ8" s="5">
        <f t="shared" si="120"/>
        <v>0.59148148148148139</v>
      </c>
      <c r="DR8" s="55">
        <f t="shared" si="121"/>
        <v>0</v>
      </c>
      <c r="DS8" s="56">
        <f t="shared" si="122"/>
        <v>0</v>
      </c>
      <c r="DT8" s="55">
        <f t="shared" si="123"/>
        <v>0</v>
      </c>
      <c r="DU8" s="56">
        <f t="shared" si="124"/>
        <v>0</v>
      </c>
      <c r="DV8" s="104">
        <f t="shared" si="125"/>
        <v>0</v>
      </c>
      <c r="DW8" s="6">
        <f t="shared" si="126"/>
        <v>6</v>
      </c>
      <c r="DX8" s="5">
        <f t="shared" si="127"/>
        <v>0.22222222222222221</v>
      </c>
      <c r="DY8" s="5">
        <f t="shared" si="128"/>
        <v>70</v>
      </c>
      <c r="DZ8" s="21">
        <f t="shared" si="129"/>
        <v>0</v>
      </c>
      <c r="EA8" s="5">
        <f t="shared" si="130"/>
        <v>1.77</v>
      </c>
      <c r="EB8" s="5">
        <f t="shared" si="131"/>
        <v>0.29499999999999998</v>
      </c>
      <c r="EC8" s="72">
        <f t="shared" si="132"/>
        <v>1422</v>
      </c>
      <c r="ED8" s="73">
        <f t="shared" si="133"/>
        <v>52.666666666666664</v>
      </c>
      <c r="EE8" s="72">
        <f t="shared" si="134"/>
        <v>1324</v>
      </c>
      <c r="EF8" s="73">
        <f t="shared" si="135"/>
        <v>49.037037037037038</v>
      </c>
      <c r="EG8" s="76">
        <f t="shared" si="136"/>
        <v>0.9310829817158931</v>
      </c>
      <c r="EH8" s="395">
        <f t="shared" si="137"/>
        <v>98</v>
      </c>
      <c r="EI8" s="396">
        <f t="shared" si="138"/>
        <v>3.6296296296296298</v>
      </c>
      <c r="EJ8" s="256">
        <f t="shared" si="139"/>
        <v>74</v>
      </c>
      <c r="EK8" s="255">
        <f t="shared" si="140"/>
        <v>2.7407407407407409</v>
      </c>
      <c r="EL8" s="397">
        <f t="shared" si="141"/>
        <v>5.2039381153305204E-2</v>
      </c>
      <c r="EM8" s="73">
        <f t="shared" si="142"/>
        <v>405</v>
      </c>
      <c r="EN8" s="73">
        <f t="shared" si="143"/>
        <v>220.90909090909091</v>
      </c>
      <c r="EO8" s="205">
        <f t="shared" si="144"/>
        <v>91</v>
      </c>
      <c r="EP8" s="206">
        <f t="shared" si="145"/>
        <v>3.3703703703703702</v>
      </c>
      <c r="EQ8" s="205">
        <f t="shared" si="146"/>
        <v>83</v>
      </c>
      <c r="ER8" s="206">
        <f t="shared" si="147"/>
        <v>3.074074074074074</v>
      </c>
      <c r="ES8" s="81">
        <f t="shared" si="148"/>
        <v>0.91208791208791207</v>
      </c>
      <c r="ET8" s="174">
        <f t="shared" si="149"/>
        <v>276.2</v>
      </c>
      <c r="EU8" s="191">
        <f t="shared" si="150"/>
        <v>10.229629629629629</v>
      </c>
      <c r="EV8" s="193">
        <f t="shared" si="151"/>
        <v>6.8197530864197526</v>
      </c>
      <c r="EW8" s="192">
        <f t="shared" si="152"/>
        <v>129.6</v>
      </c>
      <c r="EX8" s="73">
        <f t="shared" si="153"/>
        <v>4.8</v>
      </c>
      <c r="EY8" s="55">
        <f t="shared" si="154"/>
        <v>159</v>
      </c>
      <c r="EZ8" s="56">
        <f t="shared" si="155"/>
        <v>5.8888888888888893</v>
      </c>
      <c r="FA8" s="73">
        <f t="shared" si="156"/>
        <v>2.7</v>
      </c>
      <c r="FB8" s="56">
        <f t="shared" si="157"/>
        <v>185.22</v>
      </c>
      <c r="FC8" s="60">
        <f t="shared" si="158"/>
        <v>6.86</v>
      </c>
      <c r="FD8" s="268" t="s">
        <v>19</v>
      </c>
      <c r="FE8" s="264" t="s">
        <v>708</v>
      </c>
      <c r="FF8" s="264" t="s">
        <v>808</v>
      </c>
      <c r="FG8" s="264" t="s">
        <v>809</v>
      </c>
      <c r="FH8" s="264">
        <v>28</v>
      </c>
      <c r="FI8" s="264" t="s">
        <v>810</v>
      </c>
      <c r="FJ8" s="264" t="s">
        <v>540</v>
      </c>
      <c r="FK8" s="264" t="s">
        <v>579</v>
      </c>
      <c r="FL8" s="264" t="s">
        <v>811</v>
      </c>
      <c r="FM8" s="264" t="s">
        <v>812</v>
      </c>
      <c r="FN8" s="265">
        <v>46203</v>
      </c>
      <c r="FO8" s="264">
        <v>2430</v>
      </c>
      <c r="FP8" s="264">
        <v>27</v>
      </c>
      <c r="FQ8" s="264">
        <v>0</v>
      </c>
      <c r="FR8" s="264">
        <v>1</v>
      </c>
      <c r="FS8" s="264">
        <v>0</v>
      </c>
      <c r="FT8" s="264">
        <v>14</v>
      </c>
      <c r="FU8" s="264">
        <v>3</v>
      </c>
      <c r="FV8" s="264">
        <v>17.7</v>
      </c>
      <c r="FW8" s="264">
        <v>2.7</v>
      </c>
      <c r="FX8" s="264" t="s">
        <v>876</v>
      </c>
      <c r="FY8" s="264" t="s">
        <v>877</v>
      </c>
      <c r="FZ8" s="264">
        <v>16</v>
      </c>
      <c r="GA8" s="264">
        <v>6</v>
      </c>
      <c r="GB8" s="264">
        <v>1422</v>
      </c>
      <c r="GC8" s="264">
        <v>1324</v>
      </c>
      <c r="GD8" s="264">
        <v>6</v>
      </c>
      <c r="GE8" s="264">
        <v>74</v>
      </c>
      <c r="GF8" s="264">
        <v>0</v>
      </c>
      <c r="GG8" s="264">
        <v>9</v>
      </c>
      <c r="GH8" s="264">
        <v>2</v>
      </c>
      <c r="GI8" s="264">
        <v>156</v>
      </c>
      <c r="GJ8" s="264">
        <v>102</v>
      </c>
      <c r="GK8" s="264">
        <v>69</v>
      </c>
      <c r="GL8" s="264">
        <v>23</v>
      </c>
      <c r="GM8" s="264">
        <v>19</v>
      </c>
      <c r="GN8" s="264">
        <v>14</v>
      </c>
      <c r="GO8" s="264">
        <v>67</v>
      </c>
      <c r="GP8" s="264">
        <v>0</v>
      </c>
      <c r="GQ8" s="264">
        <v>0</v>
      </c>
      <c r="GR8" s="264">
        <v>0</v>
      </c>
      <c r="GS8" s="264">
        <v>0</v>
      </c>
      <c r="GT8" s="264">
        <v>0</v>
      </c>
      <c r="GU8" s="264">
        <v>0.1</v>
      </c>
      <c r="GV8" s="264">
        <v>0</v>
      </c>
      <c r="GW8" s="264">
        <v>1</v>
      </c>
      <c r="GX8" s="264">
        <v>20</v>
      </c>
      <c r="GY8" s="264">
        <v>24</v>
      </c>
      <c r="GZ8" s="264">
        <v>28</v>
      </c>
      <c r="HA8" s="264">
        <v>3</v>
      </c>
      <c r="HB8" s="264">
        <v>6</v>
      </c>
      <c r="HC8" s="264">
        <v>0</v>
      </c>
      <c r="HD8" s="264">
        <v>0</v>
      </c>
      <c r="HE8" s="264">
        <v>4.8</v>
      </c>
      <c r="HF8" s="264">
        <v>0</v>
      </c>
      <c r="HG8" s="264">
        <v>0</v>
      </c>
      <c r="HH8" s="264" t="s">
        <v>813</v>
      </c>
      <c r="HI8" s="269">
        <v>6.86</v>
      </c>
    </row>
    <row r="9" spans="1:217" ht="24.95" customHeight="1" thickBot="1" x14ac:dyDescent="0.3">
      <c r="A9" s="29" t="str">
        <f t="shared" si="0"/>
        <v>8º</v>
      </c>
      <c r="B9" s="67" t="str">
        <f t="shared" si="1"/>
        <v>Nicolás Capaldo</v>
      </c>
      <c r="C9" s="83" t="str">
        <f t="shared" si="2"/>
        <v>ARG</v>
      </c>
      <c r="D9" s="239" t="str">
        <f t="shared" si="3"/>
        <v>Hamburg</v>
      </c>
      <c r="E9" s="348" t="str">
        <f t="shared" si="4"/>
        <v>MD, M (C)</v>
      </c>
      <c r="F9" s="36">
        <f t="shared" si="5"/>
        <v>27</v>
      </c>
      <c r="G9" s="342">
        <f t="shared" si="6"/>
        <v>46934</v>
      </c>
      <c r="H9" s="299" t="str">
        <f t="shared" si="7"/>
        <v>€126m p/m</v>
      </c>
      <c r="I9" s="89">
        <f t="shared" si="8"/>
        <v>17.137777777777778</v>
      </c>
      <c r="J9" s="183">
        <f t="shared" si="9"/>
        <v>11.28888888888889</v>
      </c>
      <c r="K9" s="183">
        <f t="shared" si="10"/>
        <v>15</v>
      </c>
      <c r="L9" s="183">
        <f t="shared" si="11"/>
        <v>67.733333333333334</v>
      </c>
      <c r="M9" s="184">
        <f t="shared" si="12"/>
        <v>0.53</v>
      </c>
      <c r="N9" s="6">
        <f t="shared" si="13"/>
        <v>0</v>
      </c>
      <c r="O9" s="24">
        <f t="shared" si="14"/>
        <v>5400</v>
      </c>
      <c r="P9" s="21">
        <f t="shared" si="15"/>
        <v>0</v>
      </c>
      <c r="Q9" s="373">
        <f t="shared" si="16"/>
        <v>0</v>
      </c>
      <c r="R9" s="373">
        <f t="shared" si="17"/>
        <v>1</v>
      </c>
      <c r="S9" s="373">
        <f t="shared" si="18"/>
        <v>1</v>
      </c>
      <c r="T9" s="374">
        <f t="shared" si="19"/>
        <v>0</v>
      </c>
      <c r="U9" s="374">
        <f t="shared" si="20"/>
        <v>8.8582677165354326E-2</v>
      </c>
      <c r="V9" s="374">
        <f t="shared" si="21"/>
        <v>8.8582677165354326E-2</v>
      </c>
      <c r="W9" s="383">
        <f t="shared" si="22"/>
        <v>0</v>
      </c>
      <c r="X9" s="383">
        <f t="shared" si="23"/>
        <v>0</v>
      </c>
      <c r="Y9" s="326">
        <f t="shared" si="24"/>
        <v>0</v>
      </c>
      <c r="Z9" s="384">
        <f t="shared" si="25"/>
        <v>0</v>
      </c>
      <c r="AA9" s="73">
        <f t="shared" si="26"/>
        <v>0.62</v>
      </c>
      <c r="AB9" s="73">
        <f t="shared" si="27"/>
        <v>0.62</v>
      </c>
      <c r="AC9" s="73">
        <f t="shared" si="28"/>
        <v>5.4921259842519679E-2</v>
      </c>
      <c r="AD9" s="73">
        <f t="shared" si="29"/>
        <v>1.54</v>
      </c>
      <c r="AE9" s="73">
        <f t="shared" si="30"/>
        <v>0.13641732283464567</v>
      </c>
      <c r="AF9" s="73">
        <f t="shared" si="31"/>
        <v>2.16</v>
      </c>
      <c r="AG9" s="73">
        <f t="shared" si="32"/>
        <v>0.19133858267716536</v>
      </c>
      <c r="AH9" s="6">
        <f t="shared" si="33"/>
        <v>7</v>
      </c>
      <c r="AI9" s="5">
        <f t="shared" si="34"/>
        <v>0.62007874015748032</v>
      </c>
      <c r="AJ9" s="6">
        <f t="shared" si="35"/>
        <v>7</v>
      </c>
      <c r="AK9" s="5">
        <f t="shared" si="36"/>
        <v>0.62007874015748032</v>
      </c>
      <c r="AL9" s="6">
        <f t="shared" si="37"/>
        <v>0</v>
      </c>
      <c r="AM9" s="5">
        <f t="shared" si="38"/>
        <v>0</v>
      </c>
      <c r="AN9" s="6">
        <f t="shared" si="39"/>
        <v>0</v>
      </c>
      <c r="AO9" s="5">
        <f t="shared" si="40"/>
        <v>0</v>
      </c>
      <c r="AP9" s="21">
        <f t="shared" si="41"/>
        <v>0</v>
      </c>
      <c r="AQ9" s="73">
        <f t="shared" si="42"/>
        <v>50</v>
      </c>
      <c r="AR9" s="73">
        <f t="shared" si="43"/>
        <v>50</v>
      </c>
      <c r="AS9" s="20">
        <f t="shared" si="44"/>
        <v>0</v>
      </c>
      <c r="AT9" s="278">
        <f t="shared" si="45"/>
        <v>0</v>
      </c>
      <c r="AU9" s="279">
        <f t="shared" si="46"/>
        <v>0</v>
      </c>
      <c r="AV9" s="278">
        <f t="shared" si="47"/>
        <v>0</v>
      </c>
      <c r="AW9" s="279">
        <f t="shared" si="48"/>
        <v>0</v>
      </c>
      <c r="AX9" s="277">
        <f t="shared" si="49"/>
        <v>0</v>
      </c>
      <c r="AY9" s="278">
        <f t="shared" si="50"/>
        <v>0</v>
      </c>
      <c r="AZ9" s="278">
        <f t="shared" si="51"/>
        <v>0</v>
      </c>
      <c r="BA9" s="319">
        <f t="shared" si="52"/>
        <v>0</v>
      </c>
      <c r="BB9" s="318">
        <f t="shared" si="53"/>
        <v>1E-8</v>
      </c>
      <c r="BC9" s="73">
        <f t="shared" si="54"/>
        <v>145.14285714285714</v>
      </c>
      <c r="BD9" s="73">
        <f t="shared" si="55"/>
        <v>700</v>
      </c>
      <c r="BE9" s="73">
        <f t="shared" si="56"/>
        <v>1016</v>
      </c>
      <c r="BF9" s="73">
        <f t="shared" si="57"/>
        <v>1016</v>
      </c>
      <c r="BG9" s="5">
        <f t="shared" si="58"/>
        <v>-0.62</v>
      </c>
      <c r="BH9" s="5">
        <f t="shared" si="59"/>
        <v>-0.62</v>
      </c>
      <c r="BI9" s="72">
        <f t="shared" si="60"/>
        <v>1</v>
      </c>
      <c r="BJ9" s="73">
        <f t="shared" si="61"/>
        <v>8.8582677165354326E-2</v>
      </c>
      <c r="BK9" s="72">
        <f t="shared" si="62"/>
        <v>20</v>
      </c>
      <c r="BL9" s="72">
        <f t="shared" si="63"/>
        <v>16</v>
      </c>
      <c r="BM9" s="72">
        <f t="shared" si="64"/>
        <v>4</v>
      </c>
      <c r="BN9" s="73">
        <f t="shared" si="65"/>
        <v>1.4173228346456692</v>
      </c>
      <c r="BO9" s="76">
        <f t="shared" si="66"/>
        <v>0.8</v>
      </c>
      <c r="BP9" s="72">
        <f t="shared" si="67"/>
        <v>27</v>
      </c>
      <c r="BQ9" s="72">
        <f t="shared" si="68"/>
        <v>13</v>
      </c>
      <c r="BR9" s="73">
        <f t="shared" si="69"/>
        <v>1.1515748031496063</v>
      </c>
      <c r="BS9" s="72">
        <f t="shared" si="70"/>
        <v>6</v>
      </c>
      <c r="BT9" s="73">
        <f t="shared" si="71"/>
        <v>0.53149606299212593</v>
      </c>
      <c r="BU9" s="76">
        <f t="shared" si="72"/>
        <v>0.48148148148148145</v>
      </c>
      <c r="BV9" s="256">
        <f t="shared" si="73"/>
        <v>8</v>
      </c>
      <c r="BW9" s="255">
        <f t="shared" si="74"/>
        <v>0.70866141732283461</v>
      </c>
      <c r="BX9" s="375">
        <f t="shared" si="75"/>
        <v>4</v>
      </c>
      <c r="BY9" s="376">
        <f t="shared" si="76"/>
        <v>0.3543307086614173</v>
      </c>
      <c r="BZ9" s="377">
        <f t="shared" si="77"/>
        <v>0</v>
      </c>
      <c r="CA9" s="378">
        <f t="shared" si="78"/>
        <v>0</v>
      </c>
      <c r="CB9" s="379">
        <f t="shared" si="79"/>
        <v>4</v>
      </c>
      <c r="CC9" s="380">
        <f t="shared" si="80"/>
        <v>0.5</v>
      </c>
      <c r="CD9" s="73">
        <f t="shared" si="81"/>
        <v>8.5</v>
      </c>
      <c r="CE9" s="72">
        <f t="shared" si="82"/>
        <v>50</v>
      </c>
      <c r="CF9" s="72">
        <f t="shared" si="83"/>
        <v>18</v>
      </c>
      <c r="CG9" s="148">
        <f t="shared" si="84"/>
        <v>0.36</v>
      </c>
      <c r="CH9" s="72">
        <f t="shared" si="85"/>
        <v>100</v>
      </c>
      <c r="CI9" s="73">
        <f t="shared" si="86"/>
        <v>8.8582677165354333</v>
      </c>
      <c r="CJ9" s="72">
        <f t="shared" si="87"/>
        <v>50</v>
      </c>
      <c r="CK9" s="73">
        <f t="shared" si="88"/>
        <v>4.4291338582677167</v>
      </c>
      <c r="CL9" s="148">
        <f t="shared" si="89"/>
        <v>0.5</v>
      </c>
      <c r="CM9" s="72">
        <f t="shared" si="90"/>
        <v>71</v>
      </c>
      <c r="CN9" s="73">
        <f t="shared" si="91"/>
        <v>6.2893700787401574</v>
      </c>
      <c r="CO9" s="72">
        <f t="shared" si="92"/>
        <v>37</v>
      </c>
      <c r="CP9" s="73">
        <f t="shared" si="93"/>
        <v>3.2775590551181102</v>
      </c>
      <c r="CQ9" s="72">
        <f t="shared" si="94"/>
        <v>23.257777777777779</v>
      </c>
      <c r="CR9" s="73">
        <f t="shared" si="95"/>
        <v>2.0602362204724409</v>
      </c>
      <c r="CS9" s="72">
        <f t="shared" si="96"/>
        <v>11</v>
      </c>
      <c r="CT9" s="73">
        <f t="shared" si="97"/>
        <v>0.97440944881889757</v>
      </c>
      <c r="CU9" s="76">
        <f t="shared" si="98"/>
        <v>0.47296006115039174</v>
      </c>
      <c r="CV9" s="72">
        <f t="shared" si="99"/>
        <v>111</v>
      </c>
      <c r="CW9" s="73">
        <f t="shared" si="100"/>
        <v>9.8326771653543297</v>
      </c>
      <c r="CX9" s="72">
        <f t="shared" si="101"/>
        <v>92</v>
      </c>
      <c r="CY9" s="73">
        <f t="shared" si="102"/>
        <v>8.1496062992125982</v>
      </c>
      <c r="CZ9" s="76">
        <f t="shared" si="103"/>
        <v>0.8288288288288288</v>
      </c>
      <c r="DA9" s="80">
        <f t="shared" si="104"/>
        <v>658.25777777777785</v>
      </c>
      <c r="DB9" s="80">
        <f t="shared" si="105"/>
        <v>572</v>
      </c>
      <c r="DC9" s="81">
        <f t="shared" si="106"/>
        <v>0.86896048829232708</v>
      </c>
      <c r="DD9" s="336">
        <f t="shared" si="107"/>
        <v>1</v>
      </c>
      <c r="DE9" s="337">
        <f t="shared" si="108"/>
        <v>8.8582677165354326E-2</v>
      </c>
      <c r="DF9" s="413">
        <f t="shared" si="109"/>
        <v>0.41022637795275585</v>
      </c>
      <c r="DG9" s="72">
        <f t="shared" si="110"/>
        <v>9</v>
      </c>
      <c r="DH9" s="73">
        <f t="shared" si="111"/>
        <v>0.79724409448818889</v>
      </c>
      <c r="DI9" s="72">
        <f t="shared" si="112"/>
        <v>16</v>
      </c>
      <c r="DJ9" s="73">
        <f t="shared" si="113"/>
        <v>1.4173228346456692</v>
      </c>
      <c r="DK9" s="72">
        <f t="shared" si="114"/>
        <v>2.2577777777777781</v>
      </c>
      <c r="DL9" s="73">
        <f t="shared" si="115"/>
        <v>0.2</v>
      </c>
      <c r="DM9" s="72">
        <f t="shared" si="116"/>
        <v>622</v>
      </c>
      <c r="DN9" s="73">
        <f t="shared" si="117"/>
        <v>55.098425196850393</v>
      </c>
      <c r="DO9" s="72">
        <f t="shared" si="118"/>
        <v>11.5</v>
      </c>
      <c r="DP9" s="6">
        <f t="shared" si="119"/>
        <v>13.297777777777778</v>
      </c>
      <c r="DQ9" s="5">
        <f t="shared" si="120"/>
        <v>1.1779527559055119</v>
      </c>
      <c r="DR9" s="55">
        <f t="shared" si="121"/>
        <v>3</v>
      </c>
      <c r="DS9" s="56">
        <f t="shared" si="122"/>
        <v>0.26574803149606296</v>
      </c>
      <c r="DT9" s="55">
        <f t="shared" si="123"/>
        <v>0</v>
      </c>
      <c r="DU9" s="56">
        <f t="shared" si="124"/>
        <v>0</v>
      </c>
      <c r="DV9" s="104">
        <f t="shared" si="125"/>
        <v>0</v>
      </c>
      <c r="DW9" s="6">
        <f t="shared" si="126"/>
        <v>8</v>
      </c>
      <c r="DX9" s="5">
        <f t="shared" si="127"/>
        <v>0.70866141732283461</v>
      </c>
      <c r="DY9" s="5">
        <f t="shared" si="128"/>
        <v>8</v>
      </c>
      <c r="DZ9" s="21">
        <f t="shared" si="129"/>
        <v>0.125</v>
      </c>
      <c r="EA9" s="5">
        <f t="shared" si="130"/>
        <v>0.54</v>
      </c>
      <c r="EB9" s="5">
        <f t="shared" si="131"/>
        <v>0.1925</v>
      </c>
      <c r="EC9" s="72">
        <f t="shared" si="132"/>
        <v>524</v>
      </c>
      <c r="ED9" s="73">
        <f t="shared" si="133"/>
        <v>46.417322834645667</v>
      </c>
      <c r="EE9" s="72">
        <f t="shared" si="134"/>
        <v>469</v>
      </c>
      <c r="EF9" s="73">
        <f t="shared" si="135"/>
        <v>41.545275590551178</v>
      </c>
      <c r="EG9" s="76">
        <f t="shared" si="136"/>
        <v>0.89503816793893132</v>
      </c>
      <c r="EH9" s="395">
        <f t="shared" si="137"/>
        <v>55</v>
      </c>
      <c r="EI9" s="396">
        <f t="shared" si="138"/>
        <v>4.872047244094488</v>
      </c>
      <c r="EJ9" s="256">
        <f t="shared" si="139"/>
        <v>41</v>
      </c>
      <c r="EK9" s="255">
        <f t="shared" si="140"/>
        <v>3.6318897637795273</v>
      </c>
      <c r="EL9" s="397">
        <f t="shared" si="141"/>
        <v>7.8244274809160311E-2</v>
      </c>
      <c r="EM9" s="73">
        <f t="shared" si="142"/>
        <v>127</v>
      </c>
      <c r="EN9" s="73">
        <f t="shared" si="143"/>
        <v>112.88888888888889</v>
      </c>
      <c r="EO9" s="205">
        <f t="shared" si="144"/>
        <v>62</v>
      </c>
      <c r="EP9" s="206">
        <f t="shared" si="145"/>
        <v>5.4921259842519685</v>
      </c>
      <c r="EQ9" s="205">
        <f t="shared" si="146"/>
        <v>51</v>
      </c>
      <c r="ER9" s="206">
        <f t="shared" si="147"/>
        <v>4.5177165354330704</v>
      </c>
      <c r="ES9" s="81">
        <f t="shared" si="148"/>
        <v>0.82258064516129037</v>
      </c>
      <c r="ET9" s="174">
        <f t="shared" si="149"/>
        <v>124.3</v>
      </c>
      <c r="EU9" s="191">
        <f t="shared" si="150"/>
        <v>11.010826771653543</v>
      </c>
      <c r="EV9" s="193">
        <f t="shared" si="151"/>
        <v>7.340551181102362</v>
      </c>
      <c r="EW9" s="192">
        <f t="shared" si="152"/>
        <v>98.213333333333338</v>
      </c>
      <c r="EX9" s="73">
        <f t="shared" si="153"/>
        <v>8.6999999999999993</v>
      </c>
      <c r="EY9" s="55">
        <f t="shared" si="154"/>
        <v>69</v>
      </c>
      <c r="EZ9" s="56">
        <f t="shared" si="155"/>
        <v>6.1122047244094482</v>
      </c>
      <c r="FA9" s="73">
        <f t="shared" si="156"/>
        <v>6.9</v>
      </c>
      <c r="FB9" s="56">
        <f t="shared" si="157"/>
        <v>75.184000000000012</v>
      </c>
      <c r="FC9" s="60">
        <f t="shared" si="158"/>
        <v>6.66</v>
      </c>
      <c r="FD9" s="268"/>
      <c r="FE9" s="264" t="s">
        <v>708</v>
      </c>
      <c r="FF9" s="264" t="s">
        <v>828</v>
      </c>
      <c r="FG9" s="264" t="s">
        <v>858</v>
      </c>
      <c r="FH9" s="264">
        <v>27</v>
      </c>
      <c r="FI9" s="264" t="s">
        <v>859</v>
      </c>
      <c r="FJ9" s="264" t="s">
        <v>605</v>
      </c>
      <c r="FK9" s="264" t="s">
        <v>574</v>
      </c>
      <c r="FL9" s="264" t="s">
        <v>860</v>
      </c>
      <c r="FM9" s="264" t="s">
        <v>826</v>
      </c>
      <c r="FN9" s="265">
        <v>46934</v>
      </c>
      <c r="FO9" s="264">
        <v>1016</v>
      </c>
      <c r="FP9" s="264" t="s">
        <v>861</v>
      </c>
      <c r="FQ9" s="264">
        <v>0</v>
      </c>
      <c r="FR9" s="264">
        <v>0</v>
      </c>
      <c r="FS9" s="264">
        <v>1</v>
      </c>
      <c r="FT9" s="264">
        <v>12</v>
      </c>
      <c r="FU9" s="264">
        <v>1</v>
      </c>
      <c r="FV9" s="264">
        <v>15.4</v>
      </c>
      <c r="FW9" s="264">
        <v>6.9</v>
      </c>
      <c r="FX9" s="264" t="s">
        <v>878</v>
      </c>
      <c r="FY9" s="264" t="s">
        <v>879</v>
      </c>
      <c r="FZ9" s="264">
        <v>8</v>
      </c>
      <c r="GA9" s="264">
        <v>11</v>
      </c>
      <c r="GB9" s="264">
        <v>524</v>
      </c>
      <c r="GC9" s="264">
        <v>469</v>
      </c>
      <c r="GD9" s="264">
        <v>8</v>
      </c>
      <c r="GE9" s="264">
        <v>41</v>
      </c>
      <c r="GF9" s="264">
        <v>1</v>
      </c>
      <c r="GG9" s="264">
        <v>7</v>
      </c>
      <c r="GH9" s="264">
        <v>0</v>
      </c>
      <c r="GI9" s="264">
        <v>20</v>
      </c>
      <c r="GJ9" s="264">
        <v>16</v>
      </c>
      <c r="GK9" s="264">
        <v>50</v>
      </c>
      <c r="GL9" s="264">
        <v>18</v>
      </c>
      <c r="GM9" s="264">
        <v>19</v>
      </c>
      <c r="GN9" s="264">
        <v>13</v>
      </c>
      <c r="GO9" s="264">
        <v>33</v>
      </c>
      <c r="GP9" s="264">
        <v>3</v>
      </c>
      <c r="GQ9" s="264">
        <v>0</v>
      </c>
      <c r="GR9" s="264">
        <v>3</v>
      </c>
      <c r="GS9" s="264">
        <v>0</v>
      </c>
      <c r="GT9" s="264">
        <v>0</v>
      </c>
      <c r="GU9" s="264">
        <v>0.2</v>
      </c>
      <c r="GV9" s="264">
        <v>0</v>
      </c>
      <c r="GW9" s="264">
        <v>1</v>
      </c>
      <c r="GX9" s="264">
        <v>8</v>
      </c>
      <c r="GY9" s="264">
        <v>5</v>
      </c>
      <c r="GZ9" s="264">
        <v>11</v>
      </c>
      <c r="HA9" s="264">
        <v>3</v>
      </c>
      <c r="HB9" s="264">
        <v>4</v>
      </c>
      <c r="HC9" s="264">
        <v>0</v>
      </c>
      <c r="HD9" s="264">
        <v>0</v>
      </c>
      <c r="HE9" s="264">
        <v>8.6999999999999993</v>
      </c>
      <c r="HF9" s="264">
        <v>0</v>
      </c>
      <c r="HG9" s="264">
        <v>0</v>
      </c>
      <c r="HH9" s="264" t="s">
        <v>862</v>
      </c>
      <c r="HI9" s="269">
        <v>6.66</v>
      </c>
    </row>
    <row r="10" spans="1:217" ht="24.95" customHeight="1" thickBot="1" x14ac:dyDescent="0.3">
      <c r="A10" s="29" t="str">
        <f t="shared" si="0"/>
        <v>9º</v>
      </c>
      <c r="B10" s="67" t="str">
        <f t="shared" si="1"/>
        <v>Nicolas Cozza</v>
      </c>
      <c r="C10" s="83" t="str">
        <f t="shared" si="2"/>
        <v>FRA</v>
      </c>
      <c r="D10" s="239" t="str">
        <f t="shared" si="3"/>
        <v>Nantes</v>
      </c>
      <c r="E10" s="348" t="str">
        <f t="shared" si="4"/>
        <v>D/DA (E)</v>
      </c>
      <c r="F10" s="36">
        <f t="shared" si="5"/>
        <v>27</v>
      </c>
      <c r="G10" s="342">
        <f t="shared" si="6"/>
        <v>46568</v>
      </c>
      <c r="H10" s="299" t="str">
        <f t="shared" si="7"/>
        <v>€126m p/m</v>
      </c>
      <c r="I10" s="89">
        <f t="shared" si="8"/>
        <v>17.137777777777778</v>
      </c>
      <c r="J10" s="183">
        <f t="shared" si="9"/>
        <v>14.888888888888889</v>
      </c>
      <c r="K10" s="183">
        <f t="shared" si="10"/>
        <v>17</v>
      </c>
      <c r="L10" s="183">
        <f t="shared" si="11"/>
        <v>78.82352941176471</v>
      </c>
      <c r="M10" s="184">
        <f t="shared" si="12"/>
        <v>0.94</v>
      </c>
      <c r="N10" s="6">
        <f t="shared" si="13"/>
        <v>0</v>
      </c>
      <c r="O10" s="24">
        <f t="shared" si="14"/>
        <v>5400</v>
      </c>
      <c r="P10" s="21">
        <f t="shared" si="15"/>
        <v>0</v>
      </c>
      <c r="Q10" s="373">
        <f t="shared" si="16"/>
        <v>0</v>
      </c>
      <c r="R10" s="373">
        <f t="shared" si="17"/>
        <v>1</v>
      </c>
      <c r="S10" s="373">
        <f t="shared" si="18"/>
        <v>1</v>
      </c>
      <c r="T10" s="374">
        <f t="shared" si="19"/>
        <v>0</v>
      </c>
      <c r="U10" s="374">
        <f t="shared" si="20"/>
        <v>6.7164179104477612E-2</v>
      </c>
      <c r="V10" s="374">
        <f t="shared" si="21"/>
        <v>6.7164179104477612E-2</v>
      </c>
      <c r="W10" s="383">
        <f t="shared" si="22"/>
        <v>0</v>
      </c>
      <c r="X10" s="383">
        <f t="shared" si="23"/>
        <v>0</v>
      </c>
      <c r="Y10" s="326">
        <f t="shared" si="24"/>
        <v>0</v>
      </c>
      <c r="Z10" s="384">
        <f t="shared" si="25"/>
        <v>0</v>
      </c>
      <c r="AA10" s="73">
        <f t="shared" si="26"/>
        <v>0.62</v>
      </c>
      <c r="AB10" s="73">
        <f t="shared" si="27"/>
        <v>0.62</v>
      </c>
      <c r="AC10" s="73">
        <f t="shared" si="28"/>
        <v>4.1641791044776118E-2</v>
      </c>
      <c r="AD10" s="73">
        <f t="shared" si="29"/>
        <v>0.85</v>
      </c>
      <c r="AE10" s="73">
        <f t="shared" si="30"/>
        <v>5.708955223880597E-2</v>
      </c>
      <c r="AF10" s="73">
        <f t="shared" si="31"/>
        <v>1.47</v>
      </c>
      <c r="AG10" s="73">
        <f t="shared" si="32"/>
        <v>9.8731343283582088E-2</v>
      </c>
      <c r="AH10" s="6">
        <f t="shared" si="33"/>
        <v>3</v>
      </c>
      <c r="AI10" s="5">
        <f t="shared" si="34"/>
        <v>0.20149253731343283</v>
      </c>
      <c r="AJ10" s="6">
        <f t="shared" si="35"/>
        <v>2</v>
      </c>
      <c r="AK10" s="5">
        <f t="shared" si="36"/>
        <v>0.13432835820895522</v>
      </c>
      <c r="AL10" s="6">
        <f t="shared" si="37"/>
        <v>1</v>
      </c>
      <c r="AM10" s="5">
        <f t="shared" si="38"/>
        <v>6.7164179104477612E-2</v>
      </c>
      <c r="AN10" s="6">
        <f t="shared" si="39"/>
        <v>1</v>
      </c>
      <c r="AO10" s="5">
        <f t="shared" si="40"/>
        <v>6.7164179104477612E-2</v>
      </c>
      <c r="AP10" s="21">
        <f t="shared" si="41"/>
        <v>0.33333333333333331</v>
      </c>
      <c r="AQ10" s="73">
        <f t="shared" si="42"/>
        <v>50</v>
      </c>
      <c r="AR10" s="73">
        <f t="shared" si="43"/>
        <v>50</v>
      </c>
      <c r="AS10" s="20">
        <f t="shared" si="44"/>
        <v>0</v>
      </c>
      <c r="AT10" s="278">
        <f t="shared" si="45"/>
        <v>0</v>
      </c>
      <c r="AU10" s="279">
        <f t="shared" si="46"/>
        <v>0</v>
      </c>
      <c r="AV10" s="278">
        <f t="shared" si="47"/>
        <v>0</v>
      </c>
      <c r="AW10" s="279">
        <f t="shared" si="48"/>
        <v>0</v>
      </c>
      <c r="AX10" s="277">
        <f t="shared" si="49"/>
        <v>0</v>
      </c>
      <c r="AY10" s="278">
        <f t="shared" si="50"/>
        <v>0</v>
      </c>
      <c r="AZ10" s="278">
        <f t="shared" si="51"/>
        <v>0</v>
      </c>
      <c r="BA10" s="319">
        <f t="shared" si="52"/>
        <v>0</v>
      </c>
      <c r="BB10" s="318">
        <f t="shared" si="53"/>
        <v>1E-8</v>
      </c>
      <c r="BC10" s="73">
        <f t="shared" si="54"/>
        <v>446.66666666666669</v>
      </c>
      <c r="BD10" s="73">
        <f t="shared" si="55"/>
        <v>1340</v>
      </c>
      <c r="BE10" s="73">
        <f t="shared" si="56"/>
        <v>1340</v>
      </c>
      <c r="BF10" s="73">
        <f t="shared" si="57"/>
        <v>1340</v>
      </c>
      <c r="BG10" s="5">
        <f t="shared" si="58"/>
        <v>-0.62</v>
      </c>
      <c r="BH10" s="5">
        <f t="shared" si="59"/>
        <v>-0.62</v>
      </c>
      <c r="BI10" s="72">
        <f t="shared" si="60"/>
        <v>1</v>
      </c>
      <c r="BJ10" s="73">
        <f t="shared" si="61"/>
        <v>6.7164179104477612E-2</v>
      </c>
      <c r="BK10" s="72">
        <f t="shared" si="62"/>
        <v>52</v>
      </c>
      <c r="BL10" s="72">
        <f t="shared" si="63"/>
        <v>29</v>
      </c>
      <c r="BM10" s="72">
        <f t="shared" si="64"/>
        <v>23</v>
      </c>
      <c r="BN10" s="73">
        <f t="shared" si="65"/>
        <v>1.9477611940298507</v>
      </c>
      <c r="BO10" s="76">
        <f t="shared" si="66"/>
        <v>0.55769230769230771</v>
      </c>
      <c r="BP10" s="72">
        <f t="shared" si="67"/>
        <v>17</v>
      </c>
      <c r="BQ10" s="72">
        <f t="shared" si="68"/>
        <v>6</v>
      </c>
      <c r="BR10" s="73">
        <f t="shared" si="69"/>
        <v>0.40298507462686567</v>
      </c>
      <c r="BS10" s="72">
        <f t="shared" si="70"/>
        <v>6</v>
      </c>
      <c r="BT10" s="73">
        <f t="shared" si="71"/>
        <v>0.40298507462686567</v>
      </c>
      <c r="BU10" s="76">
        <f t="shared" si="72"/>
        <v>0.35294117647058826</v>
      </c>
      <c r="BV10" s="256">
        <f t="shared" si="73"/>
        <v>5</v>
      </c>
      <c r="BW10" s="255">
        <f t="shared" si="74"/>
        <v>0.33582089552238803</v>
      </c>
      <c r="BX10" s="375">
        <f t="shared" si="75"/>
        <v>1</v>
      </c>
      <c r="BY10" s="376">
        <f t="shared" si="76"/>
        <v>6.7164179104477612E-2</v>
      </c>
      <c r="BZ10" s="377">
        <f t="shared" si="77"/>
        <v>0</v>
      </c>
      <c r="CA10" s="378">
        <f t="shared" si="78"/>
        <v>0</v>
      </c>
      <c r="CB10" s="379">
        <f t="shared" si="79"/>
        <v>1</v>
      </c>
      <c r="CC10" s="380">
        <f t="shared" si="80"/>
        <v>0.2</v>
      </c>
      <c r="CD10" s="73">
        <f t="shared" si="81"/>
        <v>6</v>
      </c>
      <c r="CE10" s="72">
        <f t="shared" si="82"/>
        <v>46</v>
      </c>
      <c r="CF10" s="72">
        <f t="shared" si="83"/>
        <v>12</v>
      </c>
      <c r="CG10" s="148">
        <f t="shared" si="84"/>
        <v>0.2608695652173913</v>
      </c>
      <c r="CH10" s="72">
        <f t="shared" si="85"/>
        <v>117</v>
      </c>
      <c r="CI10" s="73">
        <f t="shared" si="86"/>
        <v>7.8582089552238807</v>
      </c>
      <c r="CJ10" s="72">
        <f t="shared" si="87"/>
        <v>49</v>
      </c>
      <c r="CK10" s="73">
        <f t="shared" si="88"/>
        <v>3.2910447761194028</v>
      </c>
      <c r="CL10" s="148">
        <f t="shared" si="89"/>
        <v>0.41880341880341881</v>
      </c>
      <c r="CM10" s="72">
        <f t="shared" si="90"/>
        <v>100</v>
      </c>
      <c r="CN10" s="73">
        <f t="shared" si="91"/>
        <v>6.7164179104477606</v>
      </c>
      <c r="CO10" s="72">
        <f t="shared" si="92"/>
        <v>22</v>
      </c>
      <c r="CP10" s="73">
        <f t="shared" si="93"/>
        <v>1.4776119402985075</v>
      </c>
      <c r="CQ10" s="72">
        <f t="shared" si="94"/>
        <v>22</v>
      </c>
      <c r="CR10" s="73">
        <f t="shared" si="95"/>
        <v>1.4776119402985075</v>
      </c>
      <c r="CS10" s="72">
        <f t="shared" si="96"/>
        <v>13</v>
      </c>
      <c r="CT10" s="73">
        <f t="shared" si="97"/>
        <v>0.87313432835820892</v>
      </c>
      <c r="CU10" s="76">
        <f t="shared" si="98"/>
        <v>0.59090909090909094</v>
      </c>
      <c r="CV10" s="72">
        <f t="shared" si="99"/>
        <v>154</v>
      </c>
      <c r="CW10" s="73">
        <f t="shared" si="100"/>
        <v>10.343283582089551</v>
      </c>
      <c r="CX10" s="72">
        <f t="shared" si="101"/>
        <v>121</v>
      </c>
      <c r="CY10" s="73">
        <f t="shared" si="102"/>
        <v>8.1268656716417915</v>
      </c>
      <c r="CZ10" s="76">
        <f t="shared" si="103"/>
        <v>0.7857142857142857</v>
      </c>
      <c r="DA10" s="80">
        <f t="shared" si="104"/>
        <v>802</v>
      </c>
      <c r="DB10" s="80">
        <f t="shared" si="105"/>
        <v>699</v>
      </c>
      <c r="DC10" s="81">
        <f t="shared" si="106"/>
        <v>0.87157107231920194</v>
      </c>
      <c r="DD10" s="336">
        <f t="shared" si="107"/>
        <v>5</v>
      </c>
      <c r="DE10" s="337">
        <f t="shared" si="108"/>
        <v>0.33582089552238803</v>
      </c>
      <c r="DF10" s="413">
        <f t="shared" si="109"/>
        <v>0.29065298507462684</v>
      </c>
      <c r="DG10" s="72">
        <f t="shared" si="110"/>
        <v>6</v>
      </c>
      <c r="DH10" s="73">
        <f t="shared" si="111"/>
        <v>0.40298507462686567</v>
      </c>
      <c r="DI10" s="72">
        <f t="shared" si="112"/>
        <v>9</v>
      </c>
      <c r="DJ10" s="73">
        <f t="shared" si="113"/>
        <v>0.60447761194029848</v>
      </c>
      <c r="DK10" s="72">
        <f t="shared" si="114"/>
        <v>0</v>
      </c>
      <c r="DL10" s="73">
        <f t="shared" si="115"/>
        <v>0</v>
      </c>
      <c r="DM10" s="72">
        <f t="shared" si="116"/>
        <v>763</v>
      </c>
      <c r="DN10" s="73">
        <f t="shared" si="117"/>
        <v>51.246268656716417</v>
      </c>
      <c r="DO10" s="72">
        <f t="shared" si="118"/>
        <v>13.5</v>
      </c>
      <c r="DP10" s="6">
        <f t="shared" si="119"/>
        <v>8.35</v>
      </c>
      <c r="DQ10" s="5">
        <f t="shared" si="120"/>
        <v>0.56082089552238801</v>
      </c>
      <c r="DR10" s="55">
        <f t="shared" si="121"/>
        <v>7</v>
      </c>
      <c r="DS10" s="56">
        <f t="shared" si="122"/>
        <v>0.47014925373134325</v>
      </c>
      <c r="DT10" s="55">
        <f t="shared" si="123"/>
        <v>0</v>
      </c>
      <c r="DU10" s="56">
        <f t="shared" si="124"/>
        <v>0</v>
      </c>
      <c r="DV10" s="104">
        <f t="shared" si="125"/>
        <v>0</v>
      </c>
      <c r="DW10" s="6">
        <f t="shared" si="126"/>
        <v>4</v>
      </c>
      <c r="DX10" s="5">
        <f t="shared" si="127"/>
        <v>0.26865671641791045</v>
      </c>
      <c r="DY10" s="5">
        <f t="shared" si="128"/>
        <v>4</v>
      </c>
      <c r="DZ10" s="21">
        <f t="shared" si="129"/>
        <v>0.25</v>
      </c>
      <c r="EA10" s="5">
        <f t="shared" si="130"/>
        <v>-0.15000000000000002</v>
      </c>
      <c r="EB10" s="5">
        <f t="shared" si="131"/>
        <v>0.21249999999999999</v>
      </c>
      <c r="EC10" s="72">
        <f t="shared" si="132"/>
        <v>626</v>
      </c>
      <c r="ED10" s="73">
        <f t="shared" si="133"/>
        <v>42.044776119402982</v>
      </c>
      <c r="EE10" s="72">
        <f t="shared" si="134"/>
        <v>565</v>
      </c>
      <c r="EF10" s="73">
        <f t="shared" si="135"/>
        <v>37.947761194029852</v>
      </c>
      <c r="EG10" s="76">
        <f t="shared" si="136"/>
        <v>0.902555910543131</v>
      </c>
      <c r="EH10" s="395">
        <f t="shared" si="137"/>
        <v>61</v>
      </c>
      <c r="EI10" s="396">
        <f t="shared" si="138"/>
        <v>4.0970149253731343</v>
      </c>
      <c r="EJ10" s="256">
        <f t="shared" si="139"/>
        <v>36</v>
      </c>
      <c r="EK10" s="255">
        <f t="shared" si="140"/>
        <v>2.4179104477611939</v>
      </c>
      <c r="EL10" s="397">
        <f t="shared" si="141"/>
        <v>5.7507987220447282E-2</v>
      </c>
      <c r="EM10" s="73">
        <f t="shared" si="142"/>
        <v>335</v>
      </c>
      <c r="EN10" s="73">
        <f t="shared" si="143"/>
        <v>191.42857142857142</v>
      </c>
      <c r="EO10" s="205">
        <f t="shared" si="144"/>
        <v>57</v>
      </c>
      <c r="EP10" s="206">
        <f t="shared" si="145"/>
        <v>3.8283582089552239</v>
      </c>
      <c r="EQ10" s="205">
        <f t="shared" si="146"/>
        <v>47</v>
      </c>
      <c r="ER10" s="206">
        <f t="shared" si="147"/>
        <v>3.1567164179104479</v>
      </c>
      <c r="ES10" s="81">
        <f t="shared" si="148"/>
        <v>0.82456140350877194</v>
      </c>
      <c r="ET10" s="174">
        <f t="shared" si="149"/>
        <v>150.69999999999999</v>
      </c>
      <c r="EU10" s="191">
        <f t="shared" si="150"/>
        <v>10.121641791044775</v>
      </c>
      <c r="EV10" s="193">
        <f t="shared" si="151"/>
        <v>6.7477611940298505</v>
      </c>
      <c r="EW10" s="192">
        <f t="shared" si="152"/>
        <v>86.355555555555554</v>
      </c>
      <c r="EX10" s="73">
        <f t="shared" si="153"/>
        <v>5.8</v>
      </c>
      <c r="EY10" s="55">
        <f t="shared" si="154"/>
        <v>93</v>
      </c>
      <c r="EZ10" s="56">
        <f t="shared" si="155"/>
        <v>6.2462686567164178</v>
      </c>
      <c r="FA10" s="73">
        <f t="shared" si="156"/>
        <v>5</v>
      </c>
      <c r="FB10" s="56">
        <f t="shared" si="157"/>
        <v>98.862222222222215</v>
      </c>
      <c r="FC10" s="60">
        <f t="shared" si="158"/>
        <v>6.64</v>
      </c>
      <c r="FD10" s="268"/>
      <c r="FE10" s="264" t="s">
        <v>610</v>
      </c>
      <c r="FF10" s="264" t="s">
        <v>840</v>
      </c>
      <c r="FG10" s="264" t="s">
        <v>841</v>
      </c>
      <c r="FH10" s="264">
        <v>27</v>
      </c>
      <c r="FI10" s="264" t="s">
        <v>842</v>
      </c>
      <c r="FJ10" s="264" t="s">
        <v>524</v>
      </c>
      <c r="FK10" s="264" t="s">
        <v>579</v>
      </c>
      <c r="FL10" s="264" t="s">
        <v>843</v>
      </c>
      <c r="FM10" s="264" t="s">
        <v>826</v>
      </c>
      <c r="FN10" s="265">
        <v>46568</v>
      </c>
      <c r="FO10" s="264">
        <v>1340</v>
      </c>
      <c r="FP10" s="264" t="s">
        <v>758</v>
      </c>
      <c r="FQ10" s="264">
        <v>0</v>
      </c>
      <c r="FR10" s="264">
        <v>0</v>
      </c>
      <c r="FS10" s="264">
        <v>1</v>
      </c>
      <c r="FT10" s="264">
        <v>6</v>
      </c>
      <c r="FU10" s="264">
        <v>2</v>
      </c>
      <c r="FV10" s="264">
        <v>11</v>
      </c>
      <c r="FW10" s="264">
        <v>5</v>
      </c>
      <c r="FX10" s="264" t="s">
        <v>878</v>
      </c>
      <c r="FY10" s="264" t="s">
        <v>880</v>
      </c>
      <c r="FZ10" s="264">
        <v>5</v>
      </c>
      <c r="GA10" s="264">
        <v>3</v>
      </c>
      <c r="GB10" s="264">
        <v>626</v>
      </c>
      <c r="GC10" s="264">
        <v>565</v>
      </c>
      <c r="GD10" s="264">
        <v>4</v>
      </c>
      <c r="GE10" s="264">
        <v>36</v>
      </c>
      <c r="GF10" s="264">
        <v>5</v>
      </c>
      <c r="GG10" s="264">
        <v>3</v>
      </c>
      <c r="GH10" s="264">
        <v>1</v>
      </c>
      <c r="GI10" s="264">
        <v>52</v>
      </c>
      <c r="GJ10" s="264">
        <v>29</v>
      </c>
      <c r="GK10" s="264">
        <v>46</v>
      </c>
      <c r="GL10" s="264">
        <v>12</v>
      </c>
      <c r="GM10" s="264">
        <v>12</v>
      </c>
      <c r="GN10" s="264">
        <v>6</v>
      </c>
      <c r="GO10" s="264">
        <v>50</v>
      </c>
      <c r="GP10" s="264">
        <v>7</v>
      </c>
      <c r="GQ10" s="264">
        <v>0</v>
      </c>
      <c r="GR10" s="264">
        <v>7</v>
      </c>
      <c r="GS10" s="264">
        <v>0</v>
      </c>
      <c r="GT10" s="264">
        <v>0</v>
      </c>
      <c r="GU10" s="264">
        <v>0</v>
      </c>
      <c r="GV10" s="264">
        <v>0</v>
      </c>
      <c r="GW10" s="264">
        <v>1</v>
      </c>
      <c r="GX10" s="264">
        <v>10</v>
      </c>
      <c r="GY10" s="264">
        <v>6</v>
      </c>
      <c r="GZ10" s="264">
        <v>16</v>
      </c>
      <c r="HA10" s="264">
        <v>2</v>
      </c>
      <c r="HB10" s="264">
        <v>1</v>
      </c>
      <c r="HC10" s="264">
        <v>0</v>
      </c>
      <c r="HD10" s="264">
        <v>0</v>
      </c>
      <c r="HE10" s="264">
        <v>5.8</v>
      </c>
      <c r="HF10" s="264">
        <v>0</v>
      </c>
      <c r="HG10" s="264">
        <v>0</v>
      </c>
      <c r="HH10" s="264" t="s">
        <v>844</v>
      </c>
      <c r="HI10" s="269">
        <v>6.64</v>
      </c>
    </row>
    <row r="11" spans="1:217" ht="24.95" customHeight="1" thickBot="1" x14ac:dyDescent="0.3">
      <c r="A11" s="29" t="str">
        <f t="shared" si="0"/>
        <v>10º</v>
      </c>
      <c r="B11" s="67" t="str">
        <f t="shared" si="1"/>
        <v>Vincenzo Grifo</v>
      </c>
      <c r="C11" s="83" t="str">
        <f t="shared" si="2"/>
        <v>ITA</v>
      </c>
      <c r="D11" s="239" t="str">
        <f t="shared" si="3"/>
        <v>Freiburg</v>
      </c>
      <c r="E11" s="348" t="str">
        <f t="shared" si="4"/>
        <v>MO (EC)</v>
      </c>
      <c r="F11" s="36">
        <f t="shared" si="5"/>
        <v>32</v>
      </c>
      <c r="G11" s="342">
        <f t="shared" si="6"/>
        <v>46568</v>
      </c>
      <c r="H11" s="299" t="str">
        <f t="shared" si="7"/>
        <v>€251m p/m</v>
      </c>
      <c r="I11" s="89">
        <f t="shared" si="8"/>
        <v>17.137777777777778</v>
      </c>
      <c r="J11" s="183">
        <f t="shared" si="9"/>
        <v>22.355555555555554</v>
      </c>
      <c r="K11" s="183">
        <f t="shared" si="10"/>
        <v>24</v>
      </c>
      <c r="L11" s="183">
        <f t="shared" si="11"/>
        <v>83.833333333333329</v>
      </c>
      <c r="M11" s="184">
        <f t="shared" si="12"/>
        <v>1</v>
      </c>
      <c r="N11" s="6">
        <f t="shared" si="13"/>
        <v>3</v>
      </c>
      <c r="O11" s="24">
        <f t="shared" si="14"/>
        <v>670.66666666666663</v>
      </c>
      <c r="P11" s="21">
        <f t="shared" si="15"/>
        <v>0.13419483101391652</v>
      </c>
      <c r="Q11" s="373">
        <f t="shared" si="16"/>
        <v>7</v>
      </c>
      <c r="R11" s="373">
        <f t="shared" si="17"/>
        <v>3</v>
      </c>
      <c r="S11" s="373">
        <f t="shared" si="18"/>
        <v>10</v>
      </c>
      <c r="T11" s="374">
        <f t="shared" si="19"/>
        <v>0.31312127236580517</v>
      </c>
      <c r="U11" s="374">
        <f t="shared" si="20"/>
        <v>0.13419483101391652</v>
      </c>
      <c r="V11" s="374">
        <f t="shared" si="21"/>
        <v>0.44731610337972172</v>
      </c>
      <c r="W11" s="383">
        <f t="shared" si="22"/>
        <v>3</v>
      </c>
      <c r="X11" s="383">
        <f t="shared" si="23"/>
        <v>2</v>
      </c>
      <c r="Y11" s="326">
        <f t="shared" si="24"/>
        <v>2</v>
      </c>
      <c r="Z11" s="384">
        <f t="shared" si="25"/>
        <v>5</v>
      </c>
      <c r="AA11" s="73">
        <f t="shared" si="26"/>
        <v>5.32</v>
      </c>
      <c r="AB11" s="73">
        <f t="shared" si="27"/>
        <v>3.74</v>
      </c>
      <c r="AC11" s="73">
        <f t="shared" si="28"/>
        <v>0.16729622266401592</v>
      </c>
      <c r="AD11" s="73">
        <f t="shared" si="29"/>
        <v>6.39</v>
      </c>
      <c r="AE11" s="73">
        <f t="shared" si="30"/>
        <v>0.28583499005964214</v>
      </c>
      <c r="AF11" s="73">
        <f t="shared" si="31"/>
        <v>10.129999999999999</v>
      </c>
      <c r="AG11" s="73">
        <f t="shared" si="32"/>
        <v>0.45313121272365808</v>
      </c>
      <c r="AH11" s="6">
        <f t="shared" si="33"/>
        <v>56</v>
      </c>
      <c r="AI11" s="5">
        <f t="shared" si="34"/>
        <v>2.5049701789264414</v>
      </c>
      <c r="AJ11" s="6">
        <f t="shared" si="35"/>
        <v>30</v>
      </c>
      <c r="AK11" s="5">
        <f t="shared" si="36"/>
        <v>1.3419483101391652</v>
      </c>
      <c r="AL11" s="6">
        <f t="shared" si="37"/>
        <v>26</v>
      </c>
      <c r="AM11" s="5">
        <f t="shared" si="38"/>
        <v>1.1630218687872764</v>
      </c>
      <c r="AN11" s="6">
        <f t="shared" si="39"/>
        <v>19</v>
      </c>
      <c r="AO11" s="5">
        <f t="shared" si="40"/>
        <v>0.8499005964214712</v>
      </c>
      <c r="AP11" s="21">
        <f t="shared" si="41"/>
        <v>0.4642857142857143</v>
      </c>
      <c r="AQ11" s="73">
        <f t="shared" si="42"/>
        <v>10.8</v>
      </c>
      <c r="AR11" s="73">
        <f t="shared" si="43"/>
        <v>4.8</v>
      </c>
      <c r="AS11" s="20">
        <f t="shared" si="44"/>
        <v>9.2592592592592587E-2</v>
      </c>
      <c r="AT11" s="278">
        <f t="shared" si="45"/>
        <v>72</v>
      </c>
      <c r="AU11" s="279">
        <f t="shared" si="46"/>
        <v>3.2206759443339963</v>
      </c>
      <c r="AV11" s="278">
        <f t="shared" si="47"/>
        <v>13</v>
      </c>
      <c r="AW11" s="279">
        <f t="shared" si="48"/>
        <v>0.58151093439363821</v>
      </c>
      <c r="AX11" s="277">
        <f t="shared" si="49"/>
        <v>0.18055555555555555</v>
      </c>
      <c r="AY11" s="278">
        <f t="shared" si="50"/>
        <v>2</v>
      </c>
      <c r="AZ11" s="278">
        <f t="shared" si="51"/>
        <v>2</v>
      </c>
      <c r="BA11" s="319">
        <f t="shared" si="52"/>
        <v>0</v>
      </c>
      <c r="BB11" s="318">
        <f t="shared" si="53"/>
        <v>1</v>
      </c>
      <c r="BC11" s="73">
        <f t="shared" si="54"/>
        <v>35.928571428571431</v>
      </c>
      <c r="BD11" s="73">
        <f t="shared" si="55"/>
        <v>77.384615384615387</v>
      </c>
      <c r="BE11" s="73">
        <f t="shared" si="56"/>
        <v>287.42857142857144</v>
      </c>
      <c r="BF11" s="73">
        <f t="shared" si="57"/>
        <v>201.2</v>
      </c>
      <c r="BG11" s="5">
        <f t="shared" si="58"/>
        <v>1.6799999999999997</v>
      </c>
      <c r="BH11" s="5">
        <f t="shared" si="59"/>
        <v>1.2599999999999998</v>
      </c>
      <c r="BI11" s="72">
        <f t="shared" si="60"/>
        <v>12</v>
      </c>
      <c r="BJ11" s="73">
        <f t="shared" si="61"/>
        <v>0.53677932405566608</v>
      </c>
      <c r="BK11" s="72">
        <f t="shared" si="62"/>
        <v>72</v>
      </c>
      <c r="BL11" s="72">
        <f t="shared" si="63"/>
        <v>14</v>
      </c>
      <c r="BM11" s="72">
        <f t="shared" si="64"/>
        <v>58</v>
      </c>
      <c r="BN11" s="73">
        <f t="shared" si="65"/>
        <v>0.62624254473161034</v>
      </c>
      <c r="BO11" s="76">
        <f t="shared" si="66"/>
        <v>0.19444444444444445</v>
      </c>
      <c r="BP11" s="72">
        <f t="shared" si="67"/>
        <v>69</v>
      </c>
      <c r="BQ11" s="72">
        <f t="shared" si="68"/>
        <v>30</v>
      </c>
      <c r="BR11" s="73">
        <f t="shared" si="69"/>
        <v>1.3419483101391652</v>
      </c>
      <c r="BS11" s="72">
        <f t="shared" si="70"/>
        <v>11</v>
      </c>
      <c r="BT11" s="73">
        <f t="shared" si="71"/>
        <v>0.49204771371769385</v>
      </c>
      <c r="BU11" s="76">
        <f t="shared" si="72"/>
        <v>0.43478260869565216</v>
      </c>
      <c r="BV11" s="256">
        <f t="shared" si="73"/>
        <v>28</v>
      </c>
      <c r="BW11" s="255">
        <f t="shared" si="74"/>
        <v>1.2524850894632207</v>
      </c>
      <c r="BX11" s="375">
        <f t="shared" si="75"/>
        <v>0</v>
      </c>
      <c r="BY11" s="376">
        <f t="shared" si="76"/>
        <v>0</v>
      </c>
      <c r="BZ11" s="377">
        <f t="shared" si="77"/>
        <v>0</v>
      </c>
      <c r="CA11" s="378">
        <f t="shared" si="78"/>
        <v>0</v>
      </c>
      <c r="CB11" s="379">
        <f t="shared" si="79"/>
        <v>0</v>
      </c>
      <c r="CC11" s="380">
        <f t="shared" si="80"/>
        <v>0</v>
      </c>
      <c r="CD11" s="73">
        <f t="shared" si="81"/>
        <v>-11.9</v>
      </c>
      <c r="CE11" s="72">
        <f t="shared" si="82"/>
        <v>225</v>
      </c>
      <c r="CF11" s="72">
        <f t="shared" si="83"/>
        <v>54</v>
      </c>
      <c r="CG11" s="148">
        <f t="shared" si="84"/>
        <v>0.24</v>
      </c>
      <c r="CH11" s="72">
        <f t="shared" si="85"/>
        <v>367</v>
      </c>
      <c r="CI11" s="73">
        <f t="shared" si="86"/>
        <v>16.416500994035786</v>
      </c>
      <c r="CJ11" s="72">
        <f t="shared" si="87"/>
        <v>99</v>
      </c>
      <c r="CK11" s="73">
        <f t="shared" si="88"/>
        <v>4.428429423459245</v>
      </c>
      <c r="CL11" s="148">
        <f t="shared" si="89"/>
        <v>0.26975476839237056</v>
      </c>
      <c r="CM11" s="72">
        <f t="shared" si="90"/>
        <v>65</v>
      </c>
      <c r="CN11" s="73">
        <f t="shared" si="91"/>
        <v>2.9075546719681911</v>
      </c>
      <c r="CO11" s="72">
        <f t="shared" si="92"/>
        <v>86</v>
      </c>
      <c r="CP11" s="73">
        <f t="shared" si="93"/>
        <v>3.8469184890656067</v>
      </c>
      <c r="CQ11" s="72">
        <f t="shared" si="94"/>
        <v>344.88444444444445</v>
      </c>
      <c r="CR11" s="73">
        <f t="shared" si="95"/>
        <v>15.427236580516899</v>
      </c>
      <c r="CS11" s="72">
        <f t="shared" si="96"/>
        <v>189</v>
      </c>
      <c r="CT11" s="73">
        <f t="shared" si="97"/>
        <v>8.4542743538767393</v>
      </c>
      <c r="CU11" s="76">
        <f t="shared" si="98"/>
        <v>0.54800963929947544</v>
      </c>
      <c r="CV11" s="72">
        <f t="shared" si="99"/>
        <v>197</v>
      </c>
      <c r="CW11" s="73">
        <f t="shared" si="100"/>
        <v>8.8121272365805172</v>
      </c>
      <c r="CX11" s="72">
        <f t="shared" si="101"/>
        <v>101</v>
      </c>
      <c r="CY11" s="73">
        <f t="shared" si="102"/>
        <v>4.5178926441351894</v>
      </c>
      <c r="CZ11" s="76">
        <f t="shared" si="103"/>
        <v>0.51269035532994922</v>
      </c>
      <c r="DA11" s="80">
        <f t="shared" si="104"/>
        <v>1753.8844444444444</v>
      </c>
      <c r="DB11" s="80">
        <f t="shared" si="105"/>
        <v>1383</v>
      </c>
      <c r="DC11" s="81">
        <f t="shared" si="106"/>
        <v>0.78853541599091792</v>
      </c>
      <c r="DD11" s="336">
        <f t="shared" si="107"/>
        <v>60</v>
      </c>
      <c r="DE11" s="337">
        <f t="shared" si="108"/>
        <v>2.6838966202783303</v>
      </c>
      <c r="DF11" s="413">
        <f t="shared" si="109"/>
        <v>1.214843439363817</v>
      </c>
      <c r="DG11" s="72">
        <f t="shared" si="110"/>
        <v>91</v>
      </c>
      <c r="DH11" s="73">
        <f t="shared" si="111"/>
        <v>4.070576540755467</v>
      </c>
      <c r="DI11" s="72">
        <f t="shared" si="112"/>
        <v>117</v>
      </c>
      <c r="DJ11" s="73">
        <f t="shared" si="113"/>
        <v>5.2335984095427435</v>
      </c>
      <c r="DK11" s="72">
        <f t="shared" si="114"/>
        <v>17.884444444444444</v>
      </c>
      <c r="DL11" s="73">
        <f t="shared" si="115"/>
        <v>0.8</v>
      </c>
      <c r="DM11" s="72">
        <f t="shared" si="116"/>
        <v>1672</v>
      </c>
      <c r="DN11" s="73">
        <f t="shared" si="117"/>
        <v>74.791252485089473</v>
      </c>
      <c r="DO11" s="72">
        <f t="shared" si="118"/>
        <v>162</v>
      </c>
      <c r="DP11" s="6">
        <f t="shared" si="119"/>
        <v>116.27444444444444</v>
      </c>
      <c r="DQ11" s="5">
        <f t="shared" si="120"/>
        <v>5.2011431411530813</v>
      </c>
      <c r="DR11" s="55">
        <f t="shared" si="121"/>
        <v>66</v>
      </c>
      <c r="DS11" s="56">
        <f t="shared" si="122"/>
        <v>2.9522862823061633</v>
      </c>
      <c r="DT11" s="55">
        <f t="shared" si="123"/>
        <v>17</v>
      </c>
      <c r="DU11" s="56">
        <f t="shared" si="124"/>
        <v>0.76043737574552683</v>
      </c>
      <c r="DV11" s="104">
        <f t="shared" si="125"/>
        <v>0.25757575757575757</v>
      </c>
      <c r="DW11" s="6">
        <f t="shared" si="126"/>
        <v>55</v>
      </c>
      <c r="DX11" s="5">
        <f t="shared" si="127"/>
        <v>2.4602385685884691</v>
      </c>
      <c r="DY11" s="5">
        <f t="shared" si="128"/>
        <v>18.333333333333332</v>
      </c>
      <c r="DZ11" s="21">
        <f t="shared" si="129"/>
        <v>5.4545454545454543E-2</v>
      </c>
      <c r="EA11" s="5">
        <f t="shared" si="130"/>
        <v>3.3899999999999997</v>
      </c>
      <c r="EB11" s="5">
        <f t="shared" si="131"/>
        <v>0.11618181818181818</v>
      </c>
      <c r="EC11" s="72">
        <f t="shared" si="132"/>
        <v>1212</v>
      </c>
      <c r="ED11" s="73">
        <f t="shared" si="133"/>
        <v>54.214711729622266</v>
      </c>
      <c r="EE11" s="72">
        <f t="shared" si="134"/>
        <v>1093</v>
      </c>
      <c r="EF11" s="73">
        <f t="shared" si="135"/>
        <v>48.891650099403584</v>
      </c>
      <c r="EG11" s="76">
        <f t="shared" si="136"/>
        <v>0.90181518151815176</v>
      </c>
      <c r="EH11" s="395">
        <f t="shared" si="137"/>
        <v>119</v>
      </c>
      <c r="EI11" s="396">
        <f t="shared" si="138"/>
        <v>5.3230616302186879</v>
      </c>
      <c r="EJ11" s="256">
        <f t="shared" si="139"/>
        <v>94</v>
      </c>
      <c r="EK11" s="255">
        <f t="shared" si="140"/>
        <v>4.2047713717693842</v>
      </c>
      <c r="EL11" s="397">
        <f t="shared" si="141"/>
        <v>7.7557755775577553E-2</v>
      </c>
      <c r="EM11" s="73">
        <f t="shared" si="142"/>
        <v>36.581818181818178</v>
      </c>
      <c r="EN11" s="73">
        <f t="shared" si="143"/>
        <v>23.126436781609197</v>
      </c>
      <c r="EO11" s="205">
        <f t="shared" si="144"/>
        <v>427</v>
      </c>
      <c r="EP11" s="206">
        <f t="shared" si="145"/>
        <v>19.100397614314115</v>
      </c>
      <c r="EQ11" s="205">
        <f t="shared" si="146"/>
        <v>277</v>
      </c>
      <c r="ER11" s="206">
        <f t="shared" si="147"/>
        <v>12.390656063618291</v>
      </c>
      <c r="ES11" s="81">
        <f t="shared" si="148"/>
        <v>0.64871194379391106</v>
      </c>
      <c r="ET11" s="174">
        <f t="shared" si="149"/>
        <v>270.5</v>
      </c>
      <c r="EU11" s="191">
        <f t="shared" si="150"/>
        <v>12.099900596421472</v>
      </c>
      <c r="EV11" s="193">
        <f t="shared" si="151"/>
        <v>8.0666003976143141</v>
      </c>
      <c r="EW11" s="192">
        <f t="shared" si="152"/>
        <v>348.74666666666661</v>
      </c>
      <c r="EX11" s="73">
        <f t="shared" si="153"/>
        <v>15.6</v>
      </c>
      <c r="EY11" s="55">
        <f t="shared" si="154"/>
        <v>315</v>
      </c>
      <c r="EZ11" s="56">
        <f t="shared" si="155"/>
        <v>14.090457256461233</v>
      </c>
      <c r="FA11" s="73">
        <f t="shared" si="156"/>
        <v>17.8</v>
      </c>
      <c r="FB11" s="56">
        <f t="shared" si="157"/>
        <v>158.05377777777778</v>
      </c>
      <c r="FC11" s="60">
        <f t="shared" si="158"/>
        <v>7.07</v>
      </c>
      <c r="FD11" s="398"/>
      <c r="FE11" s="399" t="s">
        <v>614</v>
      </c>
      <c r="FF11" s="399" t="s">
        <v>814</v>
      </c>
      <c r="FG11" s="399" t="s">
        <v>815</v>
      </c>
      <c r="FH11" s="399">
        <v>32</v>
      </c>
      <c r="FI11" s="399" t="s">
        <v>816</v>
      </c>
      <c r="FJ11" s="399" t="s">
        <v>711</v>
      </c>
      <c r="FK11" s="399" t="s">
        <v>573</v>
      </c>
      <c r="FL11" s="399" t="s">
        <v>394</v>
      </c>
      <c r="FM11" s="399" t="s">
        <v>817</v>
      </c>
      <c r="FN11" s="400">
        <v>46568</v>
      </c>
      <c r="FO11" s="399">
        <v>2012</v>
      </c>
      <c r="FP11" s="399">
        <v>24</v>
      </c>
      <c r="FQ11" s="399">
        <v>3</v>
      </c>
      <c r="FR11" s="399">
        <v>7</v>
      </c>
      <c r="FS11" s="399">
        <v>3</v>
      </c>
      <c r="FT11" s="399">
        <v>104</v>
      </c>
      <c r="FU11" s="399">
        <v>6</v>
      </c>
      <c r="FV11" s="399">
        <v>5.9</v>
      </c>
      <c r="FW11" s="399">
        <v>17.8</v>
      </c>
      <c r="FX11" s="399" t="s">
        <v>881</v>
      </c>
      <c r="FY11" s="399" t="s">
        <v>882</v>
      </c>
      <c r="FZ11" s="399">
        <v>28</v>
      </c>
      <c r="GA11" s="399">
        <v>31</v>
      </c>
      <c r="GB11" s="399">
        <v>1212</v>
      </c>
      <c r="GC11" s="399">
        <v>1093</v>
      </c>
      <c r="GD11" s="399">
        <v>55</v>
      </c>
      <c r="GE11" s="399">
        <v>94</v>
      </c>
      <c r="GF11" s="399">
        <v>60</v>
      </c>
      <c r="GG11" s="399">
        <v>56</v>
      </c>
      <c r="GH11" s="399">
        <v>26</v>
      </c>
      <c r="GI11" s="399">
        <v>72</v>
      </c>
      <c r="GJ11" s="399">
        <v>14</v>
      </c>
      <c r="GK11" s="399">
        <v>225</v>
      </c>
      <c r="GL11" s="399">
        <v>54</v>
      </c>
      <c r="GM11" s="399">
        <v>41</v>
      </c>
      <c r="GN11" s="399">
        <v>30</v>
      </c>
      <c r="GO11" s="399">
        <v>43</v>
      </c>
      <c r="GP11" s="399">
        <v>66</v>
      </c>
      <c r="GQ11" s="399">
        <v>17</v>
      </c>
      <c r="GR11" s="399">
        <v>138</v>
      </c>
      <c r="GS11" s="399">
        <v>30</v>
      </c>
      <c r="GT11" s="399">
        <v>2</v>
      </c>
      <c r="GU11" s="399">
        <v>0.8</v>
      </c>
      <c r="GV11" s="399">
        <v>4</v>
      </c>
      <c r="GW11" s="399">
        <v>12</v>
      </c>
      <c r="GX11" s="399">
        <v>3</v>
      </c>
      <c r="GY11" s="399">
        <v>0</v>
      </c>
      <c r="GZ11" s="399">
        <v>9</v>
      </c>
      <c r="HA11" s="399">
        <v>1</v>
      </c>
      <c r="HB11" s="399">
        <v>0</v>
      </c>
      <c r="HC11" s="399">
        <v>0</v>
      </c>
      <c r="HD11" s="399">
        <v>0</v>
      </c>
      <c r="HE11" s="399">
        <v>15.6</v>
      </c>
      <c r="HF11" s="399">
        <v>2</v>
      </c>
      <c r="HG11" s="399">
        <v>2</v>
      </c>
      <c r="HH11" s="399" t="s">
        <v>818</v>
      </c>
      <c r="HI11" s="401">
        <v>7.07</v>
      </c>
    </row>
    <row r="12" spans="1:217" ht="24.95" customHeight="1" x14ac:dyDescent="0.25"/>
    <row r="13" spans="1:217" ht="24.95" customHeight="1" x14ac:dyDescent="0.25"/>
    <row r="14" spans="1:217" ht="24.95" customHeight="1" x14ac:dyDescent="0.25"/>
    <row r="15" spans="1:217" ht="24.95" customHeight="1" x14ac:dyDescent="0.25">
      <c r="DG15" s="415"/>
    </row>
    <row r="16" spans="1:217" ht="24.95" customHeight="1" x14ac:dyDescent="0.25"/>
    <row r="17" ht="24.95" customHeight="1" x14ac:dyDescent="0.25"/>
    <row r="18" ht="24.95" customHeight="1" x14ac:dyDescent="0.25"/>
    <row r="19" ht="24.95" customHeight="1" x14ac:dyDescent="0.25"/>
    <row r="20" ht="24.95" customHeight="1" x14ac:dyDescent="0.25"/>
    <row r="21" ht="24.95" customHeight="1" x14ac:dyDescent="0.25"/>
    <row r="22" ht="24.95" customHeight="1" x14ac:dyDescent="0.25"/>
    <row r="23" ht="24.95" customHeight="1" x14ac:dyDescent="0.25"/>
    <row r="24" ht="24.95" customHeight="1" x14ac:dyDescent="0.25"/>
    <row r="25" ht="24.95" customHeight="1" x14ac:dyDescent="0.25"/>
    <row r="26" ht="24.95" customHeight="1" x14ac:dyDescent="0.25"/>
    <row r="27" ht="24.95" customHeight="1" x14ac:dyDescent="0.25"/>
    <row r="28" ht="24.95" customHeight="1" x14ac:dyDescent="0.25"/>
    <row r="29" ht="24.95" customHeight="1" x14ac:dyDescent="0.25"/>
    <row r="30" ht="24.95" customHeight="1" x14ac:dyDescent="0.25"/>
    <row r="31" ht="24.95" customHeight="1" x14ac:dyDescent="0.25"/>
    <row r="32"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row r="863" ht="24.95" customHeight="1" x14ac:dyDescent="0.25"/>
    <row r="864" ht="24.95" customHeight="1" x14ac:dyDescent="0.25"/>
    <row r="865" ht="24.95" customHeight="1" x14ac:dyDescent="0.25"/>
    <row r="866" ht="24.95" customHeight="1" x14ac:dyDescent="0.25"/>
    <row r="867" ht="24.95" customHeight="1" x14ac:dyDescent="0.25"/>
    <row r="868" ht="24.95" customHeight="1" x14ac:dyDescent="0.25"/>
    <row r="869" ht="24.95" customHeight="1" x14ac:dyDescent="0.25"/>
    <row r="870" ht="24.95" customHeight="1" x14ac:dyDescent="0.25"/>
    <row r="871" ht="24.95" customHeight="1" x14ac:dyDescent="0.25"/>
    <row r="872" ht="24.95" customHeight="1" x14ac:dyDescent="0.25"/>
    <row r="873" ht="24.95" customHeight="1" x14ac:dyDescent="0.25"/>
    <row r="874" ht="24.95" customHeight="1" x14ac:dyDescent="0.25"/>
    <row r="875" ht="24.95" customHeight="1" x14ac:dyDescent="0.25"/>
    <row r="876" ht="24.95" customHeight="1" x14ac:dyDescent="0.25"/>
    <row r="877" ht="24.95" customHeight="1" x14ac:dyDescent="0.25"/>
    <row r="878" ht="24.95" customHeight="1" x14ac:dyDescent="0.25"/>
    <row r="879" ht="24.95" customHeight="1" x14ac:dyDescent="0.25"/>
    <row r="880" ht="24.95" customHeight="1" x14ac:dyDescent="0.25"/>
    <row r="881" ht="24.95" customHeight="1" x14ac:dyDescent="0.25"/>
    <row r="882" ht="24.95" customHeight="1" x14ac:dyDescent="0.25"/>
    <row r="883" ht="24.95" customHeight="1" x14ac:dyDescent="0.25"/>
    <row r="884" ht="24.95" customHeight="1" x14ac:dyDescent="0.25"/>
    <row r="885" ht="24.95" customHeight="1" x14ac:dyDescent="0.25"/>
    <row r="886" ht="24.95" customHeight="1" x14ac:dyDescent="0.25"/>
    <row r="887" ht="24.95" customHeight="1" x14ac:dyDescent="0.25"/>
    <row r="888" ht="24.95" customHeight="1" x14ac:dyDescent="0.25"/>
    <row r="889" ht="24.95" customHeight="1" x14ac:dyDescent="0.25"/>
    <row r="890" ht="24.95" customHeight="1" x14ac:dyDescent="0.25"/>
    <row r="891" ht="24.95" customHeight="1" x14ac:dyDescent="0.25"/>
    <row r="892" ht="24.95" customHeight="1" x14ac:dyDescent="0.25"/>
    <row r="893" ht="24.95" customHeight="1" x14ac:dyDescent="0.25"/>
    <row r="894" ht="24.95" customHeight="1" x14ac:dyDescent="0.25"/>
    <row r="895" ht="24.95" customHeight="1" x14ac:dyDescent="0.25"/>
    <row r="896" ht="24.95" customHeight="1" x14ac:dyDescent="0.25"/>
    <row r="897" ht="24.95" customHeight="1" x14ac:dyDescent="0.25"/>
    <row r="898" ht="24.95" customHeight="1" x14ac:dyDescent="0.25"/>
    <row r="899" ht="24.95" customHeight="1" x14ac:dyDescent="0.25"/>
    <row r="900" ht="24.95" customHeight="1" x14ac:dyDescent="0.25"/>
    <row r="901" ht="24.95" customHeight="1" x14ac:dyDescent="0.25"/>
    <row r="902" ht="24.95" customHeight="1" x14ac:dyDescent="0.25"/>
    <row r="903" ht="24.95" customHeight="1" x14ac:dyDescent="0.25"/>
    <row r="904" ht="24.95" customHeight="1" x14ac:dyDescent="0.25"/>
    <row r="905" ht="24.95" customHeight="1" x14ac:dyDescent="0.25"/>
    <row r="906" ht="24.95" customHeight="1" x14ac:dyDescent="0.25"/>
    <row r="907" ht="24.95" customHeight="1" x14ac:dyDescent="0.25"/>
    <row r="908" ht="24.95" customHeight="1" x14ac:dyDescent="0.25"/>
    <row r="909" ht="24.95" customHeight="1" x14ac:dyDescent="0.25"/>
    <row r="910" ht="24.95" customHeight="1" x14ac:dyDescent="0.25"/>
    <row r="911" ht="24.95" customHeight="1" x14ac:dyDescent="0.25"/>
    <row r="912" ht="24.95" customHeight="1" x14ac:dyDescent="0.25"/>
    <row r="913" ht="24.95" customHeight="1" x14ac:dyDescent="0.25"/>
    <row r="914" ht="24.95" customHeight="1" x14ac:dyDescent="0.25"/>
    <row r="915" ht="24.95" customHeight="1" x14ac:dyDescent="0.25"/>
    <row r="916" ht="24.95" customHeight="1" x14ac:dyDescent="0.25"/>
    <row r="917" ht="24.95" customHeight="1" x14ac:dyDescent="0.25"/>
    <row r="918" ht="24.95" customHeight="1" x14ac:dyDescent="0.25"/>
    <row r="919" ht="24.95" customHeight="1" x14ac:dyDescent="0.25"/>
    <row r="920" ht="24.95" customHeight="1" x14ac:dyDescent="0.25"/>
    <row r="921" ht="24.95" customHeight="1" x14ac:dyDescent="0.25"/>
    <row r="922" ht="24.95" customHeight="1" x14ac:dyDescent="0.25"/>
    <row r="923" ht="24.95" customHeight="1" x14ac:dyDescent="0.25"/>
    <row r="924" ht="24.95" customHeight="1" x14ac:dyDescent="0.25"/>
    <row r="925" ht="24.95" customHeight="1" x14ac:dyDescent="0.25"/>
    <row r="926" ht="24.95" customHeight="1" x14ac:dyDescent="0.25"/>
    <row r="927" ht="24.95" customHeight="1" x14ac:dyDescent="0.25"/>
    <row r="928" ht="24.95" customHeight="1" x14ac:dyDescent="0.25"/>
    <row r="929" ht="24.95" customHeight="1" x14ac:dyDescent="0.25"/>
    <row r="930" ht="24.95" customHeight="1" x14ac:dyDescent="0.25"/>
    <row r="931" ht="24.95" customHeight="1" x14ac:dyDescent="0.25"/>
    <row r="932" ht="24.95" customHeight="1" x14ac:dyDescent="0.25"/>
    <row r="933" ht="24.95" customHeight="1" x14ac:dyDescent="0.25"/>
    <row r="934" ht="24.95" customHeight="1" x14ac:dyDescent="0.25"/>
    <row r="935" ht="24.95" customHeight="1" x14ac:dyDescent="0.25"/>
    <row r="936" ht="24.95" customHeight="1" x14ac:dyDescent="0.25"/>
    <row r="937" ht="24.95" customHeight="1" x14ac:dyDescent="0.25"/>
    <row r="938" ht="24.95" customHeight="1" x14ac:dyDescent="0.25"/>
    <row r="939" ht="24.95" customHeight="1" x14ac:dyDescent="0.25"/>
    <row r="940" ht="24.95" customHeight="1" x14ac:dyDescent="0.25"/>
    <row r="941" ht="24.95" customHeight="1" x14ac:dyDescent="0.25"/>
    <row r="942" ht="24.95" customHeight="1" x14ac:dyDescent="0.25"/>
    <row r="943" ht="24.95" customHeight="1" x14ac:dyDescent="0.25"/>
    <row r="944" ht="24.95" customHeight="1" x14ac:dyDescent="0.25"/>
    <row r="945" ht="24.95" customHeight="1" x14ac:dyDescent="0.25"/>
    <row r="946" ht="24.95" customHeight="1" x14ac:dyDescent="0.25"/>
    <row r="947" ht="24.95" customHeight="1" x14ac:dyDescent="0.25"/>
    <row r="948" ht="24.95" customHeight="1" x14ac:dyDescent="0.25"/>
    <row r="949" ht="24.95" customHeight="1" x14ac:dyDescent="0.25"/>
    <row r="950" ht="24.95" customHeight="1" x14ac:dyDescent="0.25"/>
    <row r="951" ht="24.95" customHeight="1" x14ac:dyDescent="0.25"/>
    <row r="952" ht="24.95" customHeight="1" x14ac:dyDescent="0.25"/>
    <row r="953" ht="24.95" customHeight="1" x14ac:dyDescent="0.25"/>
    <row r="954" ht="24.95" customHeight="1" x14ac:dyDescent="0.25"/>
    <row r="955" ht="24.95" customHeight="1" x14ac:dyDescent="0.25"/>
    <row r="956" ht="24.95" customHeight="1" x14ac:dyDescent="0.25"/>
    <row r="957" ht="24.95" customHeight="1" x14ac:dyDescent="0.25"/>
    <row r="958" ht="24.95" customHeight="1" x14ac:dyDescent="0.25"/>
    <row r="959" ht="24.95" customHeight="1" x14ac:dyDescent="0.25"/>
    <row r="960" ht="24.95" customHeight="1" x14ac:dyDescent="0.25"/>
    <row r="961" ht="24.95" customHeight="1" x14ac:dyDescent="0.25"/>
    <row r="962" ht="24.95" customHeight="1" x14ac:dyDescent="0.25"/>
    <row r="963" ht="24.95" customHeight="1" x14ac:dyDescent="0.25"/>
    <row r="964" ht="24.95" customHeight="1" x14ac:dyDescent="0.25"/>
    <row r="965" ht="24.95" customHeight="1" x14ac:dyDescent="0.25"/>
    <row r="966" ht="24.95" customHeight="1" x14ac:dyDescent="0.25"/>
    <row r="967" ht="24.95" customHeight="1" x14ac:dyDescent="0.25"/>
    <row r="968" ht="24.95" customHeight="1" x14ac:dyDescent="0.25"/>
    <row r="969" ht="24.95" customHeight="1" x14ac:dyDescent="0.25"/>
    <row r="970" ht="24.95" customHeight="1" x14ac:dyDescent="0.25"/>
    <row r="971" ht="24.95" customHeight="1" x14ac:dyDescent="0.25"/>
    <row r="972" ht="24.95" customHeight="1" x14ac:dyDescent="0.25"/>
    <row r="973" ht="24.95" customHeight="1" x14ac:dyDescent="0.25"/>
    <row r="974" ht="24.95" customHeight="1" x14ac:dyDescent="0.25"/>
    <row r="975" ht="24.95" customHeight="1" x14ac:dyDescent="0.25"/>
    <row r="976" ht="24.95" customHeight="1" x14ac:dyDescent="0.25"/>
    <row r="977" ht="24.95" customHeight="1" x14ac:dyDescent="0.25"/>
    <row r="978" ht="24.95" customHeight="1" x14ac:dyDescent="0.25"/>
    <row r="979" ht="24.95" customHeight="1" x14ac:dyDescent="0.25"/>
    <row r="980" ht="24.95" customHeight="1" x14ac:dyDescent="0.25"/>
    <row r="981" ht="24.95" customHeight="1" x14ac:dyDescent="0.25"/>
    <row r="982" ht="24.95" customHeight="1" x14ac:dyDescent="0.25"/>
    <row r="983" ht="24.95" customHeight="1" x14ac:dyDescent="0.25"/>
    <row r="984" ht="24.95" customHeight="1" x14ac:dyDescent="0.25"/>
    <row r="985" ht="24.95" customHeight="1" x14ac:dyDescent="0.25"/>
    <row r="986" ht="24.95" customHeight="1" x14ac:dyDescent="0.25"/>
    <row r="987" ht="24.95" customHeight="1" x14ac:dyDescent="0.25"/>
    <row r="988" ht="24.95" customHeight="1" x14ac:dyDescent="0.25"/>
    <row r="989" ht="24.95" customHeight="1" x14ac:dyDescent="0.25"/>
    <row r="990" ht="24.95" customHeight="1" x14ac:dyDescent="0.25"/>
    <row r="991" ht="24.95" customHeight="1" x14ac:dyDescent="0.25"/>
    <row r="992" ht="24.95" customHeight="1" x14ac:dyDescent="0.25"/>
    <row r="993" ht="24.95" customHeight="1" x14ac:dyDescent="0.25"/>
    <row r="994" ht="24.95" customHeight="1" x14ac:dyDescent="0.25"/>
    <row r="995" ht="24.95" customHeight="1" x14ac:dyDescent="0.25"/>
    <row r="996" ht="24.95" customHeight="1" x14ac:dyDescent="0.25"/>
    <row r="997" ht="24.95" customHeight="1" x14ac:dyDescent="0.25"/>
    <row r="998" ht="24.95" customHeight="1" x14ac:dyDescent="0.25"/>
    <row r="999" ht="24.95" customHeight="1" x14ac:dyDescent="0.25"/>
    <row r="1000" ht="24.95" customHeight="1" x14ac:dyDescent="0.25"/>
    <row r="1001" ht="24.95" customHeight="1" x14ac:dyDescent="0.25"/>
  </sheetData>
  <autoFilter ref="B1:HI1" xr:uid="{00000000-0009-0000-0000-000007000000}">
    <sortState xmlns:xlrd2="http://schemas.microsoft.com/office/spreadsheetml/2017/richdata2" ref="B2:HI12">
      <sortCondition ref="B1"/>
    </sortState>
  </autoFilter>
  <phoneticPr fontId="52" type="noConversion"/>
  <conditionalFormatting sqref="CQ1:CQ1048576">
    <cfRule type="iconSet" priority="411">
      <iconSet iconSet="5Arrows">
        <cfvo type="percent" val="0"/>
        <cfvo type="percent" val="20"/>
        <cfvo type="percent" val="40"/>
        <cfvo type="percent" val="60"/>
        <cfvo type="percent" val="80"/>
      </iconSet>
    </cfRule>
    <cfRule type="colorScale" priority="677">
      <colorScale>
        <cfvo type="min"/>
        <cfvo type="percentile" val="50"/>
        <cfvo type="max"/>
        <color rgb="FFF8696B"/>
        <color rgb="FFFFEB84"/>
        <color rgb="FF63BE7B"/>
      </colorScale>
    </cfRule>
  </conditionalFormatting>
  <conditionalFormatting sqref="CR1:CR1048576">
    <cfRule type="colorScale" priority="794">
      <colorScale>
        <cfvo type="min"/>
        <cfvo type="percentile" val="50"/>
        <cfvo type="max"/>
        <color rgb="FFF8696B"/>
        <color rgb="FFFFEB84"/>
        <color rgb="FF63BE7B"/>
      </colorScale>
    </cfRule>
  </conditionalFormatting>
  <conditionalFormatting sqref="CS1:CS1048576">
    <cfRule type="iconSet" priority="410">
      <iconSet iconSet="5Arrows">
        <cfvo type="percent" val="0"/>
        <cfvo type="percent" val="20"/>
        <cfvo type="percent" val="40"/>
        <cfvo type="percent" val="60"/>
        <cfvo type="percent" val="80"/>
      </iconSet>
    </cfRule>
    <cfRule type="colorScale" priority="793">
      <colorScale>
        <cfvo type="min"/>
        <cfvo type="percentile" val="50"/>
        <cfvo type="max"/>
        <color rgb="FFF8696B"/>
        <color rgb="FFFFEB84"/>
        <color rgb="FF63BE7B"/>
      </colorScale>
    </cfRule>
  </conditionalFormatting>
  <conditionalFormatting sqref="CT1:CT1048576">
    <cfRule type="colorScale" priority="792">
      <colorScale>
        <cfvo type="min"/>
        <cfvo type="percentile" val="50"/>
        <cfvo type="max"/>
        <color rgb="FFF8696B"/>
        <color rgb="FFFFEB84"/>
        <color rgb="FF63BE7B"/>
      </colorScale>
    </cfRule>
  </conditionalFormatting>
  <conditionalFormatting sqref="CU1:CU1048576">
    <cfRule type="colorScale" priority="719">
      <colorScale>
        <cfvo type="min"/>
        <cfvo type="percentile" val="50"/>
        <cfvo type="max"/>
        <color rgb="FFF8696B"/>
        <color rgb="FFFFEB84"/>
        <color rgb="FF63BE7B"/>
      </colorScale>
    </cfRule>
  </conditionalFormatting>
  <conditionalFormatting sqref="CX1">
    <cfRule type="colorScale" priority="788">
      <colorScale>
        <cfvo type="min"/>
        <cfvo type="percentile" val="50"/>
        <cfvo type="max"/>
        <color rgb="FFF8696B"/>
        <color rgb="FFFFEB84"/>
        <color rgb="FF63BE7B"/>
      </colorScale>
    </cfRule>
  </conditionalFormatting>
  <conditionalFormatting sqref="CY1">
    <cfRule type="colorScale" priority="787">
      <colorScale>
        <cfvo type="min"/>
        <cfvo type="percentile" val="50"/>
        <cfvo type="max"/>
        <color rgb="FFF8696B"/>
        <color rgb="FFFFEB84"/>
        <color rgb="FF63BE7B"/>
      </colorScale>
    </cfRule>
  </conditionalFormatting>
  <conditionalFormatting sqref="CZ1">
    <cfRule type="colorScale" priority="786">
      <colorScale>
        <cfvo type="min"/>
        <cfvo type="percentile" val="50"/>
        <cfvo type="max"/>
        <color rgb="FFF8696B"/>
        <color rgb="FFFFEB84"/>
        <color rgb="FF63BE7B"/>
      </colorScale>
    </cfRule>
  </conditionalFormatting>
  <conditionalFormatting sqref="DB1:DB1048576">
    <cfRule type="iconSet" priority="408">
      <iconSet iconSet="3Arrows">
        <cfvo type="percent" val="0"/>
        <cfvo type="percent" val="33"/>
        <cfvo type="percent" val="67"/>
      </iconSet>
    </cfRule>
    <cfRule type="colorScale" priority="784">
      <colorScale>
        <cfvo type="min"/>
        <cfvo type="percentile" val="50"/>
        <cfvo type="max"/>
        <color rgb="FFF8696B"/>
        <color rgb="FFFFEB84"/>
        <color rgb="FF63BE7B"/>
      </colorScale>
    </cfRule>
  </conditionalFormatting>
  <conditionalFormatting sqref="CY1:DA1048576">
    <cfRule type="colorScale" priority="783">
      <colorScale>
        <cfvo type="min"/>
        <cfvo type="percentile" val="50"/>
        <cfvo type="max"/>
        <color rgb="FFF8696B"/>
        <color rgb="FFFFEB84"/>
        <color rgb="FF63BE7B"/>
      </colorScale>
    </cfRule>
  </conditionalFormatting>
  <conditionalFormatting sqref="DA1:DA1048576">
    <cfRule type="iconSet" priority="409">
      <iconSet iconSet="3Arrows">
        <cfvo type="percent" val="0"/>
        <cfvo type="percent" val="33"/>
        <cfvo type="percent" val="67"/>
      </iconSet>
    </cfRule>
    <cfRule type="colorScale" priority="782">
      <colorScale>
        <cfvo type="min"/>
        <cfvo type="percentile" val="50"/>
        <cfvo type="max"/>
        <color rgb="FFF8696B"/>
        <color rgb="FFFFEB84"/>
        <color rgb="FF63BE7B"/>
      </colorScale>
    </cfRule>
  </conditionalFormatting>
  <conditionalFormatting sqref="CZ1:CZ1048576">
    <cfRule type="colorScale" priority="722">
      <colorScale>
        <cfvo type="min"/>
        <cfvo type="percentile" val="50"/>
        <cfvo type="max"/>
        <color rgb="FFF8696B"/>
        <color rgb="FFFFEB84"/>
        <color rgb="FF63BE7B"/>
      </colorScale>
    </cfRule>
  </conditionalFormatting>
  <conditionalFormatting sqref="CY1:CY1048576">
    <cfRule type="colorScale" priority="616">
      <colorScale>
        <cfvo type="min"/>
        <cfvo type="percentile" val="50"/>
        <cfvo type="max"/>
        <color rgb="FFF8696B"/>
        <color rgb="FFFFEB84"/>
        <color rgb="FF63BE7B"/>
      </colorScale>
    </cfRule>
  </conditionalFormatting>
  <conditionalFormatting sqref="CX1:CX1048576">
    <cfRule type="iconSet" priority="415">
      <iconSet iconSet="3Arrows">
        <cfvo type="percent" val="0"/>
        <cfvo type="percent" val="33"/>
        <cfvo type="percent" val="67"/>
      </iconSet>
    </cfRule>
    <cfRule type="colorScale" priority="779">
      <colorScale>
        <cfvo type="min"/>
        <cfvo type="percentile" val="50"/>
        <cfvo type="max"/>
        <color rgb="FFF8696B"/>
        <color rgb="FFFFEB84"/>
        <color rgb="FF63BE7B"/>
      </colorScale>
    </cfRule>
  </conditionalFormatting>
  <conditionalFormatting sqref="CG1:CG1048576">
    <cfRule type="iconSet" priority="184">
      <iconSet iconSet="3ArrowsGray">
        <cfvo type="percent" val="0"/>
        <cfvo type="percent" val="33"/>
        <cfvo type="percent" val="67"/>
      </iconSet>
    </cfRule>
    <cfRule type="colorScale" priority="496">
      <colorScale>
        <cfvo type="min"/>
        <cfvo type="percentile" val="50"/>
        <cfvo type="max"/>
        <color theme="4" tint="0.79998168889431442"/>
        <color theme="4" tint="0.39997558519241921"/>
        <color rgb="FF0085B4"/>
      </colorScale>
    </cfRule>
  </conditionalFormatting>
  <conditionalFormatting sqref="CJ1:CK1048576">
    <cfRule type="colorScale" priority="767">
      <colorScale>
        <cfvo type="min"/>
        <cfvo type="percentile" val="50"/>
        <cfvo type="max"/>
        <color rgb="FFF8696B"/>
        <color rgb="FFFFEB84"/>
        <color rgb="FF63BE7B"/>
      </colorScale>
    </cfRule>
  </conditionalFormatting>
  <conditionalFormatting sqref="CH1:CI1048576">
    <cfRule type="colorScale" priority="766">
      <colorScale>
        <cfvo type="min"/>
        <cfvo type="percentile" val="50"/>
        <cfvo type="max"/>
        <color rgb="FFF8696B"/>
        <color rgb="FFFFEB84"/>
        <color rgb="FF63BE7B"/>
      </colorScale>
    </cfRule>
  </conditionalFormatting>
  <conditionalFormatting sqref="CP1:CP1048576">
    <cfRule type="colorScale" priority="530">
      <colorScale>
        <cfvo type="min"/>
        <cfvo type="percentile" val="50"/>
        <cfvo type="max"/>
        <color rgb="FFF8696B"/>
        <color rgb="FFFFEB84"/>
        <color rgb="FF63BE7B"/>
      </colorScale>
    </cfRule>
  </conditionalFormatting>
  <conditionalFormatting sqref="BO2:BO1048576">
    <cfRule type="colorScale" priority="747">
      <colorScale>
        <cfvo type="min"/>
        <cfvo type="percentile" val="50"/>
        <cfvo type="max"/>
        <color rgb="FFF8696B"/>
        <color rgb="FFFFEB84"/>
        <color rgb="FF63BE7B"/>
      </colorScale>
    </cfRule>
  </conditionalFormatting>
  <conditionalFormatting sqref="BO1">
    <cfRule type="colorScale" priority="746">
      <colorScale>
        <cfvo type="min"/>
        <cfvo type="percentile" val="50"/>
        <cfvo type="max"/>
        <color rgb="FFF8696B"/>
        <color rgb="FFFFEB84"/>
        <color rgb="FF63BE7B"/>
      </colorScale>
    </cfRule>
  </conditionalFormatting>
  <conditionalFormatting sqref="BO1:BO1048576">
    <cfRule type="iconSet" priority="384">
      <iconSet iconSet="5Arrows">
        <cfvo type="percent" val="0"/>
        <cfvo type="percent" val="20"/>
        <cfvo type="percent" val="40"/>
        <cfvo type="percent" val="60"/>
        <cfvo type="percent" val="80"/>
      </iconSet>
    </cfRule>
    <cfRule type="colorScale" priority="508">
      <colorScale>
        <cfvo type="min"/>
        <cfvo type="percentile" val="50"/>
        <cfvo type="max"/>
        <color rgb="FFF8696B"/>
        <color rgb="FFFFEB84"/>
        <color rgb="FF63BE7B"/>
      </colorScale>
    </cfRule>
  </conditionalFormatting>
  <conditionalFormatting sqref="H2:H11">
    <cfRule type="colorScale" priority="718">
      <colorScale>
        <cfvo type="num" val="0"/>
        <cfvo type="num" val="31"/>
        <cfvo type="num" val="32"/>
        <color theme="7" tint="0.79998168889431442"/>
        <color rgb="FFFFEB84"/>
        <color rgb="FFFF0000"/>
      </colorScale>
    </cfRule>
  </conditionalFormatting>
  <conditionalFormatting sqref="H1">
    <cfRule type="colorScale" priority="716">
      <colorScale>
        <cfvo type="min"/>
        <cfvo type="percentile" val="50"/>
        <cfvo type="max"/>
        <color rgb="FFF8696B"/>
        <color rgb="FFFFEB84"/>
        <color rgb="FF63BE7B"/>
      </colorScale>
    </cfRule>
  </conditionalFormatting>
  <conditionalFormatting sqref="H1">
    <cfRule type="colorScale" priority="715">
      <colorScale>
        <cfvo type="min"/>
        <cfvo type="percentile" val="50"/>
        <cfvo type="max"/>
        <color rgb="FF63BE7B"/>
        <color rgb="FFFFEB84"/>
        <color rgb="FFF8696B"/>
      </colorScale>
    </cfRule>
  </conditionalFormatting>
  <conditionalFormatting sqref="H1:H1048576">
    <cfRule type="colorScale" priority="714">
      <colorScale>
        <cfvo type="min"/>
        <cfvo type="percentile" val="50"/>
        <cfvo type="max"/>
        <color rgb="FF63BE7B"/>
        <color rgb="FFFFEB84"/>
        <color rgb="FFF8696B"/>
      </colorScale>
    </cfRule>
  </conditionalFormatting>
  <conditionalFormatting sqref="DK1:DL1048576">
    <cfRule type="colorScale" priority="672">
      <colorScale>
        <cfvo type="min"/>
        <cfvo type="percentile" val="50"/>
        <cfvo type="max"/>
        <color rgb="FFF8696B"/>
        <color rgb="FFFFEB84"/>
        <color rgb="FF63BE7B"/>
      </colorScale>
    </cfRule>
  </conditionalFormatting>
  <conditionalFormatting sqref="DK1:DK1048576">
    <cfRule type="iconSet" priority="375">
      <iconSet iconSet="5Arrows">
        <cfvo type="percent" val="0"/>
        <cfvo type="percent" val="20"/>
        <cfvo type="percent" val="40"/>
        <cfvo type="percent" val="60"/>
        <cfvo type="percent" val="80"/>
      </iconSet>
    </cfRule>
    <cfRule type="colorScale" priority="628">
      <colorScale>
        <cfvo type="min"/>
        <cfvo type="percentile" val="50"/>
        <cfvo type="max"/>
        <color rgb="FFF8696B"/>
        <color rgb="FFFFEB84"/>
        <color rgb="FF63BE7B"/>
      </colorScale>
    </cfRule>
  </conditionalFormatting>
  <conditionalFormatting sqref="DL1:DL1048576">
    <cfRule type="colorScale" priority="629">
      <colorScale>
        <cfvo type="min"/>
        <cfvo type="percentile" val="50"/>
        <cfvo type="max"/>
        <color rgb="FFF8696B"/>
        <color rgb="FFFFEB84"/>
        <color rgb="FF63BE7B"/>
      </colorScale>
    </cfRule>
  </conditionalFormatting>
  <conditionalFormatting sqref="DL1">
    <cfRule type="colorScale" priority="644">
      <colorScale>
        <cfvo type="min"/>
        <cfvo type="percentile" val="50"/>
        <cfvo type="max"/>
        <color rgb="FFF8696B"/>
        <color rgb="FFFFEB84"/>
        <color rgb="FF63BE7B"/>
      </colorScale>
    </cfRule>
  </conditionalFormatting>
  <conditionalFormatting sqref="DL1">
    <cfRule type="colorScale" priority="643">
      <colorScale>
        <cfvo type="min"/>
        <cfvo type="percentile" val="50"/>
        <cfvo type="max"/>
        <color rgb="FFF8696B"/>
        <color rgb="FFFFEB84"/>
        <color rgb="FF63BE7B"/>
      </colorScale>
    </cfRule>
  </conditionalFormatting>
  <conditionalFormatting sqref="DO1">
    <cfRule type="colorScale" priority="642">
      <colorScale>
        <cfvo type="min"/>
        <cfvo type="percentile" val="50"/>
        <cfvo type="max"/>
        <color rgb="FFF8696B"/>
        <color rgb="FFFFEB84"/>
        <color rgb="FF63BE7B"/>
      </colorScale>
    </cfRule>
  </conditionalFormatting>
  <conditionalFormatting sqref="DO1">
    <cfRule type="colorScale" priority="640">
      <colorScale>
        <cfvo type="min"/>
        <cfvo type="max"/>
        <color rgb="FFFFEF9C"/>
        <color rgb="FF63BE7B"/>
      </colorScale>
    </cfRule>
    <cfRule type="colorScale" priority="641">
      <colorScale>
        <cfvo type="min"/>
        <cfvo type="percentile" val="50"/>
        <cfvo type="max"/>
        <color rgb="FFF8696B"/>
        <color rgb="FFFFEB84"/>
        <color rgb="FF63BE7B"/>
      </colorScale>
    </cfRule>
  </conditionalFormatting>
  <conditionalFormatting sqref="AS1:AS1048576">
    <cfRule type="colorScale" priority="376">
      <colorScale>
        <cfvo type="percent" val="39.999000000000002"/>
        <cfvo type="percentile" val="49.999899999999997"/>
        <cfvo type="percent" val="50"/>
        <color rgb="FFF8696B"/>
        <color rgb="FFFFEB84"/>
        <color rgb="FF63BE7B"/>
      </colorScale>
    </cfRule>
    <cfRule type="iconSet" priority="406">
      <iconSet iconSet="5Arrows">
        <cfvo type="percent" val="0"/>
        <cfvo type="percent" val="39.99"/>
        <cfvo type="percent" val="40"/>
        <cfvo type="percent" val="45"/>
        <cfvo type="percent" val="50"/>
      </iconSet>
    </cfRule>
  </conditionalFormatting>
  <conditionalFormatting sqref="DC1:DC1048576">
    <cfRule type="colorScale" priority="559">
      <colorScale>
        <cfvo type="min"/>
        <cfvo type="percentile" val="50"/>
        <cfvo type="max"/>
        <color rgb="FFF8696B"/>
        <color rgb="FFFFEB84"/>
        <color rgb="FF63BE7B"/>
      </colorScale>
    </cfRule>
  </conditionalFormatting>
  <conditionalFormatting sqref="AC1:AC1048576">
    <cfRule type="dataBar" priority="382">
      <dataBar>
        <cfvo type="min"/>
        <cfvo type="max"/>
        <color rgb="FF008AEF"/>
      </dataBar>
      <extLst>
        <ext xmlns:x14="http://schemas.microsoft.com/office/spreadsheetml/2009/9/main" uri="{B025F937-C7B1-47D3-B67F-A62EFF666E3E}">
          <x14:id>{E535262B-D53E-42C8-9D2C-16F197CDE5FD}</x14:id>
        </ext>
      </extLst>
    </cfRule>
    <cfRule type="colorScale" priority="552">
      <colorScale>
        <cfvo type="min"/>
        <cfvo type="percentile" val="50"/>
        <cfvo type="max"/>
        <color rgb="FFF8696B"/>
        <color theme="4" tint="0.79998168889431442"/>
        <color rgb="FF00B0F0"/>
      </colorScale>
    </cfRule>
  </conditionalFormatting>
  <conditionalFormatting sqref="AD1:AD1048576">
    <cfRule type="dataBar" priority="381">
      <dataBar>
        <cfvo type="min"/>
        <cfvo type="max"/>
        <color rgb="FF008AEF"/>
      </dataBar>
      <extLst>
        <ext xmlns:x14="http://schemas.microsoft.com/office/spreadsheetml/2009/9/main" uri="{B025F937-C7B1-47D3-B67F-A62EFF666E3E}">
          <x14:id>{F4307ECE-DDFB-4EED-8CCD-5828CE10257A}</x14:id>
        </ext>
      </extLst>
    </cfRule>
    <cfRule type="colorScale" priority="551">
      <colorScale>
        <cfvo type="min"/>
        <cfvo type="percentile" val="50"/>
        <cfvo type="max"/>
        <color rgb="FFF8696B"/>
        <color theme="4" tint="0.79998168889431442"/>
        <color rgb="FF00B0F0"/>
      </colorScale>
    </cfRule>
  </conditionalFormatting>
  <conditionalFormatting sqref="AE1:AE1048576">
    <cfRule type="dataBar" priority="380">
      <dataBar>
        <cfvo type="min"/>
        <cfvo type="max"/>
        <color rgb="FF008AEF"/>
      </dataBar>
      <extLst>
        <ext xmlns:x14="http://schemas.microsoft.com/office/spreadsheetml/2009/9/main" uri="{B025F937-C7B1-47D3-B67F-A62EFF666E3E}">
          <x14:id>{EC63933C-443B-4657-A399-F99D38004296}</x14:id>
        </ext>
      </extLst>
    </cfRule>
    <cfRule type="colorScale" priority="550">
      <colorScale>
        <cfvo type="min"/>
        <cfvo type="percentile" val="50"/>
        <cfvo type="max"/>
        <color rgb="FFF8696B"/>
        <color theme="4" tint="0.79998168889431442"/>
        <color rgb="FF00B0F0"/>
      </colorScale>
    </cfRule>
  </conditionalFormatting>
  <conditionalFormatting sqref="AF1:AF1048576">
    <cfRule type="dataBar" priority="421">
      <dataBar>
        <cfvo type="min"/>
        <cfvo type="max"/>
        <color rgb="FF008AEF"/>
      </dataBar>
      <extLst>
        <ext xmlns:x14="http://schemas.microsoft.com/office/spreadsheetml/2009/9/main" uri="{B025F937-C7B1-47D3-B67F-A62EFF666E3E}">
          <x14:id>{0BA079DB-7021-4E66-B11E-668B4097DCC9}</x14:id>
        </ext>
      </extLst>
    </cfRule>
    <cfRule type="colorScale" priority="549">
      <colorScale>
        <cfvo type="min"/>
        <cfvo type="percentile" val="50"/>
        <cfvo type="max"/>
        <color rgb="FFF8696B"/>
        <color theme="4" tint="0.79998168889431442"/>
        <color rgb="FF00B0F0"/>
      </colorScale>
    </cfRule>
  </conditionalFormatting>
  <conditionalFormatting sqref="AG1:AG1048576">
    <cfRule type="dataBar" priority="420">
      <dataBar>
        <cfvo type="min"/>
        <cfvo type="max"/>
        <color rgb="FF008AEF"/>
      </dataBar>
      <extLst>
        <ext xmlns:x14="http://schemas.microsoft.com/office/spreadsheetml/2009/9/main" uri="{B025F937-C7B1-47D3-B67F-A62EFF666E3E}">
          <x14:id>{139F3135-4876-475D-B8CB-4675C9108B0A}</x14:id>
        </ext>
      </extLst>
    </cfRule>
    <cfRule type="colorScale" priority="548">
      <colorScale>
        <cfvo type="min"/>
        <cfvo type="percentile" val="50"/>
        <cfvo type="max"/>
        <color rgb="FFF8696B"/>
        <color theme="4" tint="0.79998168889431442"/>
        <color rgb="FF00B0F0"/>
      </colorScale>
    </cfRule>
  </conditionalFormatting>
  <conditionalFormatting sqref="CO1:CO1048576">
    <cfRule type="iconSet" priority="466">
      <iconSet iconSet="5Arrows">
        <cfvo type="percent" val="0"/>
        <cfvo type="percent" val="20"/>
        <cfvo type="percent" val="40"/>
        <cfvo type="percent" val="60"/>
        <cfvo type="percent" val="80"/>
      </iconSet>
    </cfRule>
    <cfRule type="colorScale" priority="468">
      <colorScale>
        <cfvo type="min"/>
        <cfvo type="percentile" val="50"/>
        <cfvo type="max"/>
        <color rgb="FFF8696B"/>
        <color rgb="FFFFEB84"/>
        <color rgb="FF63BE7B"/>
      </colorScale>
    </cfRule>
  </conditionalFormatting>
  <conditionalFormatting sqref="BM1:BN1">
    <cfRule type="colorScale" priority="525">
      <colorScale>
        <cfvo type="min"/>
        <cfvo type="percentile" val="50"/>
        <cfvo type="max"/>
        <color rgb="FFF8696B"/>
        <color rgb="FFFFEB84"/>
        <color rgb="FF63BE7B"/>
      </colorScale>
    </cfRule>
  </conditionalFormatting>
  <conditionalFormatting sqref="BM1:BN1">
    <cfRule type="colorScale" priority="524">
      <colorScale>
        <cfvo type="min"/>
        <cfvo type="percentile" val="50"/>
        <cfvo type="max"/>
        <color rgb="FFF8696B"/>
        <color rgb="FFFFEB84"/>
        <color rgb="FF63BE7B"/>
      </colorScale>
    </cfRule>
  </conditionalFormatting>
  <conditionalFormatting sqref="BM1:BM1048576">
    <cfRule type="colorScale" priority="513">
      <colorScale>
        <cfvo type="min"/>
        <cfvo type="max"/>
        <color rgb="FFFCFCFF"/>
        <color rgb="FFF8696B"/>
      </colorScale>
    </cfRule>
    <cfRule type="colorScale" priority="518">
      <colorScale>
        <cfvo type="min"/>
        <cfvo type="percentile" val="50"/>
        <cfvo type="max"/>
        <color rgb="FFF8696B"/>
        <color rgb="FFFFEB84"/>
        <color rgb="FF63BE7B"/>
      </colorScale>
    </cfRule>
  </conditionalFormatting>
  <conditionalFormatting sqref="BN1:BN1048576">
    <cfRule type="colorScale" priority="517">
      <colorScale>
        <cfvo type="min"/>
        <cfvo type="percentile" val="50"/>
        <cfvo type="max"/>
        <color rgb="FFF8696B"/>
        <color rgb="FFFFEB84"/>
        <color rgb="FF63BE7B"/>
      </colorScale>
    </cfRule>
  </conditionalFormatting>
  <conditionalFormatting sqref="BP1:BQ1048576">
    <cfRule type="colorScale" priority="512">
      <colorScale>
        <cfvo type="min"/>
        <cfvo type="percentile" val="50"/>
        <cfvo type="max"/>
        <color rgb="FFF8696B"/>
        <color rgb="FFFFEB84"/>
        <color rgb="FF63BE7B"/>
      </colorScale>
    </cfRule>
  </conditionalFormatting>
  <conditionalFormatting sqref="BP1:BP1048576">
    <cfRule type="iconSet" priority="418">
      <iconSet iconSet="3Arrows">
        <cfvo type="percent" val="0"/>
        <cfvo type="percent" val="33"/>
        <cfvo type="percent" val="67"/>
      </iconSet>
    </cfRule>
    <cfRule type="colorScale" priority="509">
      <colorScale>
        <cfvo type="min"/>
        <cfvo type="percentile" val="50"/>
        <cfvo type="max"/>
        <color rgb="FFF8696B"/>
        <color rgb="FFFFEB84"/>
        <color rgb="FF63BE7B"/>
      </colorScale>
    </cfRule>
  </conditionalFormatting>
  <conditionalFormatting sqref="BQ1:BQ1048576">
    <cfRule type="iconSet" priority="419">
      <iconSet iconSet="3Arrows">
        <cfvo type="percent" val="0"/>
        <cfvo type="percent" val="33"/>
        <cfvo type="percent" val="67"/>
      </iconSet>
    </cfRule>
    <cfRule type="colorScale" priority="507">
      <colorScale>
        <cfvo type="min"/>
        <cfvo type="percentile" val="50"/>
        <cfvo type="max"/>
        <color rgb="FFF8696B"/>
        <color rgb="FFFFEB84"/>
        <color rgb="FF63BE7B"/>
      </colorScale>
    </cfRule>
  </conditionalFormatting>
  <conditionalFormatting sqref="BR1:BR1048576">
    <cfRule type="iconSet" priority="387">
      <iconSet iconSet="5Arrows">
        <cfvo type="percent" val="0"/>
        <cfvo type="percent" val="20"/>
        <cfvo type="percent" val="40"/>
        <cfvo type="percent" val="60"/>
        <cfvo type="percent" val="80"/>
      </iconSet>
    </cfRule>
    <cfRule type="colorScale" priority="503">
      <colorScale>
        <cfvo type="min"/>
        <cfvo type="percentile" val="50"/>
        <cfvo type="max"/>
        <color rgb="FFF8696B"/>
        <color rgb="FFFFEB84"/>
        <color rgb="FF63BE7B"/>
      </colorScale>
    </cfRule>
  </conditionalFormatting>
  <conditionalFormatting sqref="CH1:CH1048576">
    <cfRule type="iconSet" priority="402">
      <iconSet iconSet="5Arrows">
        <cfvo type="percent" val="0"/>
        <cfvo type="percent" val="20"/>
        <cfvo type="percent" val="40"/>
        <cfvo type="percent" val="60"/>
        <cfvo type="percent" val="80"/>
      </iconSet>
    </cfRule>
    <cfRule type="iconSet" priority="423">
      <iconSet iconSet="3Arrows">
        <cfvo type="percent" val="0"/>
        <cfvo type="percent" val="33"/>
        <cfvo type="percent" val="67"/>
      </iconSet>
    </cfRule>
    <cfRule type="colorScale" priority="491">
      <colorScale>
        <cfvo type="min"/>
        <cfvo type="percentile" val="50"/>
        <cfvo type="max"/>
        <color rgb="FFF8696B"/>
        <color rgb="FFFFEB84"/>
        <color rgb="FF63BE7B"/>
      </colorScale>
    </cfRule>
  </conditionalFormatting>
  <conditionalFormatting sqref="CI1:CI1048576">
    <cfRule type="colorScale" priority="490">
      <colorScale>
        <cfvo type="min"/>
        <cfvo type="percentile" val="50"/>
        <cfvo type="max"/>
        <color rgb="FFF8696B"/>
        <color rgb="FFFFEB84"/>
        <color rgb="FF63BE7B"/>
      </colorScale>
    </cfRule>
  </conditionalFormatting>
  <conditionalFormatting sqref="CJ1:CJ1048576">
    <cfRule type="iconSet" priority="401">
      <iconSet iconSet="5Arrows">
        <cfvo type="percent" val="0"/>
        <cfvo type="percent" val="20"/>
        <cfvo type="percent" val="40"/>
        <cfvo type="percent" val="60"/>
        <cfvo type="percent" val="80"/>
      </iconSet>
    </cfRule>
    <cfRule type="iconSet" priority="422">
      <iconSet iconSet="3Arrows">
        <cfvo type="percent" val="0"/>
        <cfvo type="percent" val="33"/>
        <cfvo type="percent" val="67"/>
      </iconSet>
    </cfRule>
    <cfRule type="colorScale" priority="489">
      <colorScale>
        <cfvo type="min"/>
        <cfvo type="percentile" val="50"/>
        <cfvo type="max"/>
        <color rgb="FFF8696B"/>
        <color rgb="FFFFEB84"/>
        <color rgb="FF63BE7B"/>
      </colorScale>
    </cfRule>
  </conditionalFormatting>
  <conditionalFormatting sqref="CK1:CK1048576">
    <cfRule type="iconSet" priority="400">
      <iconSet iconSet="5Arrows">
        <cfvo type="percent" val="0"/>
        <cfvo type="percent" val="20"/>
        <cfvo type="percent" val="40"/>
        <cfvo type="percent" val="60"/>
        <cfvo type="percent" val="80"/>
      </iconSet>
    </cfRule>
    <cfRule type="colorScale" priority="488">
      <colorScale>
        <cfvo type="min"/>
        <cfvo type="percentile" val="50"/>
        <cfvo type="max"/>
        <color rgb="FFF8696B"/>
        <color rgb="FFFFEB84"/>
        <color rgb="FF63BE7B"/>
      </colorScale>
    </cfRule>
  </conditionalFormatting>
  <conditionalFormatting sqref="CN1">
    <cfRule type="colorScale" priority="478">
      <colorScale>
        <cfvo type="min"/>
        <cfvo type="percentile" val="50"/>
        <cfvo type="max"/>
        <color rgb="FFF8696B"/>
        <color rgb="FFFFEB84"/>
        <color rgb="FF63BE7B"/>
      </colorScale>
    </cfRule>
  </conditionalFormatting>
  <conditionalFormatting sqref="CM1">
    <cfRule type="colorScale" priority="479">
      <colorScale>
        <cfvo type="min"/>
        <cfvo type="percentile" val="50"/>
        <cfvo type="max"/>
        <color rgb="FFF8696B"/>
        <color rgb="FFFFEB84"/>
        <color rgb="FF63BE7B"/>
      </colorScale>
    </cfRule>
  </conditionalFormatting>
  <conditionalFormatting sqref="CL1:CL1048576">
    <cfRule type="colorScale" priority="475">
      <colorScale>
        <cfvo type="min"/>
        <cfvo type="percentile" val="50"/>
        <cfvo type="max"/>
        <color theme="4" tint="0.79998168889431442"/>
        <color theme="4" tint="0.39997558519241921"/>
        <color rgb="FF0085B4"/>
      </colorScale>
    </cfRule>
  </conditionalFormatting>
  <conditionalFormatting sqref="CM1:CM1048576">
    <cfRule type="iconSet" priority="467">
      <iconSet iconSet="5Arrows">
        <cfvo type="percent" val="0"/>
        <cfvo type="percent" val="20"/>
        <cfvo type="percent" val="40"/>
        <cfvo type="percent" val="60"/>
        <cfvo type="percent" val="80"/>
      </iconSet>
    </cfRule>
    <cfRule type="colorScale" priority="472">
      <colorScale>
        <cfvo type="min"/>
        <cfvo type="percentile" val="50"/>
        <cfvo type="max"/>
        <color rgb="FFF8696B"/>
        <color rgb="FFFFEB84"/>
        <color rgb="FF63BE7B"/>
      </colorScale>
    </cfRule>
  </conditionalFormatting>
  <conditionalFormatting sqref="CN1:CN1048576">
    <cfRule type="colorScale" priority="469">
      <colorScale>
        <cfvo type="min"/>
        <cfvo type="percentile" val="50"/>
        <cfvo type="max"/>
        <color rgb="FFF8696B"/>
        <color rgb="FFFFEB84"/>
        <color rgb="FF63BE7B"/>
      </colorScale>
    </cfRule>
  </conditionalFormatting>
  <conditionalFormatting sqref="DP1:DP1048576">
    <cfRule type="iconSet" priority="433">
      <iconSet iconSet="3Arrows">
        <cfvo type="percent" val="0"/>
        <cfvo type="percent" val="33"/>
        <cfvo type="percent" val="67"/>
      </iconSet>
    </cfRule>
    <cfRule type="colorScale" priority="434">
      <colorScale>
        <cfvo type="min"/>
        <cfvo type="percentile" val="50"/>
        <cfvo type="max"/>
        <color rgb="FFF8696B"/>
        <color rgb="FFFFEB84"/>
        <color rgb="FF63BE7B"/>
      </colorScale>
    </cfRule>
  </conditionalFormatting>
  <conditionalFormatting sqref="DO1:DO1048576">
    <cfRule type="colorScale" priority="455">
      <colorScale>
        <cfvo type="min"/>
        <cfvo type="percentile" val="50"/>
        <cfvo type="max"/>
        <color rgb="FFF8696B"/>
        <color rgb="FFFFEB84"/>
        <color rgb="FF63BE7B"/>
      </colorScale>
    </cfRule>
  </conditionalFormatting>
  <conditionalFormatting sqref="EN2:EN1048576">
    <cfRule type="colorScale" priority="451">
      <colorScale>
        <cfvo type="min"/>
        <cfvo type="percentile" val="50"/>
        <cfvo type="max"/>
        <color rgb="FFF8696B"/>
        <color rgb="FFFFEB84"/>
        <color rgb="FF63BE7B"/>
      </colorScale>
    </cfRule>
  </conditionalFormatting>
  <conditionalFormatting sqref="EM1">
    <cfRule type="iconSet" priority="447">
      <iconSet iconSet="4Arrows" reverse="1">
        <cfvo type="percent" val="0"/>
        <cfvo type="percent" val="25"/>
        <cfvo type="percent" val="50"/>
        <cfvo type="percent" val="75"/>
      </iconSet>
    </cfRule>
    <cfRule type="colorScale" priority="448">
      <colorScale>
        <cfvo type="min"/>
        <cfvo type="percentile" val="50"/>
        <cfvo type="max"/>
        <color rgb="FF63BE7B"/>
        <color rgb="FFFFEB84"/>
        <color rgb="FFF8696B"/>
      </colorScale>
    </cfRule>
  </conditionalFormatting>
  <conditionalFormatting sqref="EN1">
    <cfRule type="colorScale" priority="446">
      <colorScale>
        <cfvo type="min"/>
        <cfvo type="percentile" val="50"/>
        <cfvo type="max"/>
        <color rgb="FFF8696B"/>
        <color rgb="FFFFEB84"/>
        <color rgb="FF63BE7B"/>
      </colorScale>
    </cfRule>
  </conditionalFormatting>
  <conditionalFormatting sqref="EN1">
    <cfRule type="colorScale" priority="445">
      <colorScale>
        <cfvo type="min"/>
        <cfvo type="percentile" val="50"/>
        <cfvo type="max"/>
        <color rgb="FF63BE7B"/>
        <color rgb="FFFFEB84"/>
        <color rgb="FFF8696B"/>
      </colorScale>
    </cfRule>
  </conditionalFormatting>
  <conditionalFormatting sqref="EN1">
    <cfRule type="colorScale" priority="443">
      <colorScale>
        <cfvo type="min"/>
        <cfvo type="percentile" val="50"/>
        <cfvo type="max"/>
        <color rgb="FF63BE7B"/>
        <color rgb="FFFFEB84"/>
        <color rgb="FFF8696B"/>
      </colorScale>
    </cfRule>
    <cfRule type="iconSet" priority="444">
      <iconSet iconSet="3Arrows" reverse="1">
        <cfvo type="percent" val="0"/>
        <cfvo type="percent" val="33"/>
        <cfvo type="percent" val="67"/>
      </iconSet>
    </cfRule>
  </conditionalFormatting>
  <conditionalFormatting sqref="EN1">
    <cfRule type="colorScale" priority="442">
      <colorScale>
        <cfvo type="min"/>
        <cfvo type="percentile" val="50"/>
        <cfvo type="max"/>
        <color rgb="FFF8696B"/>
        <color rgb="FFFFEB84"/>
        <color rgb="FF63BE7B"/>
      </colorScale>
    </cfRule>
  </conditionalFormatting>
  <conditionalFormatting sqref="EN1">
    <cfRule type="colorScale" priority="441">
      <colorScale>
        <cfvo type="min"/>
        <cfvo type="percentile" val="50"/>
        <cfvo type="max"/>
        <color rgb="FFF8696B"/>
        <color rgb="FFFFEB84"/>
        <color rgb="FF63BE7B"/>
      </colorScale>
    </cfRule>
  </conditionalFormatting>
  <conditionalFormatting sqref="EN1:EN1048576">
    <cfRule type="colorScale" priority="439">
      <colorScale>
        <cfvo type="min"/>
        <cfvo type="percentile" val="50"/>
        <cfvo type="max"/>
        <color rgb="FF63BE7B"/>
        <color rgb="FFFFEB84"/>
        <color rgb="FFF8696B"/>
      </colorScale>
    </cfRule>
  </conditionalFormatting>
  <conditionalFormatting sqref="BK1:BK1048576">
    <cfRule type="iconSet" priority="373">
      <iconSet iconSet="5Arrows">
        <cfvo type="percent" val="0"/>
        <cfvo type="percent" val="20"/>
        <cfvo type="percent" val="40"/>
        <cfvo type="percent" val="60"/>
        <cfvo type="percent" val="80"/>
      </iconSet>
    </cfRule>
    <cfRule type="colorScale" priority="374">
      <colorScale>
        <cfvo type="min"/>
        <cfvo type="percentile" val="50"/>
        <cfvo type="max"/>
        <color rgb="FFF8696B"/>
        <color rgb="FFFFEB84"/>
        <color rgb="FF63BE7B"/>
      </colorScale>
    </cfRule>
  </conditionalFormatting>
  <conditionalFormatting sqref="BL1:BL1048576">
    <cfRule type="iconSet" priority="371">
      <iconSet iconSet="5Arrows">
        <cfvo type="percent" val="0"/>
        <cfvo type="percent" val="20"/>
        <cfvo type="percent" val="40"/>
        <cfvo type="percent" val="60"/>
        <cfvo type="percent" val="80"/>
      </iconSet>
    </cfRule>
    <cfRule type="colorScale" priority="372">
      <colorScale>
        <cfvo type="min"/>
        <cfvo type="percentile" val="50"/>
        <cfvo type="max"/>
        <color rgb="FFF8696B"/>
        <color rgb="FFFFEB84"/>
        <color rgb="FF63BE7B"/>
      </colorScale>
    </cfRule>
  </conditionalFormatting>
  <conditionalFormatting sqref="N1:N1048576">
    <cfRule type="colorScale" priority="364">
      <colorScale>
        <cfvo type="min"/>
        <cfvo type="percentile" val="50"/>
        <cfvo type="max"/>
        <color theme="5" tint="0.79998168889431442"/>
        <color theme="5" tint="0.39997558519241921"/>
        <color theme="5" tint="-0.249977111117893"/>
      </colorScale>
    </cfRule>
    <cfRule type="iconSet" priority="367">
      <iconSet iconSet="3ArrowsGray">
        <cfvo type="percent" val="0"/>
        <cfvo type="percent" val="33"/>
        <cfvo type="percent" val="67"/>
      </iconSet>
    </cfRule>
  </conditionalFormatting>
  <conditionalFormatting sqref="O1:O1048576">
    <cfRule type="colorScale" priority="363">
      <colorScale>
        <cfvo type="min"/>
        <cfvo type="percentile" val="50"/>
        <cfvo type="max"/>
        <color theme="5" tint="-0.249977111117893"/>
        <color theme="5" tint="0.39997558519241921"/>
        <color theme="5" tint="0.79998168889431442"/>
      </colorScale>
    </cfRule>
    <cfRule type="iconSet" priority="366">
      <iconSet iconSet="3ArrowsGray" reverse="1">
        <cfvo type="percent" val="0"/>
        <cfvo type="percent" val="33"/>
        <cfvo type="percent" val="67"/>
      </iconSet>
    </cfRule>
  </conditionalFormatting>
  <conditionalFormatting sqref="P1:P1048576">
    <cfRule type="colorScale" priority="361">
      <colorScale>
        <cfvo type="min"/>
        <cfvo type="percentile" val="50"/>
        <cfvo type="max"/>
        <color theme="5" tint="0.79998168889431442"/>
        <color theme="5" tint="0.39997558519241921"/>
        <color theme="5" tint="-0.249977111117893"/>
      </colorScale>
    </cfRule>
    <cfRule type="iconSet" priority="365">
      <iconSet iconSet="3ArrowsGray">
        <cfvo type="percent" val="0"/>
        <cfvo type="percent" val="33"/>
        <cfvo type="percent" val="67"/>
      </iconSet>
    </cfRule>
  </conditionalFormatting>
  <conditionalFormatting sqref="FB1:FB1048576">
    <cfRule type="iconSet" priority="351">
      <iconSet iconSet="5Arrows">
        <cfvo type="percent" val="0"/>
        <cfvo type="percent" val="20"/>
        <cfvo type="percent" val="40"/>
        <cfvo type="percent" val="60"/>
        <cfvo type="percent" val="80"/>
      </iconSet>
    </cfRule>
    <cfRule type="colorScale" priority="352">
      <colorScale>
        <cfvo type="min"/>
        <cfvo type="percentile" val="50"/>
        <cfvo type="max"/>
        <color rgb="FFF8696B"/>
        <color rgb="FFFFEB84"/>
        <color rgb="FF63BE7B"/>
      </colorScale>
    </cfRule>
  </conditionalFormatting>
  <conditionalFormatting sqref="FA1:FA1048576">
    <cfRule type="iconSet" priority="284">
      <iconSet iconSet="3Arrows" reverse="1">
        <cfvo type="percent" val="0"/>
        <cfvo type="percent" val="33"/>
        <cfvo type="percent" val="67"/>
      </iconSet>
    </cfRule>
    <cfRule type="colorScale" priority="327">
      <colorScale>
        <cfvo type="min"/>
        <cfvo type="max"/>
        <color rgb="FFFCFCFF"/>
        <color rgb="FFF8696B"/>
      </colorScale>
    </cfRule>
  </conditionalFormatting>
  <conditionalFormatting sqref="ET1:ET1048576">
    <cfRule type="dataBar" priority="345">
      <dataBar>
        <cfvo type="min"/>
        <cfvo type="max"/>
        <color rgb="FF638EC6"/>
      </dataBar>
      <extLst>
        <ext xmlns:x14="http://schemas.microsoft.com/office/spreadsheetml/2009/9/main" uri="{B025F937-C7B1-47D3-B67F-A62EFF666E3E}">
          <x14:id>{306DA4D5-2BC7-43F0-895F-AB55DD738C9F}</x14:id>
        </ext>
      </extLst>
    </cfRule>
    <cfRule type="colorScale" priority="346">
      <colorScale>
        <cfvo type="min"/>
        <cfvo type="percentile" val="50"/>
        <cfvo type="max"/>
        <color rgb="FFF8696B"/>
        <color theme="4" tint="0.59999389629810485"/>
        <color rgb="FF00B0F0"/>
      </colorScale>
    </cfRule>
  </conditionalFormatting>
  <conditionalFormatting sqref="EY1:EY1048576">
    <cfRule type="iconSet" priority="335">
      <iconSet iconSet="3Arrows" reverse="1">
        <cfvo type="percent" val="0"/>
        <cfvo type="percent" val="33"/>
        <cfvo type="percent" val="67"/>
      </iconSet>
    </cfRule>
    <cfRule type="colorScale" priority="337">
      <colorScale>
        <cfvo type="min"/>
        <cfvo type="percentile" val="50"/>
        <cfvo type="max"/>
        <color rgb="FF63BE7B"/>
        <color rgb="FFFFEB84"/>
        <color rgb="FFF8696B"/>
      </colorScale>
    </cfRule>
  </conditionalFormatting>
  <conditionalFormatting sqref="EZ1:EZ1048576">
    <cfRule type="iconSet" priority="334">
      <iconSet iconSet="3Arrows" reverse="1">
        <cfvo type="percent" val="0"/>
        <cfvo type="percent" val="33"/>
        <cfvo type="percent" val="67"/>
      </iconSet>
    </cfRule>
    <cfRule type="colorScale" priority="336">
      <colorScale>
        <cfvo type="min"/>
        <cfvo type="percentile" val="50"/>
        <cfvo type="max"/>
        <color rgb="FF63BE7B"/>
        <color rgb="FFFFEB84"/>
        <color rgb="FFF8696B"/>
      </colorScale>
    </cfRule>
  </conditionalFormatting>
  <conditionalFormatting sqref="DM1:DM1048576">
    <cfRule type="colorScale" priority="326">
      <colorScale>
        <cfvo type="min"/>
        <cfvo type="percentile" val="50"/>
        <cfvo type="max"/>
        <color rgb="FFF8696B"/>
        <color rgb="FFFCFCFF"/>
        <color rgb="FF5A8AC6"/>
      </colorScale>
    </cfRule>
  </conditionalFormatting>
  <conditionalFormatting sqref="DN1:DN1048576">
    <cfRule type="colorScale" priority="325">
      <colorScale>
        <cfvo type="min"/>
        <cfvo type="percentile" val="50"/>
        <cfvo type="max"/>
        <color rgb="FFF8696B"/>
        <color rgb="FFFCFCFF"/>
        <color rgb="FF5A8AC6"/>
      </colorScale>
    </cfRule>
  </conditionalFormatting>
  <conditionalFormatting sqref="DG1:DG1048576">
    <cfRule type="iconSet" priority="321">
      <iconSet iconSet="3Arrows">
        <cfvo type="percent" val="0"/>
        <cfvo type="percent" val="33"/>
        <cfvo type="percent" val="67"/>
      </iconSet>
    </cfRule>
    <cfRule type="colorScale" priority="323">
      <colorScale>
        <cfvo type="min"/>
        <cfvo type="percentile" val="50"/>
        <cfvo type="max"/>
        <color rgb="FFF8696B"/>
        <color rgb="FFFFEB84"/>
        <color rgb="FF63BE7B"/>
      </colorScale>
    </cfRule>
  </conditionalFormatting>
  <conditionalFormatting sqref="DH1:DH1048576">
    <cfRule type="iconSet" priority="317">
      <iconSet iconSet="3Arrows">
        <cfvo type="percent" val="0"/>
        <cfvo type="percent" val="33"/>
        <cfvo type="percent" val="67"/>
      </iconSet>
    </cfRule>
    <cfRule type="colorScale" priority="318">
      <colorScale>
        <cfvo type="min"/>
        <cfvo type="percentile" val="50"/>
        <cfvo type="max"/>
        <color rgb="FFF8696B"/>
        <color rgb="FFFFEB84"/>
        <color rgb="FF63BE7B"/>
      </colorScale>
    </cfRule>
  </conditionalFormatting>
  <conditionalFormatting sqref="DI1:DI1048576">
    <cfRule type="iconSet" priority="313">
      <iconSet iconSet="3Arrows">
        <cfvo type="percent" val="0"/>
        <cfvo type="percent" val="33"/>
        <cfvo type="percent" val="67"/>
      </iconSet>
    </cfRule>
    <cfRule type="colorScale" priority="316">
      <colorScale>
        <cfvo type="min"/>
        <cfvo type="percentile" val="50"/>
        <cfvo type="max"/>
        <color rgb="FFF8696B"/>
        <color rgb="FFFFEB84"/>
        <color rgb="FF63BE7B"/>
      </colorScale>
    </cfRule>
  </conditionalFormatting>
  <conditionalFormatting sqref="DJ1:DJ1048576">
    <cfRule type="iconSet" priority="314">
      <iconSet iconSet="3Arrows">
        <cfvo type="percent" val="0"/>
        <cfvo type="percent" val="33"/>
        <cfvo type="percent" val="67"/>
      </iconSet>
    </cfRule>
    <cfRule type="colorScale" priority="315">
      <colorScale>
        <cfvo type="min"/>
        <cfvo type="percentile" val="50"/>
        <cfvo type="max"/>
        <color rgb="FFF8696B"/>
        <color rgb="FFFFEB84"/>
        <color rgb="FF63BE7B"/>
      </colorScale>
    </cfRule>
  </conditionalFormatting>
  <conditionalFormatting sqref="J1:J1048576">
    <cfRule type="colorScale" priority="305">
      <colorScale>
        <cfvo type="min"/>
        <cfvo type="max"/>
        <color rgb="FFFFEF9C"/>
        <color rgb="FF63BE7B"/>
      </colorScale>
    </cfRule>
  </conditionalFormatting>
  <conditionalFormatting sqref="K1:K1048576">
    <cfRule type="colorScale" priority="304">
      <colorScale>
        <cfvo type="min"/>
        <cfvo type="percentile" val="50"/>
        <cfvo type="max"/>
        <color rgb="FFF8696B"/>
        <color rgb="FFFFEB84"/>
        <color rgb="FF63BE7B"/>
      </colorScale>
    </cfRule>
  </conditionalFormatting>
  <conditionalFormatting sqref="M1:M1048576">
    <cfRule type="dataBar" priority="300">
      <dataBar>
        <cfvo type="min"/>
        <cfvo type="max"/>
        <color rgb="FF638EC6"/>
      </dataBar>
      <extLst>
        <ext xmlns:x14="http://schemas.microsoft.com/office/spreadsheetml/2009/9/main" uri="{B025F937-C7B1-47D3-B67F-A62EFF666E3E}">
          <x14:id>{2B53CF0C-FF8D-4FB2-AA45-1DFB9C9EE3C4}</x14:id>
        </ext>
      </extLst>
    </cfRule>
    <cfRule type="colorScale" priority="301">
      <colorScale>
        <cfvo type="min"/>
        <cfvo type="percentile" val="50"/>
        <cfvo type="max"/>
        <color rgb="FFF8696B"/>
        <color rgb="FFFFEB84"/>
        <color rgb="FF63BE7B"/>
      </colorScale>
    </cfRule>
  </conditionalFormatting>
  <conditionalFormatting sqref="EU1:EU1048576">
    <cfRule type="dataBar" priority="268">
      <dataBar>
        <cfvo type="min"/>
        <cfvo type="max"/>
        <color theme="4" tint="-0.249977111117893"/>
      </dataBar>
      <extLst>
        <ext xmlns:x14="http://schemas.microsoft.com/office/spreadsheetml/2009/9/main" uri="{B025F937-C7B1-47D3-B67F-A62EFF666E3E}">
          <x14:id>{54C7EF68-0AE8-41C9-896E-D9EE0D5F8E4A}</x14:id>
        </ext>
      </extLst>
    </cfRule>
    <cfRule type="colorScale" priority="269">
      <colorScale>
        <cfvo type="min"/>
        <cfvo type="percentile" val="50"/>
        <cfvo type="max"/>
        <color rgb="FFF8696B"/>
        <color theme="4" tint="0.59999389629810485"/>
        <color rgb="FF00B0F0"/>
      </colorScale>
    </cfRule>
  </conditionalFormatting>
  <conditionalFormatting sqref="EV1">
    <cfRule type="dataBar" priority="266">
      <dataBar>
        <cfvo type="min"/>
        <cfvo type="max"/>
        <color theme="4" tint="-0.249977111117893"/>
      </dataBar>
      <extLst>
        <ext xmlns:x14="http://schemas.microsoft.com/office/spreadsheetml/2009/9/main" uri="{B025F937-C7B1-47D3-B67F-A62EFF666E3E}">
          <x14:id>{7534BBED-DCC0-4DE9-8ABA-B8AA32E7A685}</x14:id>
        </ext>
      </extLst>
    </cfRule>
    <cfRule type="iconSet" priority="267">
      <iconSet iconSet="5Arrows">
        <cfvo type="percent" val="0"/>
        <cfvo type="percent" val="20"/>
        <cfvo type="percent" val="40"/>
        <cfvo type="percent" val="60"/>
        <cfvo type="percent" val="80"/>
      </iconSet>
    </cfRule>
  </conditionalFormatting>
  <conditionalFormatting sqref="EW1:EW1048576">
    <cfRule type="iconSet" priority="258">
      <iconSet iconSet="5Arrows">
        <cfvo type="percent" val="0"/>
        <cfvo type="percent" val="20"/>
        <cfvo type="percent" val="40"/>
        <cfvo type="percent" val="60"/>
        <cfvo type="percent" val="80"/>
      </iconSet>
    </cfRule>
    <cfRule type="colorScale" priority="261">
      <colorScale>
        <cfvo type="min"/>
        <cfvo type="percentile" val="50"/>
        <cfvo type="max"/>
        <color rgb="FFF8696B"/>
        <color rgb="FFFFEB84"/>
        <color rgb="FF63BE7B"/>
      </colorScale>
    </cfRule>
  </conditionalFormatting>
  <conditionalFormatting sqref="EX1:EX1048576">
    <cfRule type="iconSet" priority="259">
      <iconSet iconSet="5Arrows">
        <cfvo type="percent" val="0"/>
        <cfvo type="percent" val="20"/>
        <cfvo type="percent" val="40"/>
        <cfvo type="percent" val="60"/>
        <cfvo type="percent" val="80"/>
      </iconSet>
    </cfRule>
    <cfRule type="colorScale" priority="260">
      <colorScale>
        <cfvo type="min"/>
        <cfvo type="percentile" val="50"/>
        <cfvo type="max"/>
        <color rgb="FFF8696B"/>
        <color rgb="FFFFEB84"/>
        <color rgb="FF63BE7B"/>
      </colorScale>
    </cfRule>
  </conditionalFormatting>
  <conditionalFormatting sqref="FC1:FC1048576">
    <cfRule type="iconSet" priority="220">
      <iconSet iconSet="3Arrows">
        <cfvo type="percent" val="0"/>
        <cfvo type="num" val="6.7"/>
        <cfvo type="num" val="7"/>
      </iconSet>
    </cfRule>
    <cfRule type="colorScale" priority="221">
      <colorScale>
        <cfvo type="num" val="6.5"/>
        <cfvo type="num" val="6.7"/>
        <cfvo type="num" val="7"/>
        <color rgb="FFF8696B"/>
        <color rgb="FFFFEB84"/>
        <color rgb="FF63BE7B"/>
      </colorScale>
    </cfRule>
  </conditionalFormatting>
  <conditionalFormatting sqref="DQ1:DQ1048576">
    <cfRule type="iconSet" priority="202">
      <iconSet iconSet="5Arrows">
        <cfvo type="percent" val="0"/>
        <cfvo type="percent" val="20"/>
        <cfvo type="percent" val="40"/>
        <cfvo type="percent" val="60"/>
        <cfvo type="percent" val="80"/>
      </iconSet>
    </cfRule>
    <cfRule type="colorScale" priority="203">
      <colorScale>
        <cfvo type="min"/>
        <cfvo type="percentile" val="50"/>
        <cfvo type="max"/>
        <color rgb="FFF8696B"/>
        <color rgb="FFFFEB84"/>
        <color rgb="FF63BE7B"/>
      </colorScale>
    </cfRule>
  </conditionalFormatting>
  <conditionalFormatting sqref="DW1:DW1048576">
    <cfRule type="iconSet" priority="194">
      <iconSet iconSet="5Arrows">
        <cfvo type="percent" val="0"/>
        <cfvo type="percent" val="20"/>
        <cfvo type="percent" val="40"/>
        <cfvo type="percent" val="60"/>
        <cfvo type="percent" val="80"/>
      </iconSet>
    </cfRule>
    <cfRule type="colorScale" priority="201">
      <colorScale>
        <cfvo type="min"/>
        <cfvo type="percentile" val="50"/>
        <cfvo type="max"/>
        <color rgb="FFF8696B"/>
        <color rgb="FFFFEB84"/>
        <color rgb="FF63BE7B"/>
      </colorScale>
    </cfRule>
  </conditionalFormatting>
  <conditionalFormatting sqref="DX1:DX1048576">
    <cfRule type="iconSet" priority="193">
      <iconSet iconSet="5Arrows">
        <cfvo type="percent" val="0"/>
        <cfvo type="percent" val="20"/>
        <cfvo type="percent" val="40"/>
        <cfvo type="percent" val="60"/>
        <cfvo type="percent" val="80"/>
      </iconSet>
    </cfRule>
    <cfRule type="colorScale" priority="200">
      <colorScale>
        <cfvo type="min"/>
        <cfvo type="percentile" val="50"/>
        <cfvo type="max"/>
        <color rgb="FFF8696B"/>
        <color rgb="FFFFEB84"/>
        <color rgb="FF63BE7B"/>
      </colorScale>
    </cfRule>
  </conditionalFormatting>
  <conditionalFormatting sqref="DY1:DY1048576">
    <cfRule type="iconSet" priority="192">
      <iconSet iconSet="3Arrows" reverse="1">
        <cfvo type="percent" val="0"/>
        <cfvo type="percent" val="33"/>
        <cfvo type="percent" val="67"/>
      </iconSet>
    </cfRule>
    <cfRule type="colorScale" priority="199">
      <colorScale>
        <cfvo type="min"/>
        <cfvo type="percentile" val="50"/>
        <cfvo type="max"/>
        <color rgb="FF63BE7B"/>
        <color rgb="FFFFEB84"/>
        <color rgb="FFF8696B"/>
      </colorScale>
    </cfRule>
  </conditionalFormatting>
  <conditionalFormatting sqref="DZ1:DZ1048576">
    <cfRule type="colorScale" priority="198">
      <colorScale>
        <cfvo type="min"/>
        <cfvo type="percentile" val="50"/>
        <cfvo type="max"/>
        <color rgb="FFF8696B"/>
        <color rgb="FFFFEB84"/>
        <color rgb="FF63BE7B"/>
      </colorScale>
    </cfRule>
  </conditionalFormatting>
  <conditionalFormatting sqref="EA1:EA1048576">
    <cfRule type="colorScale" priority="197">
      <colorScale>
        <cfvo type="num" val="-1"/>
        <cfvo type="num" val="0"/>
        <cfvo type="max"/>
        <color rgb="FF63BE7B"/>
        <color rgb="FFFFEB84"/>
        <color rgb="FFF8696B"/>
      </colorScale>
    </cfRule>
  </conditionalFormatting>
  <conditionalFormatting sqref="BU1:BU1048576">
    <cfRule type="colorScale" priority="191">
      <colorScale>
        <cfvo type="min"/>
        <cfvo type="percentile" val="50"/>
        <cfvo type="max"/>
        <color rgb="FFF8696B"/>
        <color rgb="FFFFEB84"/>
        <color rgb="FF63BE7B"/>
      </colorScale>
    </cfRule>
  </conditionalFormatting>
  <conditionalFormatting sqref="CE1:CE1048576">
    <cfRule type="iconSet" priority="187">
      <iconSet iconSet="3Arrows">
        <cfvo type="percent" val="0"/>
        <cfvo type="percent" val="33"/>
        <cfvo type="percent" val="67"/>
      </iconSet>
    </cfRule>
    <cfRule type="colorScale" priority="188">
      <colorScale>
        <cfvo type="min"/>
        <cfvo type="percentile" val="50"/>
        <cfvo type="max"/>
        <color rgb="FFF8696B"/>
        <color rgb="FFFFEB84"/>
        <color rgb="FF63BE7B"/>
      </colorScale>
    </cfRule>
  </conditionalFormatting>
  <conditionalFormatting sqref="CF1:CF1048576">
    <cfRule type="iconSet" priority="185">
      <iconSet iconSet="3Arrows">
        <cfvo type="percent" val="0"/>
        <cfvo type="percent" val="33"/>
        <cfvo type="percent" val="67"/>
      </iconSet>
    </cfRule>
    <cfRule type="colorScale" priority="186">
      <colorScale>
        <cfvo type="min"/>
        <cfvo type="percentile" val="50"/>
        <cfvo type="max"/>
        <color rgb="FFF8696B"/>
        <color rgb="FFFFEB84"/>
        <color rgb="FF63BE7B"/>
      </colorScale>
    </cfRule>
  </conditionalFormatting>
  <conditionalFormatting sqref="CV1:CV1048576">
    <cfRule type="colorScale" priority="183">
      <colorScale>
        <cfvo type="min"/>
        <cfvo type="percentile" val="50"/>
        <cfvo type="max"/>
        <color rgb="FFF4B084"/>
        <color rgb="FFF08E52"/>
        <color rgb="FFEC7328"/>
      </colorScale>
    </cfRule>
  </conditionalFormatting>
  <conditionalFormatting sqref="CW1:CW1048576">
    <cfRule type="colorScale" priority="182">
      <colorScale>
        <cfvo type="min"/>
        <cfvo type="percentile" val="50"/>
        <cfvo type="max"/>
        <color rgb="FFF4B084"/>
        <color rgb="FFF08E52"/>
        <color rgb="FFEC7328"/>
      </colorScale>
    </cfRule>
  </conditionalFormatting>
  <conditionalFormatting sqref="F1:F1048576">
    <cfRule type="colorScale" priority="179">
      <colorScale>
        <cfvo type="num" val="15"/>
        <cfvo type="num" val="25"/>
        <cfvo type="num" val="32"/>
        <color rgb="FF63BE7B"/>
        <color rgb="FFFFEB84"/>
        <color rgb="FFF8696B"/>
      </colorScale>
    </cfRule>
  </conditionalFormatting>
  <conditionalFormatting sqref="EB1:EB1048576">
    <cfRule type="dataBar" priority="177">
      <dataBar>
        <cfvo type="min"/>
        <cfvo type="max"/>
        <color rgb="FF008AEF"/>
      </dataBar>
      <extLst>
        <ext xmlns:x14="http://schemas.microsoft.com/office/spreadsheetml/2009/9/main" uri="{B025F937-C7B1-47D3-B67F-A62EFF666E3E}">
          <x14:id>{4F61216A-9890-4A3F-AD3A-3D7959352007}</x14:id>
        </ext>
      </extLst>
    </cfRule>
    <cfRule type="colorScale" priority="178">
      <colorScale>
        <cfvo type="min"/>
        <cfvo type="percentile" val="50"/>
        <cfvo type="max"/>
        <color rgb="FFF8696B"/>
        <color theme="4" tint="0.79998168889431442"/>
        <color rgb="FF00B0F0"/>
      </colorScale>
    </cfRule>
  </conditionalFormatting>
  <conditionalFormatting sqref="EO1:EO1048576">
    <cfRule type="colorScale" priority="174">
      <colorScale>
        <cfvo type="min"/>
        <cfvo type="percentile" val="50"/>
        <cfvo type="max"/>
        <color rgb="FFF8696B"/>
        <color rgb="FF9BC2E6"/>
        <color rgb="FF2F75B5"/>
      </colorScale>
    </cfRule>
  </conditionalFormatting>
  <conditionalFormatting sqref="EP1:EP1048576">
    <cfRule type="colorScale" priority="172">
      <colorScale>
        <cfvo type="min"/>
        <cfvo type="percentile" val="50"/>
        <cfvo type="max"/>
        <color rgb="FFF8696B"/>
        <color rgb="FF9BC2E6"/>
        <color rgb="FF2F75B5"/>
      </colorScale>
    </cfRule>
  </conditionalFormatting>
  <conditionalFormatting sqref="EM1:EM1048576">
    <cfRule type="colorScale" priority="171">
      <colorScale>
        <cfvo type="min"/>
        <cfvo type="percentile" val="50"/>
        <cfvo type="max"/>
        <color rgb="FF63BE7B"/>
        <color rgb="FFFFEB84"/>
        <color rgb="FFF8696B"/>
      </colorScale>
    </cfRule>
  </conditionalFormatting>
  <conditionalFormatting sqref="CD1:CD1048576">
    <cfRule type="colorScale" priority="170">
      <colorScale>
        <cfvo type="num" val="-9.9999999999999995E-8"/>
        <cfvo type="num" val="0"/>
        <cfvo type="max"/>
        <color rgb="FFF8696B"/>
        <color rgb="FFFFEB84"/>
        <color rgb="FF63BE7B"/>
      </colorScale>
    </cfRule>
  </conditionalFormatting>
  <conditionalFormatting sqref="BV1:BV1048576">
    <cfRule type="iconSet" priority="163">
      <iconSet iconSet="5Arrows" reverse="1">
        <cfvo type="percent" val="0"/>
        <cfvo type="percent" val="20"/>
        <cfvo type="percent" val="40"/>
        <cfvo type="percent" val="60"/>
        <cfvo type="percent" val="80"/>
      </iconSet>
    </cfRule>
    <cfRule type="colorScale" priority="165">
      <colorScale>
        <cfvo type="min"/>
        <cfvo type="max"/>
        <color rgb="FFFCFCFF"/>
        <color rgb="FFF8696B"/>
      </colorScale>
    </cfRule>
  </conditionalFormatting>
  <conditionalFormatting sqref="BW1:BW1048576">
    <cfRule type="iconSet" priority="162">
      <iconSet iconSet="5Arrows" reverse="1">
        <cfvo type="percent" val="0"/>
        <cfvo type="percent" val="20"/>
        <cfvo type="percent" val="40"/>
        <cfvo type="percent" val="60"/>
        <cfvo type="percent" val="80"/>
      </iconSet>
    </cfRule>
    <cfRule type="colorScale" priority="164">
      <colorScale>
        <cfvo type="min"/>
        <cfvo type="max"/>
        <color rgb="FFFCFCFF"/>
        <color rgb="FFF8696B"/>
      </colorScale>
    </cfRule>
  </conditionalFormatting>
  <conditionalFormatting sqref="AH1:AH1048576">
    <cfRule type="iconSet" priority="143">
      <iconSet iconSet="5Arrows">
        <cfvo type="percent" val="0"/>
        <cfvo type="percent" val="20"/>
        <cfvo type="percent" val="40"/>
        <cfvo type="percent" val="60"/>
        <cfvo type="percent" val="80"/>
      </iconSet>
    </cfRule>
    <cfRule type="colorScale" priority="144">
      <colorScale>
        <cfvo type="min"/>
        <cfvo type="percentile" val="50"/>
        <cfvo type="max"/>
        <color rgb="FFF8696B"/>
        <color rgb="FFFFEB84"/>
        <color rgb="FF63BE7B"/>
      </colorScale>
    </cfRule>
  </conditionalFormatting>
  <conditionalFormatting sqref="AI1:AI1048576">
    <cfRule type="iconSet" priority="141">
      <iconSet iconSet="5Arrows">
        <cfvo type="percent" val="0"/>
        <cfvo type="percent" val="20"/>
        <cfvo type="percent" val="40"/>
        <cfvo type="percent" val="60"/>
        <cfvo type="percent" val="80"/>
      </iconSet>
    </cfRule>
    <cfRule type="colorScale" priority="142">
      <colorScale>
        <cfvo type="min"/>
        <cfvo type="percentile" val="50"/>
        <cfvo type="max"/>
        <color rgb="FFF8696B"/>
        <color rgb="FFFFEB84"/>
        <color rgb="FF63BE7B"/>
      </colorScale>
    </cfRule>
  </conditionalFormatting>
  <conditionalFormatting sqref="AL1:AL1048576">
    <cfRule type="iconSet" priority="139">
      <iconSet iconSet="5Arrows">
        <cfvo type="percent" val="0"/>
        <cfvo type="percent" val="20"/>
        <cfvo type="percent" val="40"/>
        <cfvo type="percent" val="60"/>
        <cfvo type="percent" val="80"/>
      </iconSet>
    </cfRule>
    <cfRule type="colorScale" priority="140">
      <colorScale>
        <cfvo type="min"/>
        <cfvo type="percentile" val="50"/>
        <cfvo type="max"/>
        <color rgb="FFF8696B"/>
        <color rgb="FFFFEB84"/>
        <color rgb="FF63BE7B"/>
      </colorScale>
    </cfRule>
  </conditionalFormatting>
  <conditionalFormatting sqref="AM1:AM1048576">
    <cfRule type="iconSet" priority="137">
      <iconSet iconSet="5Arrows">
        <cfvo type="percent" val="0"/>
        <cfvo type="percent" val="20"/>
        <cfvo type="percent" val="40"/>
        <cfvo type="percent" val="60"/>
        <cfvo type="percent" val="80"/>
      </iconSet>
    </cfRule>
    <cfRule type="colorScale" priority="138">
      <colorScale>
        <cfvo type="min"/>
        <cfvo type="percentile" val="50"/>
        <cfvo type="max"/>
        <color rgb="FFF8696B"/>
        <color rgb="FFFFEB84"/>
        <color rgb="FF63BE7B"/>
      </colorScale>
    </cfRule>
  </conditionalFormatting>
  <conditionalFormatting sqref="AP1:AP1048576">
    <cfRule type="iconSet" priority="135">
      <iconSet iconSet="5Arrows">
        <cfvo type="percent" val="0"/>
        <cfvo type="percent" val="20"/>
        <cfvo type="percent" val="40"/>
        <cfvo type="percent" val="60"/>
        <cfvo type="percent" val="80"/>
      </iconSet>
    </cfRule>
    <cfRule type="colorScale" priority="136">
      <colorScale>
        <cfvo type="min"/>
        <cfvo type="percentile" val="50"/>
        <cfvo type="max"/>
        <color rgb="FFF8696B"/>
        <color rgb="FFFFEB84"/>
        <color rgb="FF63BE7B"/>
      </colorScale>
    </cfRule>
  </conditionalFormatting>
  <conditionalFormatting sqref="AQ1:AQ1048576">
    <cfRule type="colorScale" priority="134">
      <colorScale>
        <cfvo type="min"/>
        <cfvo type="percentile" val="50"/>
        <cfvo type="max"/>
        <color rgb="FF63BE7B"/>
        <color rgb="FFFFEB84"/>
        <color rgb="FFF8696B"/>
      </colorScale>
    </cfRule>
  </conditionalFormatting>
  <conditionalFormatting sqref="AR1:AR1048576">
    <cfRule type="colorScale" priority="133">
      <colorScale>
        <cfvo type="min"/>
        <cfvo type="percentile" val="50"/>
        <cfvo type="max"/>
        <color rgb="FF63BE7B"/>
        <color rgb="FFFFEB84"/>
        <color rgb="FFF8696B"/>
      </colorScale>
    </cfRule>
  </conditionalFormatting>
  <conditionalFormatting sqref="BC1:BC1048576">
    <cfRule type="iconSet" priority="43">
      <iconSet iconSet="5Arrows" reverse="1">
        <cfvo type="percent" val="0"/>
        <cfvo type="percent" val="20"/>
        <cfvo type="percent" val="40"/>
        <cfvo type="percent" val="60"/>
        <cfvo type="percent" val="80"/>
      </iconSet>
    </cfRule>
    <cfRule type="colorScale" priority="130">
      <colorScale>
        <cfvo type="min"/>
        <cfvo type="percentile" val="50"/>
        <cfvo type="max"/>
        <color rgb="FF63BE7B"/>
        <color rgb="FFFFEB84"/>
        <color rgb="FFF8696B"/>
      </colorScale>
    </cfRule>
  </conditionalFormatting>
  <conditionalFormatting sqref="BD1:BD1048576">
    <cfRule type="iconSet" priority="42">
      <iconSet iconSet="5Arrows" reverse="1">
        <cfvo type="percent" val="0"/>
        <cfvo type="percent" val="20"/>
        <cfvo type="percent" val="40"/>
        <cfvo type="percent" val="60"/>
        <cfvo type="percent" val="80"/>
      </iconSet>
    </cfRule>
    <cfRule type="colorScale" priority="129">
      <colorScale>
        <cfvo type="min"/>
        <cfvo type="percentile" val="50"/>
        <cfvo type="max"/>
        <color rgb="FF63BE7B"/>
        <color rgb="FFFFEB84"/>
        <color rgb="FFF8696B"/>
      </colorScale>
    </cfRule>
  </conditionalFormatting>
  <conditionalFormatting sqref="BE1:BE1048576">
    <cfRule type="iconSet" priority="126">
      <iconSet iconSet="5ArrowsGray" reverse="1">
        <cfvo type="percent" val="0"/>
        <cfvo type="percent" val="20"/>
        <cfvo type="percent" val="40"/>
        <cfvo type="percent" val="60"/>
        <cfvo type="percent" val="80"/>
      </iconSet>
    </cfRule>
    <cfRule type="colorScale" priority="128">
      <colorScale>
        <cfvo type="min"/>
        <cfvo type="percentile" val="50"/>
        <cfvo type="max"/>
        <color rgb="FF63BE7B"/>
        <color rgb="FFFFEB84"/>
        <color rgb="FFF8696B"/>
      </colorScale>
    </cfRule>
  </conditionalFormatting>
  <conditionalFormatting sqref="BF1:BF1048576">
    <cfRule type="iconSet" priority="125">
      <iconSet iconSet="5ArrowsGray" reverse="1">
        <cfvo type="percent" val="0"/>
        <cfvo type="percent" val="20"/>
        <cfvo type="percent" val="40"/>
        <cfvo type="percent" val="60"/>
        <cfvo type="percent" val="80"/>
      </iconSet>
    </cfRule>
    <cfRule type="colorScale" priority="127">
      <colorScale>
        <cfvo type="min"/>
        <cfvo type="percentile" val="50"/>
        <cfvo type="max"/>
        <color rgb="FF63BE7B"/>
        <color rgb="FFFFEB84"/>
        <color rgb="FFF8696B"/>
      </colorScale>
    </cfRule>
  </conditionalFormatting>
  <conditionalFormatting sqref="BG1:BG1048576">
    <cfRule type="iconSet" priority="118">
      <iconSet iconSet="5Arrows">
        <cfvo type="percent" val="0"/>
        <cfvo type="percent" val="20"/>
        <cfvo type="percent" val="40"/>
        <cfvo type="percent" val="60"/>
        <cfvo type="percent" val="80"/>
      </iconSet>
    </cfRule>
    <cfRule type="colorScale" priority="120">
      <colorScale>
        <cfvo type="num" val="-9.9999999999999995E-7"/>
        <cfvo type="num" val="0"/>
        <cfvo type="max"/>
        <color rgb="FFF8696B"/>
        <color theme="7" tint="0.59999389629810485"/>
        <color rgb="FF00B0F0"/>
      </colorScale>
    </cfRule>
  </conditionalFormatting>
  <conditionalFormatting sqref="BH1:BH1048576">
    <cfRule type="iconSet" priority="117">
      <iconSet iconSet="5Arrows">
        <cfvo type="percent" val="0"/>
        <cfvo type="percent" val="20"/>
        <cfvo type="percent" val="40"/>
        <cfvo type="percent" val="60"/>
        <cfvo type="percent" val="80"/>
      </iconSet>
    </cfRule>
    <cfRule type="colorScale" priority="119">
      <colorScale>
        <cfvo type="num" val="-9.9999999999999995E-7"/>
        <cfvo type="num" val="0"/>
        <cfvo type="max"/>
        <color rgb="FFF8696B"/>
        <color theme="7" tint="0.59999389629810485"/>
        <color rgb="FF00B0F0"/>
      </colorScale>
    </cfRule>
  </conditionalFormatting>
  <conditionalFormatting sqref="AA1:AA1048576">
    <cfRule type="dataBar" priority="102">
      <dataBar>
        <cfvo type="min"/>
        <cfvo type="max"/>
        <color rgb="FF008AEF"/>
      </dataBar>
      <extLst>
        <ext xmlns:x14="http://schemas.microsoft.com/office/spreadsheetml/2009/9/main" uri="{B025F937-C7B1-47D3-B67F-A62EFF666E3E}">
          <x14:id>{C22CB69F-8AFA-469D-867B-EBB7505D7AE7}</x14:id>
        </ext>
      </extLst>
    </cfRule>
    <cfRule type="colorScale" priority="116">
      <colorScale>
        <cfvo type="min"/>
        <cfvo type="percentile" val="50"/>
        <cfvo type="max"/>
        <color rgb="FFF8696B"/>
        <color theme="6" tint="0.79998168889431442"/>
        <color rgb="FF00B0F0"/>
      </colorScale>
    </cfRule>
  </conditionalFormatting>
  <conditionalFormatting sqref="AB1:AB1048576">
    <cfRule type="dataBar" priority="103">
      <dataBar>
        <cfvo type="min"/>
        <cfvo type="max"/>
        <color rgb="FF008AEF"/>
      </dataBar>
      <extLst>
        <ext xmlns:x14="http://schemas.microsoft.com/office/spreadsheetml/2009/9/main" uri="{B025F937-C7B1-47D3-B67F-A62EFF666E3E}">
          <x14:id>{816D13F8-AAB9-4A33-B99E-DDD60221E945}</x14:id>
        </ext>
      </extLst>
    </cfRule>
    <cfRule type="colorScale" priority="115">
      <colorScale>
        <cfvo type="min"/>
        <cfvo type="percentile" val="50"/>
        <cfvo type="max"/>
        <color rgb="FFF8696B"/>
        <color theme="4" tint="0.79998168889431442"/>
        <color rgb="FF00B0F0"/>
      </colorScale>
    </cfRule>
  </conditionalFormatting>
  <conditionalFormatting sqref="AX1:AX1048576">
    <cfRule type="dataBar" priority="114">
      <dataBar>
        <cfvo type="min"/>
        <cfvo type="max"/>
        <color rgb="FF007A37"/>
      </dataBar>
      <extLst>
        <ext xmlns:x14="http://schemas.microsoft.com/office/spreadsheetml/2009/9/main" uri="{B025F937-C7B1-47D3-B67F-A62EFF666E3E}">
          <x14:id>{FF1729FC-947B-46DA-B287-7C50BDD74C87}</x14:id>
        </ext>
      </extLst>
    </cfRule>
  </conditionalFormatting>
  <conditionalFormatting sqref="AT1:AT1048576">
    <cfRule type="dataBar" priority="113">
      <dataBar>
        <cfvo type="min"/>
        <cfvo type="max"/>
        <color rgb="FFAD1457"/>
      </dataBar>
      <extLst>
        <ext xmlns:x14="http://schemas.microsoft.com/office/spreadsheetml/2009/9/main" uri="{B025F937-C7B1-47D3-B67F-A62EFF666E3E}">
          <x14:id>{43F72FDF-6FDF-495B-8D8B-55D6F0008837}</x14:id>
        </ext>
      </extLst>
    </cfRule>
  </conditionalFormatting>
  <conditionalFormatting sqref="AU1:AU1048576">
    <cfRule type="dataBar" priority="112">
      <dataBar>
        <cfvo type="min"/>
        <cfvo type="max"/>
        <color rgb="FFAD1457"/>
      </dataBar>
      <extLst>
        <ext xmlns:x14="http://schemas.microsoft.com/office/spreadsheetml/2009/9/main" uri="{B025F937-C7B1-47D3-B67F-A62EFF666E3E}">
          <x14:id>{F71E2755-10B1-447B-BB5D-E45FC9F02155}</x14:id>
        </ext>
      </extLst>
    </cfRule>
  </conditionalFormatting>
  <conditionalFormatting sqref="AV1:AV1048576">
    <cfRule type="dataBar" priority="111">
      <dataBar>
        <cfvo type="min"/>
        <cfvo type="max"/>
        <color rgb="FFAD1457"/>
      </dataBar>
      <extLst>
        <ext xmlns:x14="http://schemas.microsoft.com/office/spreadsheetml/2009/9/main" uri="{B025F937-C7B1-47D3-B67F-A62EFF666E3E}">
          <x14:id>{FA68727A-294D-464F-830A-5B3B62746130}</x14:id>
        </ext>
      </extLst>
    </cfRule>
  </conditionalFormatting>
  <conditionalFormatting sqref="AW1:AW1048576">
    <cfRule type="dataBar" priority="110">
      <dataBar>
        <cfvo type="min"/>
        <cfvo type="max"/>
        <color rgb="FFAD1457"/>
      </dataBar>
      <extLst>
        <ext xmlns:x14="http://schemas.microsoft.com/office/spreadsheetml/2009/9/main" uri="{B025F937-C7B1-47D3-B67F-A62EFF666E3E}">
          <x14:id>{7D5D4EAA-D7BF-4F8D-ABCF-D193C6E98634}</x14:id>
        </ext>
      </extLst>
    </cfRule>
  </conditionalFormatting>
  <conditionalFormatting sqref="BB1:BB1048576">
    <cfRule type="dataBar" priority="109">
      <dataBar>
        <cfvo type="min"/>
        <cfvo type="max"/>
        <color rgb="FF007A37"/>
      </dataBar>
      <extLst>
        <ext xmlns:x14="http://schemas.microsoft.com/office/spreadsheetml/2009/9/main" uri="{B025F937-C7B1-47D3-B67F-A62EFF666E3E}">
          <x14:id>{738BD825-FB36-434C-86CA-0E89EE02E3C6}</x14:id>
        </ext>
      </extLst>
    </cfRule>
  </conditionalFormatting>
  <conditionalFormatting sqref="BA1:BA1048576">
    <cfRule type="dataBar" priority="108">
      <dataBar>
        <cfvo type="min"/>
        <cfvo type="max"/>
        <color rgb="FFC00000"/>
      </dataBar>
      <extLst>
        <ext xmlns:x14="http://schemas.microsoft.com/office/spreadsheetml/2009/9/main" uri="{B025F937-C7B1-47D3-B67F-A62EFF666E3E}">
          <x14:id>{9C7E29E8-54C5-44D9-BC5C-FD9EB8BE75B4}</x14:id>
        </ext>
      </extLst>
    </cfRule>
  </conditionalFormatting>
  <conditionalFormatting sqref="AY1:AY1048576">
    <cfRule type="dataBar" priority="107">
      <dataBar>
        <cfvo type="min"/>
        <cfvo type="max"/>
        <color rgb="FFAD1457"/>
      </dataBar>
      <extLst>
        <ext xmlns:x14="http://schemas.microsoft.com/office/spreadsheetml/2009/9/main" uri="{B025F937-C7B1-47D3-B67F-A62EFF666E3E}">
          <x14:id>{4BF6CCD0-4735-4DD5-BDB2-6310B12B08DE}</x14:id>
        </ext>
      </extLst>
    </cfRule>
  </conditionalFormatting>
  <conditionalFormatting sqref="AZ1:AZ1048576">
    <cfRule type="dataBar" priority="106">
      <dataBar>
        <cfvo type="min"/>
        <cfvo type="max"/>
        <color rgb="FFAD1457"/>
      </dataBar>
      <extLst>
        <ext xmlns:x14="http://schemas.microsoft.com/office/spreadsheetml/2009/9/main" uri="{B025F937-C7B1-47D3-B67F-A62EFF666E3E}">
          <x14:id>{7BB6B725-CD90-471A-A87E-12337C8B224E}</x14:id>
        </ext>
      </extLst>
    </cfRule>
  </conditionalFormatting>
  <conditionalFormatting sqref="BR1:BR1048576">
    <cfRule type="colorScale" priority="2452808">
      <colorScale>
        <cfvo type="min"/>
        <cfvo type="percentile" val="50"/>
        <cfvo type="max"/>
        <color rgb="FFF8696B"/>
        <color rgb="FFFFEB84"/>
        <color rgb="FF63BE7B"/>
      </colorScale>
    </cfRule>
  </conditionalFormatting>
  <conditionalFormatting sqref="DD1:DD1048576">
    <cfRule type="dataBar" priority="101">
      <dataBar>
        <cfvo type="min"/>
        <cfvo type="max"/>
        <color rgb="FFAD1457"/>
      </dataBar>
      <extLst>
        <ext xmlns:x14="http://schemas.microsoft.com/office/spreadsheetml/2009/9/main" uri="{B025F937-C7B1-47D3-B67F-A62EFF666E3E}">
          <x14:id>{C54DB846-AC6C-4F1D-AB97-B3A6F192CA81}</x14:id>
        </ext>
      </extLst>
    </cfRule>
  </conditionalFormatting>
  <conditionalFormatting sqref="DE1:DE1048576">
    <cfRule type="dataBar" priority="100">
      <dataBar>
        <cfvo type="min"/>
        <cfvo type="max"/>
        <color rgb="FFAD1457"/>
      </dataBar>
      <extLst>
        <ext xmlns:x14="http://schemas.microsoft.com/office/spreadsheetml/2009/9/main" uri="{B025F937-C7B1-47D3-B67F-A62EFF666E3E}">
          <x14:id>{88120B67-3E32-440F-BB7F-A0286DBBDB8B}</x14:id>
        </ext>
      </extLst>
    </cfRule>
  </conditionalFormatting>
  <conditionalFormatting sqref="G1:G1048576">
    <cfRule type="colorScale" priority="98">
      <colorScale>
        <cfvo type="min"/>
        <cfvo type="percentile" val="50"/>
        <cfvo type="max"/>
        <color rgb="FF63BE7B"/>
        <color rgb="FFFFEB84"/>
        <color rgb="FFF8696B"/>
      </colorScale>
    </cfRule>
  </conditionalFormatting>
  <conditionalFormatting sqref="BI1:BI1048576">
    <cfRule type="iconSet" priority="96">
      <iconSet iconSet="5ArrowsGray" reverse="1">
        <cfvo type="percent" val="0"/>
        <cfvo type="percent" val="20"/>
        <cfvo type="percent" val="40"/>
        <cfvo type="percent" val="60"/>
        <cfvo type="percent" val="80"/>
      </iconSet>
    </cfRule>
    <cfRule type="colorScale" priority="97">
      <colorScale>
        <cfvo type="min"/>
        <cfvo type="max"/>
        <color rgb="FFFDD7D8"/>
        <color rgb="FFF8696B"/>
      </colorScale>
    </cfRule>
  </conditionalFormatting>
  <conditionalFormatting sqref="BJ1:BJ1048576">
    <cfRule type="colorScale" priority="94">
      <colorScale>
        <cfvo type="min"/>
        <cfvo type="max"/>
        <color rgb="FFFDD7D8"/>
        <color rgb="FFF8696B"/>
      </colorScale>
    </cfRule>
    <cfRule type="iconSet" priority="95">
      <iconSet iconSet="5ArrowsGray" reverse="1">
        <cfvo type="percent" val="0"/>
        <cfvo type="percent" val="20"/>
        <cfvo type="percent" val="40"/>
        <cfvo type="percent" val="60"/>
        <cfvo type="percent" val="80"/>
      </iconSet>
    </cfRule>
  </conditionalFormatting>
  <conditionalFormatting sqref="AJ1:AJ1048576">
    <cfRule type="iconSet" priority="91">
      <iconSet iconSet="5ArrowsGray" reverse="1">
        <cfvo type="percent" val="0"/>
        <cfvo type="percent" val="20"/>
        <cfvo type="percent" val="40"/>
        <cfvo type="percent" val="60"/>
        <cfvo type="percent" val="80"/>
      </iconSet>
    </cfRule>
    <cfRule type="colorScale" priority="93">
      <colorScale>
        <cfvo type="min"/>
        <cfvo type="max"/>
        <color rgb="FFFDD7D8"/>
        <color rgb="FFF8696B"/>
      </colorScale>
    </cfRule>
  </conditionalFormatting>
  <conditionalFormatting sqref="AK1:AK1048576">
    <cfRule type="iconSet" priority="90">
      <iconSet iconSet="5ArrowsGray" reverse="1">
        <cfvo type="percent" val="0"/>
        <cfvo type="percent" val="20"/>
        <cfvo type="percent" val="40"/>
        <cfvo type="percent" val="60"/>
        <cfvo type="percent" val="80"/>
      </iconSet>
    </cfRule>
    <cfRule type="colorScale" priority="92">
      <colorScale>
        <cfvo type="min"/>
        <cfvo type="max"/>
        <color rgb="FFFDD7D8"/>
        <color rgb="FFF8696B"/>
      </colorScale>
    </cfRule>
  </conditionalFormatting>
  <conditionalFormatting sqref="BS1:BS1048576">
    <cfRule type="iconSet" priority="87">
      <iconSet iconSet="5ArrowsGray" reverse="1">
        <cfvo type="percent" val="0"/>
        <cfvo type="percent" val="20"/>
        <cfvo type="percent" val="40"/>
        <cfvo type="percent" val="60"/>
        <cfvo type="percent" val="80"/>
      </iconSet>
    </cfRule>
    <cfRule type="colorScale" priority="89">
      <colorScale>
        <cfvo type="min"/>
        <cfvo type="max"/>
        <color rgb="FFFCFCFF"/>
        <color rgb="FFF8696B"/>
      </colorScale>
    </cfRule>
  </conditionalFormatting>
  <conditionalFormatting sqref="BT1:BT1048576">
    <cfRule type="iconSet" priority="86">
      <iconSet iconSet="5ArrowsGray" reverse="1">
        <cfvo type="percent" val="0"/>
        <cfvo type="percent" val="20"/>
        <cfvo type="percent" val="40"/>
        <cfvo type="percent" val="60"/>
        <cfvo type="percent" val="80"/>
      </iconSet>
    </cfRule>
    <cfRule type="colorScale" priority="88">
      <colorScale>
        <cfvo type="min"/>
        <cfvo type="max"/>
        <color rgb="FFFCFCFF"/>
        <color rgb="FFF8696B"/>
      </colorScale>
    </cfRule>
  </conditionalFormatting>
  <conditionalFormatting sqref="DR1:DR1048576">
    <cfRule type="iconSet" priority="64">
      <iconSet iconSet="5ArrowsGray">
        <cfvo type="percent" val="0"/>
        <cfvo type="percent" val="20"/>
        <cfvo type="percent" val="40"/>
        <cfvo type="percent" val="60"/>
        <cfvo type="percent" val="80"/>
      </iconSet>
    </cfRule>
    <cfRule type="colorScale" priority="73">
      <colorScale>
        <cfvo type="min"/>
        <cfvo type="max"/>
        <color rgb="FFFFEF9C"/>
        <color rgb="FF63BE7B"/>
      </colorScale>
    </cfRule>
  </conditionalFormatting>
  <conditionalFormatting sqref="DS1:DS1048576">
    <cfRule type="iconSet" priority="65">
      <iconSet iconSet="5ArrowsGray">
        <cfvo type="percent" val="0"/>
        <cfvo type="percent" val="20"/>
        <cfvo type="percent" val="40"/>
        <cfvo type="percent" val="60"/>
        <cfvo type="percent" val="80"/>
      </iconSet>
    </cfRule>
    <cfRule type="colorScale" priority="72">
      <colorScale>
        <cfvo type="min"/>
        <cfvo type="max"/>
        <color rgb="FFFFEF9C"/>
        <color rgb="FF63BE7B"/>
      </colorScale>
    </cfRule>
  </conditionalFormatting>
  <conditionalFormatting sqref="DT1:DT1048576">
    <cfRule type="iconSet" priority="66">
      <iconSet iconSet="5Arrows">
        <cfvo type="percent" val="0"/>
        <cfvo type="percent" val="20"/>
        <cfvo type="percent" val="40"/>
        <cfvo type="percent" val="60"/>
        <cfvo type="percent" val="80"/>
      </iconSet>
    </cfRule>
    <cfRule type="colorScale" priority="71">
      <colorScale>
        <cfvo type="min"/>
        <cfvo type="percentile" val="50"/>
        <cfvo type="max"/>
        <color rgb="FFF8696B"/>
        <color rgb="FFFFEB84"/>
        <color rgb="FF63BE7B"/>
      </colorScale>
    </cfRule>
  </conditionalFormatting>
  <conditionalFormatting sqref="DU1:DU1048576">
    <cfRule type="iconSet" priority="67">
      <iconSet iconSet="5Arrows">
        <cfvo type="percent" val="0"/>
        <cfvo type="percent" val="20"/>
        <cfvo type="percent" val="40"/>
        <cfvo type="percent" val="60"/>
        <cfvo type="percent" val="80"/>
      </iconSet>
    </cfRule>
    <cfRule type="colorScale" priority="70">
      <colorScale>
        <cfvo type="min"/>
        <cfvo type="percentile" val="50"/>
        <cfvo type="max"/>
        <color rgb="FFF8696B"/>
        <color rgb="FFFFEB84"/>
        <color rgb="FF63BE7B"/>
      </colorScale>
    </cfRule>
  </conditionalFormatting>
  <conditionalFormatting sqref="DV1:DV1048576">
    <cfRule type="iconSet" priority="68">
      <iconSet iconSet="5Arrows">
        <cfvo type="percent" val="0"/>
        <cfvo type="percent" val="20"/>
        <cfvo type="percent" val="40"/>
        <cfvo type="percent" val="60"/>
        <cfvo type="percent" val="80"/>
      </iconSet>
    </cfRule>
    <cfRule type="colorScale" priority="69">
      <colorScale>
        <cfvo type="min"/>
        <cfvo type="percentile" val="50"/>
        <cfvo type="max"/>
        <color rgb="FFF8696B"/>
        <color rgb="FFFFEB84"/>
        <color rgb="FF63BE7B"/>
      </colorScale>
    </cfRule>
  </conditionalFormatting>
  <conditionalFormatting sqref="AN1:AN1048576">
    <cfRule type="iconSet" priority="58">
      <iconSet iconSet="5Arrows">
        <cfvo type="percent" val="0"/>
        <cfvo type="percent" val="20"/>
        <cfvo type="percent" val="40"/>
        <cfvo type="percent" val="60"/>
        <cfvo type="percent" val="80"/>
      </iconSet>
    </cfRule>
    <cfRule type="colorScale" priority="59">
      <colorScale>
        <cfvo type="min"/>
        <cfvo type="percentile" val="50"/>
        <cfvo type="max"/>
        <color rgb="FFF8696B"/>
        <color rgb="FFFFEB84"/>
        <color rgb="FF63BE7B"/>
      </colorScale>
    </cfRule>
  </conditionalFormatting>
  <conditionalFormatting sqref="AO1:AO1048576">
    <cfRule type="iconSet" priority="56">
      <iconSet iconSet="5Arrows">
        <cfvo type="percent" val="0"/>
        <cfvo type="percent" val="20"/>
        <cfvo type="percent" val="40"/>
        <cfvo type="percent" val="60"/>
        <cfvo type="percent" val="80"/>
      </iconSet>
    </cfRule>
    <cfRule type="colorScale" priority="57">
      <colorScale>
        <cfvo type="min"/>
        <cfvo type="percentile" val="50"/>
        <cfvo type="max"/>
        <color rgb="FFF8696B"/>
        <color rgb="FFFFEB84"/>
        <color rgb="FF63BE7B"/>
      </colorScale>
    </cfRule>
  </conditionalFormatting>
  <conditionalFormatting sqref="Q1:Q1048576">
    <cfRule type="iconSet" priority="49">
      <iconSet iconSet="5Arrows">
        <cfvo type="percent" val="0"/>
        <cfvo type="percent" val="20"/>
        <cfvo type="percent" val="40"/>
        <cfvo type="percent" val="60"/>
        <cfvo type="percent" val="80"/>
      </iconSet>
    </cfRule>
    <cfRule type="dataBar" priority="55">
      <dataBar>
        <cfvo type="min"/>
        <cfvo type="max"/>
        <color rgb="FF23559B"/>
      </dataBar>
      <extLst>
        <ext xmlns:x14="http://schemas.microsoft.com/office/spreadsheetml/2009/9/main" uri="{B025F937-C7B1-47D3-B67F-A62EFF666E3E}">
          <x14:id>{108B99B0-5AC5-4298-A4F4-C8E93364B09B}</x14:id>
        </ext>
      </extLst>
    </cfRule>
  </conditionalFormatting>
  <conditionalFormatting sqref="R1:R1048576">
    <cfRule type="iconSet" priority="48">
      <iconSet iconSet="5Arrows">
        <cfvo type="percent" val="0"/>
        <cfvo type="percent" val="20"/>
        <cfvo type="percent" val="40"/>
        <cfvo type="percent" val="60"/>
        <cfvo type="percent" val="80"/>
      </iconSet>
    </cfRule>
    <cfRule type="dataBar" priority="54">
      <dataBar>
        <cfvo type="min"/>
        <cfvo type="max"/>
        <color rgb="FF23559B"/>
      </dataBar>
      <extLst>
        <ext xmlns:x14="http://schemas.microsoft.com/office/spreadsheetml/2009/9/main" uri="{B025F937-C7B1-47D3-B67F-A62EFF666E3E}">
          <x14:id>{F337E10F-39BB-4842-910C-7E2C88DF0215}</x14:id>
        </ext>
      </extLst>
    </cfRule>
  </conditionalFormatting>
  <conditionalFormatting sqref="S1:S1048576">
    <cfRule type="iconSet" priority="47">
      <iconSet iconSet="5Arrows">
        <cfvo type="percent" val="0"/>
        <cfvo type="percent" val="20"/>
        <cfvo type="percent" val="40"/>
        <cfvo type="percent" val="60"/>
        <cfvo type="percent" val="80"/>
      </iconSet>
    </cfRule>
    <cfRule type="dataBar" priority="53">
      <dataBar>
        <cfvo type="min"/>
        <cfvo type="max"/>
        <color rgb="FF008AEF"/>
      </dataBar>
      <extLst>
        <ext xmlns:x14="http://schemas.microsoft.com/office/spreadsheetml/2009/9/main" uri="{B025F937-C7B1-47D3-B67F-A62EFF666E3E}">
          <x14:id>{4504ED65-D8E0-45C5-AC78-DD7464C14689}</x14:id>
        </ext>
      </extLst>
    </cfRule>
  </conditionalFormatting>
  <conditionalFormatting sqref="T1:T1048576">
    <cfRule type="iconSet" priority="46">
      <iconSet iconSet="5Arrows">
        <cfvo type="percent" val="0"/>
        <cfvo type="percent" val="20"/>
        <cfvo type="percent" val="40"/>
        <cfvo type="percent" val="60"/>
        <cfvo type="percent" val="80"/>
      </iconSet>
    </cfRule>
    <cfRule type="dataBar" priority="52">
      <dataBar>
        <cfvo type="min"/>
        <cfvo type="max"/>
        <color rgb="FF008AEF"/>
      </dataBar>
      <extLst>
        <ext xmlns:x14="http://schemas.microsoft.com/office/spreadsheetml/2009/9/main" uri="{B025F937-C7B1-47D3-B67F-A62EFF666E3E}">
          <x14:id>{D816C1D0-C29B-498D-91F2-648C3109CDD4}</x14:id>
        </ext>
      </extLst>
    </cfRule>
  </conditionalFormatting>
  <conditionalFormatting sqref="U1:U1048576">
    <cfRule type="iconSet" priority="45">
      <iconSet iconSet="5Arrows">
        <cfvo type="percent" val="0"/>
        <cfvo type="percent" val="20"/>
        <cfvo type="percent" val="40"/>
        <cfvo type="percent" val="60"/>
        <cfvo type="percent" val="80"/>
      </iconSet>
    </cfRule>
    <cfRule type="dataBar" priority="51">
      <dataBar>
        <cfvo type="min"/>
        <cfvo type="max"/>
        <color rgb="FF008AEF"/>
      </dataBar>
      <extLst>
        <ext xmlns:x14="http://schemas.microsoft.com/office/spreadsheetml/2009/9/main" uri="{B025F937-C7B1-47D3-B67F-A62EFF666E3E}">
          <x14:id>{8FB9EE72-FE21-4018-B8E1-5FBB6288B14C}</x14:id>
        </ext>
      </extLst>
    </cfRule>
  </conditionalFormatting>
  <conditionalFormatting sqref="V1:V1048576">
    <cfRule type="iconSet" priority="44">
      <iconSet iconSet="5Arrows">
        <cfvo type="percent" val="0"/>
        <cfvo type="percent" val="20"/>
        <cfvo type="percent" val="40"/>
        <cfvo type="percent" val="60"/>
        <cfvo type="percent" val="80"/>
      </iconSet>
    </cfRule>
    <cfRule type="dataBar" priority="50">
      <dataBar>
        <cfvo type="min"/>
        <cfvo type="max"/>
        <color rgb="FF008AEF"/>
      </dataBar>
      <extLst>
        <ext xmlns:x14="http://schemas.microsoft.com/office/spreadsheetml/2009/9/main" uri="{B025F937-C7B1-47D3-B67F-A62EFF666E3E}">
          <x14:id>{A139ECDA-778A-4E1F-B3F1-B4E7AE4FC681}</x14:id>
        </ext>
      </extLst>
    </cfRule>
  </conditionalFormatting>
  <conditionalFormatting sqref="BX1:BX1048576">
    <cfRule type="dataBar" priority="41">
      <dataBar>
        <cfvo type="min"/>
        <cfvo type="max"/>
        <color rgb="FFD6007B"/>
      </dataBar>
      <extLst>
        <ext xmlns:x14="http://schemas.microsoft.com/office/spreadsheetml/2009/9/main" uri="{B025F937-C7B1-47D3-B67F-A62EFF666E3E}">
          <x14:id>{28D33B72-2A1E-4460-92FA-C375CB0EF3C1}</x14:id>
        </ext>
      </extLst>
    </cfRule>
  </conditionalFormatting>
  <conditionalFormatting sqref="BY1:BY1048576">
    <cfRule type="dataBar" priority="40">
      <dataBar>
        <cfvo type="min"/>
        <cfvo type="max"/>
        <color rgb="FFD6007B"/>
      </dataBar>
      <extLst>
        <ext xmlns:x14="http://schemas.microsoft.com/office/spreadsheetml/2009/9/main" uri="{B025F937-C7B1-47D3-B67F-A62EFF666E3E}">
          <x14:id>{A38F9B97-9539-46CB-A891-C481A65BBCA3}</x14:id>
        </ext>
      </extLst>
    </cfRule>
  </conditionalFormatting>
  <conditionalFormatting sqref="BZ1:BZ1048576">
    <cfRule type="dataBar" priority="39">
      <dataBar>
        <cfvo type="min"/>
        <cfvo type="max"/>
        <color rgb="FFD6007B"/>
      </dataBar>
      <extLst>
        <ext xmlns:x14="http://schemas.microsoft.com/office/spreadsheetml/2009/9/main" uri="{B025F937-C7B1-47D3-B67F-A62EFF666E3E}">
          <x14:id>{E34DF903-2994-4F44-86DF-B312413CA927}</x14:id>
        </ext>
      </extLst>
    </cfRule>
  </conditionalFormatting>
  <conditionalFormatting sqref="CA1:CA1048576">
    <cfRule type="dataBar" priority="38">
      <dataBar>
        <cfvo type="min"/>
        <cfvo type="max"/>
        <color rgb="FFD6007B"/>
      </dataBar>
      <extLst>
        <ext xmlns:x14="http://schemas.microsoft.com/office/spreadsheetml/2009/9/main" uri="{B025F937-C7B1-47D3-B67F-A62EFF666E3E}">
          <x14:id>{AF168766-95A9-4D68-AC81-39B721E1C981}</x14:id>
        </ext>
      </extLst>
    </cfRule>
  </conditionalFormatting>
  <conditionalFormatting sqref="CB1:CB1048576">
    <cfRule type="dataBar" priority="37">
      <dataBar>
        <cfvo type="min"/>
        <cfvo type="max"/>
        <color rgb="FFD6007B"/>
      </dataBar>
      <extLst>
        <ext xmlns:x14="http://schemas.microsoft.com/office/spreadsheetml/2009/9/main" uri="{B025F937-C7B1-47D3-B67F-A62EFF666E3E}">
          <x14:id>{3FE2C914-80E2-4A4E-A6CD-55E38761FE78}</x14:id>
        </ext>
      </extLst>
    </cfRule>
  </conditionalFormatting>
  <conditionalFormatting sqref="CC1:CC1048576">
    <cfRule type="dataBar" priority="36">
      <dataBar>
        <cfvo type="min"/>
        <cfvo type="max"/>
        <color rgb="FFD6007B"/>
      </dataBar>
      <extLst>
        <ext xmlns:x14="http://schemas.microsoft.com/office/spreadsheetml/2009/9/main" uri="{B025F937-C7B1-47D3-B67F-A62EFF666E3E}">
          <x14:id>{5F954DDB-C0BD-405A-A3F4-AB9FBE03CD26}</x14:id>
        </ext>
      </extLst>
    </cfRule>
  </conditionalFormatting>
  <conditionalFormatting sqref="W1:W1048576">
    <cfRule type="dataBar" priority="32">
      <dataBar>
        <cfvo type="min"/>
        <cfvo type="max"/>
        <color rgb="FF23559B"/>
      </dataBar>
      <extLst>
        <ext xmlns:x14="http://schemas.microsoft.com/office/spreadsheetml/2009/9/main" uri="{B025F937-C7B1-47D3-B67F-A62EFF666E3E}">
          <x14:id>{CF6CD6BB-EDC1-40C3-95A1-4F454E40FC8B}</x14:id>
        </ext>
      </extLst>
    </cfRule>
  </conditionalFormatting>
  <conditionalFormatting sqref="X1:X1048576">
    <cfRule type="dataBar" priority="31">
      <dataBar>
        <cfvo type="min"/>
        <cfvo type="max"/>
        <color rgb="FF23559B"/>
      </dataBar>
      <extLst>
        <ext xmlns:x14="http://schemas.microsoft.com/office/spreadsheetml/2009/9/main" uri="{B025F937-C7B1-47D3-B67F-A62EFF666E3E}">
          <x14:id>{40DC0BD2-D77A-4606-9E84-60AB437995F1}</x14:id>
        </ext>
      </extLst>
    </cfRule>
  </conditionalFormatting>
  <conditionalFormatting sqref="Y1:Y1048576">
    <cfRule type="dataBar" priority="30">
      <dataBar>
        <cfvo type="min"/>
        <cfvo type="max"/>
        <color rgb="FF23559B"/>
      </dataBar>
      <extLst>
        <ext xmlns:x14="http://schemas.microsoft.com/office/spreadsheetml/2009/9/main" uri="{B025F937-C7B1-47D3-B67F-A62EFF666E3E}">
          <x14:id>{C04B5BC0-26FB-43B8-A22C-3A5A483DF147}</x14:id>
        </ext>
      </extLst>
    </cfRule>
  </conditionalFormatting>
  <conditionalFormatting sqref="Z1:Z1048576">
    <cfRule type="dataBar" priority="29">
      <dataBar>
        <cfvo type="min"/>
        <cfvo type="max"/>
        <color rgb="FF29693E"/>
      </dataBar>
      <extLst>
        <ext xmlns:x14="http://schemas.microsoft.com/office/spreadsheetml/2009/9/main" uri="{B025F937-C7B1-47D3-B67F-A62EFF666E3E}">
          <x14:id>{860505E0-38C6-4423-9339-21D341807A06}</x14:id>
        </ext>
      </extLst>
    </cfRule>
  </conditionalFormatting>
  <conditionalFormatting sqref="EQ1:EQ1048576">
    <cfRule type="colorScale" priority="26">
      <colorScale>
        <cfvo type="min"/>
        <cfvo type="percentile" val="50"/>
        <cfvo type="max"/>
        <color rgb="FFF8696B"/>
        <color rgb="FF9BC2E6"/>
        <color rgb="FF2F75B5"/>
      </colorScale>
    </cfRule>
  </conditionalFormatting>
  <conditionalFormatting sqref="ER1:ER1048576">
    <cfRule type="colorScale" priority="24">
      <colorScale>
        <cfvo type="min"/>
        <cfvo type="percentile" val="50"/>
        <cfvo type="max"/>
        <color rgb="FFF8696B"/>
        <color rgb="FF9BC2E6"/>
        <color rgb="FF2F75B5"/>
      </colorScale>
    </cfRule>
  </conditionalFormatting>
  <conditionalFormatting sqref="EC1:EC1048576">
    <cfRule type="colorScale" priority="23">
      <colorScale>
        <cfvo type="min"/>
        <cfvo type="max"/>
        <color rgb="FFFFEF9C"/>
        <color rgb="FF63BE7B"/>
      </colorScale>
    </cfRule>
  </conditionalFormatting>
  <conditionalFormatting sqref="ED1:ED1048576">
    <cfRule type="iconSet" priority="21">
      <iconSet iconSet="5Arrows">
        <cfvo type="percent" val="0"/>
        <cfvo type="percent" val="20"/>
        <cfvo type="percent" val="40"/>
        <cfvo type="percent" val="60"/>
        <cfvo type="percent" val="80"/>
      </iconSet>
    </cfRule>
    <cfRule type="colorScale" priority="22">
      <colorScale>
        <cfvo type="min"/>
        <cfvo type="max"/>
        <color rgb="FFFFEF9C"/>
        <color rgb="FF63BE7B"/>
      </colorScale>
    </cfRule>
  </conditionalFormatting>
  <conditionalFormatting sqref="EE1:EE1048576">
    <cfRule type="colorScale" priority="20">
      <colorScale>
        <cfvo type="min"/>
        <cfvo type="max"/>
        <color rgb="FFFFEF9C"/>
        <color rgb="FF63BE7B"/>
      </colorScale>
    </cfRule>
  </conditionalFormatting>
  <conditionalFormatting sqref="EF1:EF1048576">
    <cfRule type="iconSet" priority="18">
      <iconSet iconSet="5Arrows">
        <cfvo type="percent" val="0"/>
        <cfvo type="percent" val="20"/>
        <cfvo type="percent" val="40"/>
        <cfvo type="percent" val="60"/>
        <cfvo type="percent" val="80"/>
      </iconSet>
    </cfRule>
    <cfRule type="colorScale" priority="19">
      <colorScale>
        <cfvo type="min"/>
        <cfvo type="max"/>
        <color rgb="FFFFEF9C"/>
        <color rgb="FF63BE7B"/>
      </colorScale>
    </cfRule>
  </conditionalFormatting>
  <conditionalFormatting sqref="EG1:EG1048576">
    <cfRule type="colorScale" priority="15">
      <colorScale>
        <cfvo type="min"/>
        <cfvo type="percentile" val="50"/>
        <cfvo type="max"/>
        <color rgb="FFF8696B"/>
        <color rgb="FFFFEB84"/>
        <color rgb="FF63BE7B"/>
      </colorScale>
    </cfRule>
  </conditionalFormatting>
  <conditionalFormatting sqref="EH1:EH1048576">
    <cfRule type="dataBar" priority="13">
      <dataBar>
        <cfvo type="min"/>
        <cfvo type="max"/>
        <color rgb="FFC00000"/>
      </dataBar>
      <extLst>
        <ext xmlns:x14="http://schemas.microsoft.com/office/spreadsheetml/2009/9/main" uri="{B025F937-C7B1-47D3-B67F-A62EFF666E3E}">
          <x14:id>{F2AFA9C6-C2AF-4451-A9FA-B6929A30926D}</x14:id>
        </ext>
      </extLst>
    </cfRule>
  </conditionalFormatting>
  <conditionalFormatting sqref="EI1:EI1048576">
    <cfRule type="dataBar" priority="12">
      <dataBar>
        <cfvo type="min"/>
        <cfvo type="max"/>
        <color rgb="FFC00000"/>
      </dataBar>
      <extLst>
        <ext xmlns:x14="http://schemas.microsoft.com/office/spreadsheetml/2009/9/main" uri="{B025F937-C7B1-47D3-B67F-A62EFF666E3E}">
          <x14:id>{A0567088-57EA-4260-8BAD-5C465A96FBC8}</x14:id>
        </ext>
      </extLst>
    </cfRule>
  </conditionalFormatting>
  <conditionalFormatting sqref="EJ1:EJ1048576">
    <cfRule type="dataBar" priority="9">
      <dataBar>
        <cfvo type="min"/>
        <cfvo type="max"/>
        <color rgb="FF008AEF"/>
      </dataBar>
      <extLst>
        <ext xmlns:x14="http://schemas.microsoft.com/office/spreadsheetml/2009/9/main" uri="{B025F937-C7B1-47D3-B67F-A62EFF666E3E}">
          <x14:id>{37686675-985E-4648-9896-A76DFAC12B41}</x14:id>
        </ext>
      </extLst>
    </cfRule>
    <cfRule type="colorScale" priority="11">
      <colorScale>
        <cfvo type="min"/>
        <cfvo type="percentile" val="50"/>
        <cfvo type="max"/>
        <color rgb="FFF8696B"/>
        <color theme="4" tint="0.79998168889431442"/>
        <color rgb="FF00B0F0"/>
      </colorScale>
    </cfRule>
  </conditionalFormatting>
  <conditionalFormatting sqref="EL1:EL1048576">
    <cfRule type="dataBar" priority="8">
      <dataBar>
        <cfvo type="min"/>
        <cfvo type="max"/>
        <color rgb="FF008AEF"/>
      </dataBar>
      <extLst>
        <ext xmlns:x14="http://schemas.microsoft.com/office/spreadsheetml/2009/9/main" uri="{B025F937-C7B1-47D3-B67F-A62EFF666E3E}">
          <x14:id>{7B3CF0AC-0EF2-4D83-9606-156ECF11AD52}</x14:id>
        </ext>
      </extLst>
    </cfRule>
    <cfRule type="colorScale" priority="10">
      <colorScale>
        <cfvo type="min"/>
        <cfvo type="percentile" val="50"/>
        <cfvo type="max"/>
        <color rgb="FFF8696B"/>
        <color theme="4" tint="0.79998168889431442"/>
        <color rgb="FF00B0F0"/>
      </colorScale>
    </cfRule>
  </conditionalFormatting>
  <conditionalFormatting sqref="EK1:EK1048576">
    <cfRule type="dataBar" priority="5">
      <dataBar>
        <cfvo type="min"/>
        <cfvo type="max"/>
        <color rgb="FF008AEF"/>
      </dataBar>
      <extLst>
        <ext xmlns:x14="http://schemas.microsoft.com/office/spreadsheetml/2009/9/main" uri="{B025F937-C7B1-47D3-B67F-A62EFF666E3E}">
          <x14:id>{7CD6AE9B-FAD7-4773-9F29-D8350EAF8A20}</x14:id>
        </ext>
      </extLst>
    </cfRule>
    <cfRule type="colorScale" priority="7">
      <colorScale>
        <cfvo type="min"/>
        <cfvo type="percentile" val="50"/>
        <cfvo type="max"/>
        <color rgb="FFF8696B"/>
        <color theme="4" tint="0.79998168889431442"/>
        <color rgb="FF00B0F0"/>
      </colorScale>
    </cfRule>
  </conditionalFormatting>
  <conditionalFormatting sqref="ES1:ES1048576">
    <cfRule type="colorScale" priority="2">
      <colorScale>
        <cfvo type="min"/>
        <cfvo type="percentile" val="50"/>
        <cfvo type="max"/>
        <color rgb="FFF8696B"/>
        <color theme="8" tint="0.79998168889431442"/>
        <color rgb="FF5A8AC6"/>
      </colorScale>
    </cfRule>
    <cfRule type="iconSet" priority="3">
      <iconSet iconSet="5Arrows">
        <cfvo type="percent" val="0"/>
        <cfvo type="percent" val="20"/>
        <cfvo type="percent" val="40"/>
        <cfvo type="percent" val="60"/>
        <cfvo type="percent" val="80"/>
      </iconSet>
    </cfRule>
  </conditionalFormatting>
  <conditionalFormatting sqref="EM12:EN1048576 BO2:BO1048576">
    <cfRule type="colorScale" priority="2819680">
      <colorScale>
        <cfvo type="min"/>
        <cfvo type="percentile" val="50"/>
        <cfvo type="max"/>
        <color rgb="FFF8696B"/>
        <color rgb="FFFFEB84"/>
        <color rgb="FF63BE7B"/>
      </colorScale>
    </cfRule>
  </conditionalFormatting>
  <conditionalFormatting sqref="EM12:EN1048576">
    <cfRule type="colorScale" priority="2819685">
      <colorScale>
        <cfvo type="min"/>
        <cfvo type="percentile" val="50"/>
        <cfvo type="max"/>
        <color rgb="FFF8696B"/>
        <color rgb="FFFFEB84"/>
        <color rgb="FF63BE7B"/>
      </colorScale>
    </cfRule>
    <cfRule type="colorScale" priority="2819686">
      <colorScale>
        <cfvo type="min"/>
        <cfvo type="max"/>
        <color rgb="FFFFEF9C"/>
        <color rgb="FF63BE7B"/>
      </colorScale>
    </cfRule>
  </conditionalFormatting>
  <conditionalFormatting sqref="DP12:DP1048576">
    <cfRule type="colorScale" priority="2819689">
      <colorScale>
        <cfvo type="min"/>
        <cfvo type="percentile" val="50"/>
        <cfvo type="max"/>
        <color rgb="FF63BE7B"/>
        <color rgb="FFFFEB84"/>
        <color rgb="FFF8696B"/>
      </colorScale>
    </cfRule>
  </conditionalFormatting>
  <conditionalFormatting sqref="EM12:EN1048576">
    <cfRule type="colorScale" priority="2819691">
      <colorScale>
        <cfvo type="min"/>
        <cfvo type="percentile" val="50"/>
        <cfvo type="max"/>
        <color rgb="FFF8696B"/>
        <color rgb="FFFFEB84"/>
        <color rgb="FF63BE7B"/>
      </colorScale>
    </cfRule>
  </conditionalFormatting>
  <conditionalFormatting sqref="DO12:DO1048576">
    <cfRule type="colorScale" priority="2819693">
      <colorScale>
        <cfvo type="min"/>
        <cfvo type="percentile" val="50"/>
        <cfvo type="max"/>
        <color rgb="FFF8696B"/>
        <color rgb="FFFFEB84"/>
        <color rgb="FF63BE7B"/>
      </colorScale>
    </cfRule>
  </conditionalFormatting>
  <conditionalFormatting sqref="CM12:CM1048576 CM1">
    <cfRule type="colorScale" priority="2819695">
      <colorScale>
        <cfvo type="min"/>
        <cfvo type="percentile" val="50"/>
        <cfvo type="max"/>
        <color rgb="FFF8696B"/>
        <color rgb="FFFFEB84"/>
        <color rgb="FF63BE7B"/>
      </colorScale>
    </cfRule>
  </conditionalFormatting>
  <conditionalFormatting sqref="CN12:CN1048576 CN1">
    <cfRule type="colorScale" priority="2819698">
      <colorScale>
        <cfvo type="min"/>
        <cfvo type="percentile" val="50"/>
        <cfvo type="max"/>
        <color rgb="FFF8696B"/>
        <color rgb="FFFFEB84"/>
        <color rgb="FF63BE7B"/>
      </colorScale>
    </cfRule>
  </conditionalFormatting>
  <conditionalFormatting sqref="DF1:DF1048576">
    <cfRule type="dataBar" priority="1">
      <dataBar>
        <cfvo type="min"/>
        <cfvo type="max"/>
        <color rgb="FF23559B"/>
      </dataBar>
      <extLst>
        <ext xmlns:x14="http://schemas.microsoft.com/office/spreadsheetml/2009/9/main" uri="{B025F937-C7B1-47D3-B67F-A62EFF666E3E}">
          <x14:id>{092F281E-1F6B-4ABA-96FF-02734BF5B4FB}</x14:id>
        </ext>
      </extLst>
    </cfRule>
  </conditionalFormatting>
  <conditionalFormatting sqref="CS2:CS11">
    <cfRule type="colorScale" priority="2835378">
      <colorScale>
        <cfvo type="min"/>
        <cfvo type="percentile" val="50"/>
        <cfvo type="max"/>
        <color rgb="FFF8696B"/>
        <color rgb="FFFFEB84"/>
        <color rgb="FF63BE7B"/>
      </colorScale>
    </cfRule>
  </conditionalFormatting>
  <conditionalFormatting sqref="H2:H11">
    <cfRule type="colorScale" priority="2835380">
      <colorScale>
        <cfvo type="min"/>
        <cfvo type="percentile" val="50"/>
        <cfvo type="max"/>
        <color rgb="FF63BE7B"/>
        <color rgb="FFFFEB84"/>
        <color rgb="FFF8696B"/>
      </colorScale>
    </cfRule>
  </conditionalFormatting>
  <conditionalFormatting sqref="DO2:DO11">
    <cfRule type="colorScale" priority="2835382">
      <colorScale>
        <cfvo type="min"/>
        <cfvo type="percentile" val="50"/>
        <cfvo type="max"/>
        <color rgb="FFF8696B"/>
        <color rgb="FFFFEB84"/>
        <color rgb="FF63BE7B"/>
      </colorScale>
    </cfRule>
  </conditionalFormatting>
  <conditionalFormatting sqref="DO2:DO11">
    <cfRule type="colorScale" priority="2835384">
      <colorScale>
        <cfvo type="min"/>
        <cfvo type="max"/>
        <color rgb="FFFFEF9C"/>
        <color rgb="FF63BE7B"/>
      </colorScale>
    </cfRule>
    <cfRule type="colorScale" priority="2835385">
      <colorScale>
        <cfvo type="min"/>
        <cfvo type="percentile" val="50"/>
        <cfvo type="max"/>
        <color rgb="FFF8696B"/>
        <color rgb="FFFFEB84"/>
        <color rgb="FF63BE7B"/>
      </colorScale>
    </cfRule>
  </conditionalFormatting>
  <conditionalFormatting sqref="CM2:CM11">
    <cfRule type="colorScale" priority="2835388">
      <colorScale>
        <cfvo type="min"/>
        <cfvo type="percentile" val="50"/>
        <cfvo type="max"/>
        <color rgb="FFF8696B"/>
        <color rgb="FFFFEB84"/>
        <color rgb="FF63BE7B"/>
      </colorScale>
    </cfRule>
  </conditionalFormatting>
  <conditionalFormatting sqref="CN2:CN11">
    <cfRule type="colorScale" priority="2835390">
      <colorScale>
        <cfvo type="min"/>
        <cfvo type="percentile" val="50"/>
        <cfvo type="max"/>
        <color rgb="FFF8696B"/>
        <color rgb="FFFFEB84"/>
        <color rgb="FF63BE7B"/>
      </colorScale>
    </cfRule>
  </conditionalFormatting>
  <conditionalFormatting sqref="DP2:DP11">
    <cfRule type="colorScale" priority="2835392">
      <colorScale>
        <cfvo type="min"/>
        <cfvo type="percentile" val="50"/>
        <cfvo type="max"/>
        <color rgb="FFF8696B"/>
        <color rgb="FFFFEB84"/>
        <color rgb="FF63BE7B"/>
      </colorScale>
    </cfRule>
  </conditionalFormatting>
  <conditionalFormatting sqref="DP1:DP11">
    <cfRule type="colorScale" priority="2835394">
      <colorScale>
        <cfvo type="min"/>
        <cfvo type="percentile" val="50"/>
        <cfvo type="max"/>
        <color rgb="FFF8696B"/>
        <color rgb="FFFFEB84"/>
        <color rgb="FF63BE7B"/>
      </colorScale>
    </cfRule>
  </conditionalFormatting>
  <conditionalFormatting sqref="L2:L11">
    <cfRule type="iconSet" priority="2835396">
      <iconSet iconSet="3Arrows">
        <cfvo type="percent" val="0"/>
        <cfvo type="num" val="60"/>
        <cfvo type="num" val="80"/>
      </iconSet>
    </cfRule>
    <cfRule type="colorScale" priority="2835397">
      <colorScale>
        <cfvo type="min"/>
        <cfvo type="num" val="75"/>
        <cfvo type="num" val="90"/>
        <color rgb="FFF8696B"/>
        <color rgb="FFFFEB84"/>
        <color rgb="FF63BE7B"/>
      </colorScale>
    </cfRule>
  </conditionalFormatting>
  <conditionalFormatting sqref="EV2:EV11">
    <cfRule type="dataBar" priority="2835400">
      <dataBar>
        <cfvo type="min"/>
        <cfvo type="max"/>
        <color theme="4" tint="-0.249977111117893"/>
      </dataBar>
      <extLst>
        <ext xmlns:x14="http://schemas.microsoft.com/office/spreadsheetml/2009/9/main" uri="{B025F937-C7B1-47D3-B67F-A62EFF666E3E}">
          <x14:id>{5EA88572-F783-4EDE-AB10-5F423FD4FA57}</x14:id>
        </ext>
      </extLst>
    </cfRule>
    <cfRule type="iconSet" priority="2835401">
      <iconSet iconSet="5Arrows">
        <cfvo type="percent" val="0"/>
        <cfvo type="percent" val="20"/>
        <cfvo type="percent" val="40"/>
        <cfvo type="percent" val="60"/>
        <cfvo type="percent" val="80"/>
      </iconSet>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E535262B-D53E-42C8-9D2C-16F197CDE5FD}">
            <x14:dataBar minLength="0" maxLength="100" border="1" negativeBarBorderColorSameAsPositive="0">
              <x14:cfvo type="autoMin"/>
              <x14:cfvo type="autoMax"/>
              <x14:borderColor rgb="FF008AEF"/>
              <x14:negativeFillColor rgb="FFFF0000"/>
              <x14:negativeBorderColor rgb="FFFF0000"/>
              <x14:axisColor rgb="FF000000"/>
            </x14:dataBar>
          </x14:cfRule>
          <xm:sqref>AC1:AC1048576</xm:sqref>
        </x14:conditionalFormatting>
        <x14:conditionalFormatting xmlns:xm="http://schemas.microsoft.com/office/excel/2006/main">
          <x14:cfRule type="dataBar" id="{F4307ECE-DDFB-4EED-8CCD-5828CE10257A}">
            <x14:dataBar minLength="0" maxLength="100" border="1" negativeBarBorderColorSameAsPositive="0">
              <x14:cfvo type="autoMin"/>
              <x14:cfvo type="autoMax"/>
              <x14:borderColor rgb="FF008AEF"/>
              <x14:negativeFillColor rgb="FFFF0000"/>
              <x14:negativeBorderColor rgb="FFFF0000"/>
              <x14:axisColor rgb="FF000000"/>
            </x14:dataBar>
          </x14:cfRule>
          <xm:sqref>AD1:AD1048576</xm:sqref>
        </x14:conditionalFormatting>
        <x14:conditionalFormatting xmlns:xm="http://schemas.microsoft.com/office/excel/2006/main">
          <x14:cfRule type="dataBar" id="{EC63933C-443B-4657-A399-F99D38004296}">
            <x14:dataBar minLength="0" maxLength="100" border="1" negativeBarBorderColorSameAsPositive="0">
              <x14:cfvo type="autoMin"/>
              <x14:cfvo type="autoMax"/>
              <x14:borderColor rgb="FF008AEF"/>
              <x14:negativeFillColor rgb="FFFF0000"/>
              <x14:negativeBorderColor rgb="FFFF0000"/>
              <x14:axisColor rgb="FF000000"/>
            </x14:dataBar>
          </x14:cfRule>
          <xm:sqref>AE1:AE1048576</xm:sqref>
        </x14:conditionalFormatting>
        <x14:conditionalFormatting xmlns:xm="http://schemas.microsoft.com/office/excel/2006/main">
          <x14:cfRule type="dataBar" id="{0BA079DB-7021-4E66-B11E-668B4097DCC9}">
            <x14:dataBar minLength="0" maxLength="100" border="1" negativeBarBorderColorSameAsPositive="0">
              <x14:cfvo type="autoMin"/>
              <x14:cfvo type="autoMax"/>
              <x14:borderColor rgb="FF008AEF"/>
              <x14:negativeFillColor rgb="FFFF0000"/>
              <x14:negativeBorderColor rgb="FFFF0000"/>
              <x14:axisColor rgb="FF000000"/>
            </x14:dataBar>
          </x14:cfRule>
          <xm:sqref>AF1:AF1048576</xm:sqref>
        </x14:conditionalFormatting>
        <x14:conditionalFormatting xmlns:xm="http://schemas.microsoft.com/office/excel/2006/main">
          <x14:cfRule type="dataBar" id="{139F3135-4876-475D-B8CB-4675C9108B0A}">
            <x14:dataBar minLength="0" maxLength="100" border="1" negativeBarBorderColorSameAsPositive="0">
              <x14:cfvo type="autoMin"/>
              <x14:cfvo type="autoMax"/>
              <x14:borderColor rgb="FF008AEF"/>
              <x14:negativeFillColor rgb="FFFF0000"/>
              <x14:negativeBorderColor rgb="FFFF0000"/>
              <x14:axisColor rgb="FF000000"/>
            </x14:dataBar>
          </x14:cfRule>
          <xm:sqref>AG1:AG1048576</xm:sqref>
        </x14:conditionalFormatting>
        <x14:conditionalFormatting xmlns:xm="http://schemas.microsoft.com/office/excel/2006/main">
          <x14:cfRule type="dataBar" id="{306DA4D5-2BC7-43F0-895F-AB55DD738C9F}">
            <x14:dataBar minLength="0" maxLength="100" border="1" negativeBarBorderColorSameAsPositive="0">
              <x14:cfvo type="autoMin"/>
              <x14:cfvo type="autoMax"/>
              <x14:borderColor rgb="FF638EC6"/>
              <x14:negativeFillColor rgb="FFFF0000"/>
              <x14:negativeBorderColor rgb="FFFF0000"/>
              <x14:axisColor rgb="FF000000"/>
            </x14:dataBar>
          </x14:cfRule>
          <xm:sqref>ET1:ET1048576</xm:sqref>
        </x14:conditionalFormatting>
        <x14:conditionalFormatting xmlns:xm="http://schemas.microsoft.com/office/excel/2006/main">
          <x14:cfRule type="dataBar" id="{2B53CF0C-FF8D-4FB2-AA45-1DFB9C9EE3C4}">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 xmlns:xm="http://schemas.microsoft.com/office/excel/2006/main">
          <x14:cfRule type="dataBar" id="{54C7EF68-0AE8-41C9-896E-D9EE0D5F8E4A}">
            <x14:dataBar minLength="0" maxLength="100" gradient="0">
              <x14:cfvo type="autoMin"/>
              <x14:cfvo type="autoMax"/>
              <x14:negativeFillColor rgb="FFFF0000"/>
              <x14:axisColor rgb="FF000000"/>
            </x14:dataBar>
          </x14:cfRule>
          <xm:sqref>EU1:EU1048576</xm:sqref>
        </x14:conditionalFormatting>
        <x14:conditionalFormatting xmlns:xm="http://schemas.microsoft.com/office/excel/2006/main">
          <x14:cfRule type="dataBar" id="{7534BBED-DCC0-4DE9-8ABA-B8AA32E7A685}">
            <x14:dataBar minLength="0" maxLength="100" gradient="0">
              <x14:cfvo type="autoMin"/>
              <x14:cfvo type="autoMax"/>
              <x14:negativeFillColor rgb="FFFF0000"/>
              <x14:axisColor rgb="FF000000"/>
            </x14:dataBar>
          </x14:cfRule>
          <xm:sqref>EV1</xm:sqref>
        </x14:conditionalFormatting>
        <x14:conditionalFormatting xmlns:xm="http://schemas.microsoft.com/office/excel/2006/main">
          <x14:cfRule type="dataBar" id="{4F61216A-9890-4A3F-AD3A-3D7959352007}">
            <x14:dataBar minLength="0" maxLength="100" border="1" negativeBarBorderColorSameAsPositive="0">
              <x14:cfvo type="autoMin"/>
              <x14:cfvo type="autoMax"/>
              <x14:borderColor rgb="FF008AEF"/>
              <x14:negativeFillColor rgb="FFFF0000"/>
              <x14:negativeBorderColor rgb="FFFF0000"/>
              <x14:axisColor rgb="FF000000"/>
            </x14:dataBar>
          </x14:cfRule>
          <xm:sqref>EB1:EB1048576</xm:sqref>
        </x14:conditionalFormatting>
        <x14:conditionalFormatting xmlns:xm="http://schemas.microsoft.com/office/excel/2006/main">
          <x14:cfRule type="dataBar" id="{C22CB69F-8AFA-469D-867B-EBB7505D7AE7}">
            <x14:dataBar minLength="0" maxLength="100" border="1" negativeBarBorderColorSameAsPositive="0">
              <x14:cfvo type="autoMin"/>
              <x14:cfvo type="autoMax"/>
              <x14:borderColor rgb="FF008AEF"/>
              <x14:negativeFillColor rgb="FFFF0000"/>
              <x14:negativeBorderColor rgb="FFFF0000"/>
              <x14:axisColor rgb="FF000000"/>
            </x14:dataBar>
          </x14:cfRule>
          <xm:sqref>AA1:AA1048576</xm:sqref>
        </x14:conditionalFormatting>
        <x14:conditionalFormatting xmlns:xm="http://schemas.microsoft.com/office/excel/2006/main">
          <x14:cfRule type="dataBar" id="{816D13F8-AAB9-4A33-B99E-DDD60221E945}">
            <x14:dataBar minLength="0" maxLength="100" border="1" negativeBarBorderColorSameAsPositive="0">
              <x14:cfvo type="autoMin"/>
              <x14:cfvo type="autoMax"/>
              <x14:borderColor rgb="FF008AEF"/>
              <x14:negativeFillColor rgb="FFFF0000"/>
              <x14:negativeBorderColor rgb="FFFF0000"/>
              <x14:axisColor rgb="FF000000"/>
            </x14:dataBar>
          </x14:cfRule>
          <xm:sqref>AB1:AB1048576</xm:sqref>
        </x14:conditionalFormatting>
        <x14:conditionalFormatting xmlns:xm="http://schemas.microsoft.com/office/excel/2006/main">
          <x14:cfRule type="dataBar" id="{FF1729FC-947B-46DA-B287-7C50BDD74C87}">
            <x14:dataBar minLength="0" maxLength="100" gradient="0">
              <x14:cfvo type="autoMin"/>
              <x14:cfvo type="autoMax"/>
              <x14:negativeFillColor rgb="FFFF0000"/>
              <x14:axisColor rgb="FF000000"/>
            </x14:dataBar>
          </x14:cfRule>
          <xm:sqref>AX1:AX1048576</xm:sqref>
        </x14:conditionalFormatting>
        <x14:conditionalFormatting xmlns:xm="http://schemas.microsoft.com/office/excel/2006/main">
          <x14:cfRule type="dataBar" id="{43F72FDF-6FDF-495B-8D8B-55D6F0008837}">
            <x14:dataBar minLength="0" maxLength="100" gradient="0">
              <x14:cfvo type="autoMin"/>
              <x14:cfvo type="autoMax"/>
              <x14:negativeFillColor rgb="FFFF0000"/>
              <x14:axisColor rgb="FF000000"/>
            </x14:dataBar>
          </x14:cfRule>
          <xm:sqref>AT1:AT1048576</xm:sqref>
        </x14:conditionalFormatting>
        <x14:conditionalFormatting xmlns:xm="http://schemas.microsoft.com/office/excel/2006/main">
          <x14:cfRule type="dataBar" id="{F71E2755-10B1-447B-BB5D-E45FC9F02155}">
            <x14:dataBar minLength="0" maxLength="100" gradient="0">
              <x14:cfvo type="autoMin"/>
              <x14:cfvo type="autoMax"/>
              <x14:negativeFillColor rgb="FFFF0000"/>
              <x14:axisColor rgb="FF000000"/>
            </x14:dataBar>
          </x14:cfRule>
          <xm:sqref>AU1:AU1048576</xm:sqref>
        </x14:conditionalFormatting>
        <x14:conditionalFormatting xmlns:xm="http://schemas.microsoft.com/office/excel/2006/main">
          <x14:cfRule type="dataBar" id="{FA68727A-294D-464F-830A-5B3B62746130}">
            <x14:dataBar minLength="0" maxLength="100" gradient="0">
              <x14:cfvo type="autoMin"/>
              <x14:cfvo type="autoMax"/>
              <x14:negativeFillColor rgb="FFFF0000"/>
              <x14:axisColor rgb="FF000000"/>
            </x14:dataBar>
          </x14:cfRule>
          <xm:sqref>AV1:AV1048576</xm:sqref>
        </x14:conditionalFormatting>
        <x14:conditionalFormatting xmlns:xm="http://schemas.microsoft.com/office/excel/2006/main">
          <x14:cfRule type="dataBar" id="{7D5D4EAA-D7BF-4F8D-ABCF-D193C6E98634}">
            <x14:dataBar minLength="0" maxLength="100" gradient="0">
              <x14:cfvo type="autoMin"/>
              <x14:cfvo type="autoMax"/>
              <x14:negativeFillColor rgb="FFFF0000"/>
              <x14:axisColor rgb="FF000000"/>
            </x14:dataBar>
          </x14:cfRule>
          <xm:sqref>AW1:AW1048576</xm:sqref>
        </x14:conditionalFormatting>
        <x14:conditionalFormatting xmlns:xm="http://schemas.microsoft.com/office/excel/2006/main">
          <x14:cfRule type="dataBar" id="{738BD825-FB36-434C-86CA-0E89EE02E3C6}">
            <x14:dataBar minLength="0" maxLength="100" gradient="0">
              <x14:cfvo type="autoMin"/>
              <x14:cfvo type="autoMax"/>
              <x14:negativeFillColor rgb="FFFF0000"/>
              <x14:axisColor rgb="FF000000"/>
            </x14:dataBar>
          </x14:cfRule>
          <xm:sqref>BB1:BB1048576</xm:sqref>
        </x14:conditionalFormatting>
        <x14:conditionalFormatting xmlns:xm="http://schemas.microsoft.com/office/excel/2006/main">
          <x14:cfRule type="dataBar" id="{9C7E29E8-54C5-44D9-BC5C-FD9EB8BE75B4}">
            <x14:dataBar minLength="0" maxLength="100" gradient="0">
              <x14:cfvo type="autoMin"/>
              <x14:cfvo type="autoMax"/>
              <x14:negativeFillColor rgb="FFFF0000"/>
              <x14:axisColor rgb="FF000000"/>
            </x14:dataBar>
          </x14:cfRule>
          <xm:sqref>BA1:BA1048576</xm:sqref>
        </x14:conditionalFormatting>
        <x14:conditionalFormatting xmlns:xm="http://schemas.microsoft.com/office/excel/2006/main">
          <x14:cfRule type="dataBar" id="{4BF6CCD0-4735-4DD5-BDB2-6310B12B08DE}">
            <x14:dataBar minLength="0" maxLength="100" gradient="0">
              <x14:cfvo type="autoMin"/>
              <x14:cfvo type="autoMax"/>
              <x14:negativeFillColor rgb="FFFF0000"/>
              <x14:axisColor rgb="FF000000"/>
            </x14:dataBar>
          </x14:cfRule>
          <xm:sqref>AY1:AY1048576</xm:sqref>
        </x14:conditionalFormatting>
        <x14:conditionalFormatting xmlns:xm="http://schemas.microsoft.com/office/excel/2006/main">
          <x14:cfRule type="dataBar" id="{7BB6B725-CD90-471A-A87E-12337C8B224E}">
            <x14:dataBar minLength="0" maxLength="100" gradient="0">
              <x14:cfvo type="autoMin"/>
              <x14:cfvo type="autoMax"/>
              <x14:negativeFillColor rgb="FFFF0000"/>
              <x14:axisColor rgb="FF000000"/>
            </x14:dataBar>
          </x14:cfRule>
          <xm:sqref>AZ1:AZ1048576</xm:sqref>
        </x14:conditionalFormatting>
        <x14:conditionalFormatting xmlns:xm="http://schemas.microsoft.com/office/excel/2006/main">
          <x14:cfRule type="dataBar" id="{C54DB846-AC6C-4F1D-AB97-B3A6F192CA81}">
            <x14:dataBar minLength="0" maxLength="100" gradient="0">
              <x14:cfvo type="autoMin"/>
              <x14:cfvo type="autoMax"/>
              <x14:negativeFillColor rgb="FFFF0000"/>
              <x14:axisColor rgb="FF000000"/>
            </x14:dataBar>
          </x14:cfRule>
          <xm:sqref>DD1:DD1048576</xm:sqref>
        </x14:conditionalFormatting>
        <x14:conditionalFormatting xmlns:xm="http://schemas.microsoft.com/office/excel/2006/main">
          <x14:cfRule type="dataBar" id="{88120B67-3E32-440F-BB7F-A0286DBBDB8B}">
            <x14:dataBar minLength="0" maxLength="100" gradient="0">
              <x14:cfvo type="autoMin"/>
              <x14:cfvo type="autoMax"/>
              <x14:negativeFillColor rgb="FFFF0000"/>
              <x14:axisColor rgb="FF000000"/>
            </x14:dataBar>
          </x14:cfRule>
          <xm:sqref>DE1:DE1048576</xm:sqref>
        </x14:conditionalFormatting>
        <x14:conditionalFormatting xmlns:xm="http://schemas.microsoft.com/office/excel/2006/main">
          <x14:cfRule type="dataBar" id="{108B99B0-5AC5-4298-A4F4-C8E93364B09B}">
            <x14:dataBar minLength="0" maxLength="100" gradient="0">
              <x14:cfvo type="autoMin"/>
              <x14:cfvo type="autoMax"/>
              <x14:negativeFillColor rgb="FFFF0000"/>
              <x14:axisColor rgb="FF000000"/>
            </x14:dataBar>
          </x14:cfRule>
          <xm:sqref>Q1:Q1048576</xm:sqref>
        </x14:conditionalFormatting>
        <x14:conditionalFormatting xmlns:xm="http://schemas.microsoft.com/office/excel/2006/main">
          <x14:cfRule type="dataBar" id="{F337E10F-39BB-4842-910C-7E2C88DF0215}">
            <x14:dataBar minLength="0" maxLength="100" gradient="0">
              <x14:cfvo type="autoMin"/>
              <x14:cfvo type="autoMax"/>
              <x14:negativeFillColor rgb="FFFF0000"/>
              <x14:axisColor rgb="FF000000"/>
            </x14:dataBar>
          </x14:cfRule>
          <xm:sqref>R1:R1048576</xm:sqref>
        </x14:conditionalFormatting>
        <x14:conditionalFormatting xmlns:xm="http://schemas.microsoft.com/office/excel/2006/main">
          <x14:cfRule type="dataBar" id="{4504ED65-D8E0-45C5-AC78-DD7464C14689}">
            <x14:dataBar minLength="0" maxLength="100" gradient="0">
              <x14:cfvo type="autoMin"/>
              <x14:cfvo type="autoMax"/>
              <x14:negativeFillColor rgb="FFFF0000"/>
              <x14:axisColor rgb="FF000000"/>
            </x14:dataBar>
          </x14:cfRule>
          <xm:sqref>S1:S1048576</xm:sqref>
        </x14:conditionalFormatting>
        <x14:conditionalFormatting xmlns:xm="http://schemas.microsoft.com/office/excel/2006/main">
          <x14:cfRule type="dataBar" id="{D816C1D0-C29B-498D-91F2-648C3109CDD4}">
            <x14:dataBar minLength="0" maxLength="100" gradient="0">
              <x14:cfvo type="autoMin"/>
              <x14:cfvo type="autoMax"/>
              <x14:negativeFillColor rgb="FFFF0000"/>
              <x14:axisColor rgb="FF000000"/>
            </x14:dataBar>
          </x14:cfRule>
          <xm:sqref>T1:T1048576</xm:sqref>
        </x14:conditionalFormatting>
        <x14:conditionalFormatting xmlns:xm="http://schemas.microsoft.com/office/excel/2006/main">
          <x14:cfRule type="dataBar" id="{8FB9EE72-FE21-4018-B8E1-5FBB6288B14C}">
            <x14:dataBar minLength="0" maxLength="100" gradient="0">
              <x14:cfvo type="autoMin"/>
              <x14:cfvo type="autoMax"/>
              <x14:negativeFillColor rgb="FFFF0000"/>
              <x14:axisColor rgb="FF000000"/>
            </x14:dataBar>
          </x14:cfRule>
          <xm:sqref>U1:U1048576</xm:sqref>
        </x14:conditionalFormatting>
        <x14:conditionalFormatting xmlns:xm="http://schemas.microsoft.com/office/excel/2006/main">
          <x14:cfRule type="dataBar" id="{A139ECDA-778A-4E1F-B3F1-B4E7AE4FC681}">
            <x14:dataBar minLength="0" maxLength="100" gradient="0">
              <x14:cfvo type="autoMin"/>
              <x14:cfvo type="autoMax"/>
              <x14:negativeFillColor rgb="FFFF0000"/>
              <x14:axisColor rgb="FF000000"/>
            </x14:dataBar>
          </x14:cfRule>
          <xm:sqref>V1:V1048576</xm:sqref>
        </x14:conditionalFormatting>
        <x14:conditionalFormatting xmlns:xm="http://schemas.microsoft.com/office/excel/2006/main">
          <x14:cfRule type="dataBar" id="{28D33B72-2A1E-4460-92FA-C375CB0EF3C1}">
            <x14:dataBar minLength="0" maxLength="100" gradient="0">
              <x14:cfvo type="autoMin"/>
              <x14:cfvo type="autoMax"/>
              <x14:negativeFillColor rgb="FFFF0000"/>
              <x14:axisColor rgb="FF000000"/>
            </x14:dataBar>
          </x14:cfRule>
          <xm:sqref>BX1:BX1048576</xm:sqref>
        </x14:conditionalFormatting>
        <x14:conditionalFormatting xmlns:xm="http://schemas.microsoft.com/office/excel/2006/main">
          <x14:cfRule type="dataBar" id="{A38F9B97-9539-46CB-A891-C481A65BBCA3}">
            <x14:dataBar minLength="0" maxLength="100" gradient="0">
              <x14:cfvo type="autoMin"/>
              <x14:cfvo type="autoMax"/>
              <x14:negativeFillColor rgb="FFFF0000"/>
              <x14:axisColor rgb="FF000000"/>
            </x14:dataBar>
          </x14:cfRule>
          <xm:sqref>BY1:BY1048576</xm:sqref>
        </x14:conditionalFormatting>
        <x14:conditionalFormatting xmlns:xm="http://schemas.microsoft.com/office/excel/2006/main">
          <x14:cfRule type="dataBar" id="{E34DF903-2994-4F44-86DF-B312413CA927}">
            <x14:dataBar minLength="0" maxLength="100" gradient="0">
              <x14:cfvo type="autoMin"/>
              <x14:cfvo type="autoMax"/>
              <x14:negativeFillColor rgb="FFFF0000"/>
              <x14:axisColor rgb="FF000000"/>
            </x14:dataBar>
          </x14:cfRule>
          <xm:sqref>BZ1:BZ1048576</xm:sqref>
        </x14:conditionalFormatting>
        <x14:conditionalFormatting xmlns:xm="http://schemas.microsoft.com/office/excel/2006/main">
          <x14:cfRule type="dataBar" id="{AF168766-95A9-4D68-AC81-39B721E1C981}">
            <x14:dataBar minLength="0" maxLength="100" gradient="0">
              <x14:cfvo type="autoMin"/>
              <x14:cfvo type="autoMax"/>
              <x14:negativeFillColor rgb="FFFF0000"/>
              <x14:axisColor rgb="FF000000"/>
            </x14:dataBar>
          </x14:cfRule>
          <xm:sqref>CA1:CA1048576</xm:sqref>
        </x14:conditionalFormatting>
        <x14:conditionalFormatting xmlns:xm="http://schemas.microsoft.com/office/excel/2006/main">
          <x14:cfRule type="dataBar" id="{3FE2C914-80E2-4A4E-A6CD-55E38761FE78}">
            <x14:dataBar minLength="0" maxLength="100" gradient="0">
              <x14:cfvo type="autoMin"/>
              <x14:cfvo type="autoMax"/>
              <x14:negativeFillColor rgb="FFFF0000"/>
              <x14:axisColor rgb="FF000000"/>
            </x14:dataBar>
          </x14:cfRule>
          <xm:sqref>CB1:CB1048576</xm:sqref>
        </x14:conditionalFormatting>
        <x14:conditionalFormatting xmlns:xm="http://schemas.microsoft.com/office/excel/2006/main">
          <x14:cfRule type="dataBar" id="{5F954DDB-C0BD-405A-A3F4-AB9FBE03CD26}">
            <x14:dataBar minLength="0" maxLength="100" gradient="0">
              <x14:cfvo type="autoMin"/>
              <x14:cfvo type="autoMax"/>
              <x14:negativeFillColor rgb="FFFF0000"/>
              <x14:axisColor rgb="FF000000"/>
            </x14:dataBar>
          </x14:cfRule>
          <xm:sqref>CC1:CC1048576</xm:sqref>
        </x14:conditionalFormatting>
        <x14:conditionalFormatting xmlns:xm="http://schemas.microsoft.com/office/excel/2006/main">
          <x14:cfRule type="dataBar" id="{CF6CD6BB-EDC1-40C3-95A1-4F454E40FC8B}">
            <x14:dataBar minLength="0" maxLength="100" gradient="0">
              <x14:cfvo type="autoMin"/>
              <x14:cfvo type="autoMax"/>
              <x14:negativeFillColor rgb="FFFF0000"/>
              <x14:axisColor rgb="FF000000"/>
            </x14:dataBar>
          </x14:cfRule>
          <xm:sqref>W1:W1048576</xm:sqref>
        </x14:conditionalFormatting>
        <x14:conditionalFormatting xmlns:xm="http://schemas.microsoft.com/office/excel/2006/main">
          <x14:cfRule type="dataBar" id="{40DC0BD2-D77A-4606-9E84-60AB437995F1}">
            <x14:dataBar minLength="0" maxLength="100" gradient="0">
              <x14:cfvo type="autoMin"/>
              <x14:cfvo type="autoMax"/>
              <x14:negativeFillColor rgb="FFFF0000"/>
              <x14:axisColor rgb="FF000000"/>
            </x14:dataBar>
          </x14:cfRule>
          <xm:sqref>X1:X1048576</xm:sqref>
        </x14:conditionalFormatting>
        <x14:conditionalFormatting xmlns:xm="http://schemas.microsoft.com/office/excel/2006/main">
          <x14:cfRule type="dataBar" id="{C04B5BC0-26FB-43B8-A22C-3A5A483DF147}">
            <x14:dataBar minLength="0" maxLength="100" gradient="0">
              <x14:cfvo type="autoMin"/>
              <x14:cfvo type="autoMax"/>
              <x14:negativeFillColor rgb="FFFF0000"/>
              <x14:axisColor rgb="FF000000"/>
            </x14:dataBar>
          </x14:cfRule>
          <xm:sqref>Y1:Y1048576</xm:sqref>
        </x14:conditionalFormatting>
        <x14:conditionalFormatting xmlns:xm="http://schemas.microsoft.com/office/excel/2006/main">
          <x14:cfRule type="dataBar" id="{860505E0-38C6-4423-9339-21D341807A06}">
            <x14:dataBar minLength="0" maxLength="100" gradient="0">
              <x14:cfvo type="autoMin"/>
              <x14:cfvo type="autoMax"/>
              <x14:negativeFillColor rgb="FFFF0000"/>
              <x14:axisColor rgb="FF000000"/>
            </x14:dataBar>
          </x14:cfRule>
          <xm:sqref>Z1:Z1048576</xm:sqref>
        </x14:conditionalFormatting>
        <x14:conditionalFormatting xmlns:xm="http://schemas.microsoft.com/office/excel/2006/main">
          <x14:cfRule type="dataBar" id="{F2AFA9C6-C2AF-4451-A9FA-B6929A30926D}">
            <x14:dataBar minLength="0" maxLength="100" gradient="0">
              <x14:cfvo type="autoMin"/>
              <x14:cfvo type="autoMax"/>
              <x14:negativeFillColor rgb="FFFF0000"/>
              <x14:axisColor rgb="FF000000"/>
            </x14:dataBar>
          </x14:cfRule>
          <xm:sqref>EH1:EH1048576</xm:sqref>
        </x14:conditionalFormatting>
        <x14:conditionalFormatting xmlns:xm="http://schemas.microsoft.com/office/excel/2006/main">
          <x14:cfRule type="dataBar" id="{A0567088-57EA-4260-8BAD-5C465A96FBC8}">
            <x14:dataBar minLength="0" maxLength="100" gradient="0">
              <x14:cfvo type="autoMin"/>
              <x14:cfvo type="autoMax"/>
              <x14:negativeFillColor rgb="FFFF0000"/>
              <x14:axisColor rgb="FF000000"/>
            </x14:dataBar>
          </x14:cfRule>
          <xm:sqref>EI1:EI1048576</xm:sqref>
        </x14:conditionalFormatting>
        <x14:conditionalFormatting xmlns:xm="http://schemas.microsoft.com/office/excel/2006/main">
          <x14:cfRule type="dataBar" id="{37686675-985E-4648-9896-A76DFAC12B41}">
            <x14:dataBar minLength="0" maxLength="100" border="1" negativeBarBorderColorSameAsPositive="0">
              <x14:cfvo type="autoMin"/>
              <x14:cfvo type="autoMax"/>
              <x14:borderColor rgb="FF008AEF"/>
              <x14:negativeFillColor rgb="FFFF0000"/>
              <x14:negativeBorderColor rgb="FFFF0000"/>
              <x14:axisColor rgb="FF000000"/>
            </x14:dataBar>
          </x14:cfRule>
          <xm:sqref>EJ1:EJ1048576</xm:sqref>
        </x14:conditionalFormatting>
        <x14:conditionalFormatting xmlns:xm="http://schemas.microsoft.com/office/excel/2006/main">
          <x14:cfRule type="dataBar" id="{7B3CF0AC-0EF2-4D83-9606-156ECF11AD52}">
            <x14:dataBar minLength="0" maxLength="100" border="1" negativeBarBorderColorSameAsPositive="0">
              <x14:cfvo type="autoMin"/>
              <x14:cfvo type="autoMax"/>
              <x14:borderColor rgb="FF008AEF"/>
              <x14:negativeFillColor rgb="FFFF0000"/>
              <x14:negativeBorderColor rgb="FFFF0000"/>
              <x14:axisColor rgb="FF000000"/>
            </x14:dataBar>
          </x14:cfRule>
          <xm:sqref>EL1:EL1048576</xm:sqref>
        </x14:conditionalFormatting>
        <x14:conditionalFormatting xmlns:xm="http://schemas.microsoft.com/office/excel/2006/main">
          <x14:cfRule type="dataBar" id="{7CD6AE9B-FAD7-4773-9F29-D8350EAF8A20}">
            <x14:dataBar minLength="0" maxLength="100" border="1" negativeBarBorderColorSameAsPositive="0">
              <x14:cfvo type="autoMin"/>
              <x14:cfvo type="autoMax"/>
              <x14:borderColor rgb="FF008AEF"/>
              <x14:negativeFillColor rgb="FFFF0000"/>
              <x14:negativeBorderColor rgb="FFFF0000"/>
              <x14:axisColor rgb="FF000000"/>
            </x14:dataBar>
          </x14:cfRule>
          <xm:sqref>EK1:EK1048576</xm:sqref>
        </x14:conditionalFormatting>
        <x14:conditionalFormatting xmlns:xm="http://schemas.microsoft.com/office/excel/2006/main">
          <x14:cfRule type="dataBar" id="{092F281E-1F6B-4ABA-96FF-02734BF5B4FB}">
            <x14:dataBar minLength="0" maxLength="100" gradient="0">
              <x14:cfvo type="autoMin"/>
              <x14:cfvo type="autoMax"/>
              <x14:negativeFillColor rgb="FFFF0000"/>
              <x14:axisColor rgb="FF000000"/>
            </x14:dataBar>
          </x14:cfRule>
          <xm:sqref>DF1:DF1048576</xm:sqref>
        </x14:conditionalFormatting>
        <x14:conditionalFormatting xmlns:xm="http://schemas.microsoft.com/office/excel/2006/main">
          <x14:cfRule type="dataBar" id="{5EA88572-F783-4EDE-AB10-5F423FD4FA57}">
            <x14:dataBar minLength="0" maxLength="100" gradient="0">
              <x14:cfvo type="autoMin"/>
              <x14:cfvo type="autoMax"/>
              <x14:negativeFillColor rgb="FFFF0000"/>
              <x14:axisColor rgb="FF000000"/>
            </x14:dataBar>
          </x14:cfRule>
          <xm:sqref>EV2:EV11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🧤Goleiros</vt:lpstr>
      <vt:lpstr>🧱Zagueiros</vt:lpstr>
      <vt:lpstr>🛡️Laterais</vt:lpstr>
      <vt:lpstr>🛡️Volantes</vt:lpstr>
      <vt:lpstr>🏃‍♂️Box-To-Box</vt:lpstr>
      <vt:lpstr>🎯Armadores</vt:lpstr>
      <vt:lpstr>⚽Avançados</vt:lpstr>
      <vt:lpstr>📊Time Estatísticas</vt:lpstr>
      <vt:lpstr>🔍Overall Análise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Vinícius Moreno Rogato</cp:lastModifiedBy>
  <cp:lastPrinted>2023-08-07T09:15:15Z</cp:lastPrinted>
  <dcterms:created xsi:type="dcterms:W3CDTF">2015-06-05T18:19:34Z</dcterms:created>
  <dcterms:modified xsi:type="dcterms:W3CDTF">2026-06-09T05:35:25Z</dcterms:modified>
</cp:coreProperties>
</file>